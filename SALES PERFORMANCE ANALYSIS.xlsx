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OneDrive\Documents\"/>
    </mc:Choice>
  </mc:AlternateContent>
  <xr:revisionPtr revIDLastSave="0" documentId="8_{1EEE2F41-D3CA-47EF-BE98-0DF454DB51A8}" xr6:coauthVersionLast="47" xr6:coauthVersionMax="47" xr10:uidLastSave="{00000000-0000-0000-0000-000000000000}"/>
  <bookViews>
    <workbookView xWindow="-120" yWindow="-120" windowWidth="29040" windowHeight="15720" activeTab="3" xr2:uid="{46D54B05-7382-4F46-9007-FFCC0B722BBE}"/>
  </bookViews>
  <sheets>
    <sheet name="RAW DATA SET" sheetId="5" r:id="rId1"/>
    <sheet name="SALES DATA SET" sheetId="1" r:id="rId2"/>
    <sheet name="ANALYSIS" sheetId="2" r:id="rId3"/>
    <sheet name="DASHBOARD" sheetId="4" r:id="rId4"/>
  </sheets>
  <definedNames>
    <definedName name="Slicer_Category">#N/A</definedName>
    <definedName name="Slicer_Country">#N/A</definedName>
    <definedName name="Slicer_Discount">#N/A</definedName>
    <definedName name="Slicer_Months__OrderDate">#N/A</definedName>
    <definedName name="Slicer_SalesRep">#N/A</definedName>
    <definedName name="Slicer_Segment">#N/A</definedName>
    <definedName name="Slicer_Years__Order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R2" i="1"/>
  <c r="R3" i="1"/>
  <c r="R4" i="1"/>
  <c r="R5" i="1"/>
  <c r="R6" i="1"/>
  <c r="R7" i="1"/>
  <c r="R8" i="1"/>
  <c r="R9" i="1"/>
  <c r="R10" i="1"/>
  <c r="R11" i="1"/>
  <c r="R12" i="1"/>
  <c r="R13" i="1"/>
  <c r="R14" i="1"/>
  <c r="R15" i="1"/>
  <c r="R16" i="1"/>
  <c r="R752" i="1"/>
  <c r="R753" i="1"/>
  <c r="R754" i="1"/>
  <c r="R755" i="1"/>
  <c r="R756" i="1"/>
  <c r="R757" i="1"/>
  <c r="R758" i="1"/>
  <c r="R759" i="1"/>
  <c r="R760" i="1"/>
  <c r="R761" i="1"/>
  <c r="R762" i="1"/>
  <c r="R763" i="1"/>
  <c r="R764" i="1"/>
  <c r="R765" i="1"/>
  <c r="R766" i="1"/>
  <c r="R767" i="1"/>
  <c r="R768" i="1"/>
  <c r="R769" i="1"/>
  <c r="R770" i="1"/>
  <c r="R771" i="1"/>
  <c r="R772" i="1"/>
  <c r="R773" i="1"/>
  <c r="R948" i="1"/>
  <c r="R949" i="1"/>
  <c r="R950" i="1"/>
  <c r="R951" i="1"/>
  <c r="R952" i="1"/>
  <c r="R953" i="1"/>
  <c r="R954" i="1"/>
  <c r="R955" i="1"/>
  <c r="R957" i="1"/>
  <c r="R959" i="1"/>
  <c r="AE11" i="4"/>
  <c r="AE14" i="4"/>
  <c r="AE16" i="4"/>
  <c r="AE18" i="4"/>
  <c r="N1001" i="1"/>
  <c r="M1001" i="1"/>
  <c r="R252" i="1" l="1"/>
  <c r="R253" i="1"/>
  <c r="R254" i="1"/>
  <c r="R255" i="1"/>
  <c r="R502" i="1"/>
  <c r="R503" i="1"/>
  <c r="R504" i="1"/>
  <c r="R505"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738" i="1"/>
  <c r="R742" i="1"/>
  <c r="R745" i="1"/>
  <c r="R748" i="1"/>
  <c r="R751" i="1"/>
  <c r="R956" i="1"/>
  <c r="R960" i="1"/>
  <c r="R962" i="1"/>
  <c r="R965" i="1"/>
  <c r="R967" i="1"/>
  <c r="R970" i="1"/>
  <c r="R973" i="1"/>
  <c r="R976" i="1"/>
  <c r="R977" i="1"/>
  <c r="R981" i="1"/>
  <c r="R985" i="1"/>
  <c r="R987" i="1"/>
  <c r="R990" i="1"/>
  <c r="R993" i="1"/>
  <c r="R998"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723" i="1"/>
  <c r="R725" i="1"/>
  <c r="R727" i="1"/>
  <c r="R729" i="1"/>
  <c r="R732" i="1"/>
  <c r="R734" i="1"/>
  <c r="R735" i="1"/>
  <c r="R737" i="1"/>
  <c r="R740" i="1"/>
  <c r="R743" i="1"/>
  <c r="R746" i="1"/>
  <c r="R749" i="1"/>
  <c r="R963" i="1"/>
  <c r="R966" i="1"/>
  <c r="R969" i="1"/>
  <c r="R972" i="1"/>
  <c r="R975" i="1"/>
  <c r="R978" i="1"/>
  <c r="R982" i="1"/>
  <c r="R983" i="1"/>
  <c r="R986" i="1"/>
  <c r="R989" i="1"/>
  <c r="R992" i="1"/>
  <c r="R994" i="1"/>
  <c r="R996" i="1"/>
  <c r="R999"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4" i="1"/>
  <c r="R726" i="1"/>
  <c r="R728" i="1"/>
  <c r="R730" i="1"/>
  <c r="R731" i="1"/>
  <c r="R733" i="1"/>
  <c r="R736" i="1"/>
  <c r="R739" i="1"/>
  <c r="R741" i="1"/>
  <c r="R744" i="1"/>
  <c r="R747" i="1"/>
  <c r="R750" i="1"/>
  <c r="R958" i="1"/>
  <c r="R961" i="1"/>
  <c r="R964" i="1"/>
  <c r="R968" i="1"/>
  <c r="R971" i="1"/>
  <c r="R974" i="1"/>
  <c r="R979" i="1"/>
  <c r="R980" i="1"/>
  <c r="R984" i="1"/>
  <c r="R988" i="1"/>
  <c r="R991" i="1"/>
  <c r="R995" i="1"/>
  <c r="R997" i="1"/>
  <c r="R1000" i="1"/>
  <c r="R1001" i="1"/>
</calcChain>
</file>

<file path=xl/sharedStrings.xml><?xml version="1.0" encoding="utf-8"?>
<sst xmlns="http://schemas.openxmlformats.org/spreadsheetml/2006/main" count="16215" uniqueCount="345">
  <si>
    <t>OrderID</t>
  </si>
  <si>
    <t>OrderDate</t>
  </si>
  <si>
    <t>CustomerName</t>
  </si>
  <si>
    <t>Segment</t>
  </si>
  <si>
    <t>Region</t>
  </si>
  <si>
    <t>Country</t>
  </si>
  <si>
    <t>Category</t>
  </si>
  <si>
    <t>SubCategory</t>
  </si>
  <si>
    <t>Product</t>
  </si>
  <si>
    <t>Quantity</t>
  </si>
  <si>
    <t>UnitPrice</t>
  </si>
  <si>
    <t>CostPrice</t>
  </si>
  <si>
    <t>Revenue</t>
  </si>
  <si>
    <t>Profit</t>
  </si>
  <si>
    <t>Discount</t>
  </si>
  <si>
    <t>SalesRep</t>
  </si>
  <si>
    <t>Mary Ade</t>
  </si>
  <si>
    <t>Home Office</t>
  </si>
  <si>
    <t>North</t>
  </si>
  <si>
    <t>Ghana</t>
  </si>
  <si>
    <t>Technology</t>
  </si>
  <si>
    <t>Phones</t>
  </si>
  <si>
    <t>iPhone 13</t>
  </si>
  <si>
    <t>Amina</t>
  </si>
  <si>
    <t>Peter Eze</t>
  </si>
  <si>
    <t>Consumer</t>
  </si>
  <si>
    <t>East</t>
  </si>
  <si>
    <t>South Africa</t>
  </si>
  <si>
    <t>Accessories</t>
  </si>
  <si>
    <t>Power Bank</t>
  </si>
  <si>
    <t>Sola</t>
  </si>
  <si>
    <t>Grace Balogun</t>
  </si>
  <si>
    <t>Corporate</t>
  </si>
  <si>
    <t>West</t>
  </si>
  <si>
    <t>Nigeria</t>
  </si>
  <si>
    <t>Furniture</t>
  </si>
  <si>
    <t>Chairs</t>
  </si>
  <si>
    <t>Gaming Chair</t>
  </si>
  <si>
    <t>Yemi</t>
  </si>
  <si>
    <t>Zainab Khan</t>
  </si>
  <si>
    <t>Kenya</t>
  </si>
  <si>
    <t>Office Supplies</t>
  </si>
  <si>
    <t>Paper</t>
  </si>
  <si>
    <t>Sticky Notes</t>
  </si>
  <si>
    <t>Chioma</t>
  </si>
  <si>
    <t>Sadiq Okafor</t>
  </si>
  <si>
    <t>Binders</t>
  </si>
  <si>
    <t>Ring Binder</t>
  </si>
  <si>
    <t>Samuel Bello</t>
  </si>
  <si>
    <t>Tables</t>
  </si>
  <si>
    <t>Dining Table</t>
  </si>
  <si>
    <t>Tunde</t>
  </si>
  <si>
    <t>Sadiq Ade</t>
  </si>
  <si>
    <t>South</t>
  </si>
  <si>
    <t>Tecno Camon</t>
  </si>
  <si>
    <t>Uche</t>
  </si>
  <si>
    <t>David Bello</t>
  </si>
  <si>
    <t>File Folder</t>
  </si>
  <si>
    <t>Ahmed Abdullahi</t>
  </si>
  <si>
    <t>Coffee Table</t>
  </si>
  <si>
    <t>Blessing Okafor</t>
  </si>
  <si>
    <t>USB Cable</t>
  </si>
  <si>
    <t>Chinedu Bello</t>
  </si>
  <si>
    <t>Art</t>
  </si>
  <si>
    <t>Pencils</t>
  </si>
  <si>
    <t>Aisha Ndlovu</t>
  </si>
  <si>
    <t>Desk</t>
  </si>
  <si>
    <t>Chinedu Ola</t>
  </si>
  <si>
    <t>Notebook</t>
  </si>
  <si>
    <t>Grace Ifeanyi</t>
  </si>
  <si>
    <t>Storage</t>
  </si>
  <si>
    <t>Shelf</t>
  </si>
  <si>
    <t>Aisha Mensah</t>
  </si>
  <si>
    <t>Ahmed Ifeanyi</t>
  </si>
  <si>
    <t>Samuel Abdullahi</t>
  </si>
  <si>
    <t>Bola</t>
  </si>
  <si>
    <t>David Ali</t>
  </si>
  <si>
    <t>A4 Paper Pack</t>
  </si>
  <si>
    <t>Ibrahim Ali</t>
  </si>
  <si>
    <t>Infinix Note</t>
  </si>
  <si>
    <t>Ibrahim Ifeanyi</t>
  </si>
  <si>
    <t>Charger</t>
  </si>
  <si>
    <t>Aisha Ali</t>
  </si>
  <si>
    <t>Grace Eze</t>
  </si>
  <si>
    <t>Drawer</t>
  </si>
  <si>
    <t>Kemi</t>
  </si>
  <si>
    <t>David Khan</t>
  </si>
  <si>
    <t>Office Chair</t>
  </si>
  <si>
    <t>Peter Otieno</t>
  </si>
  <si>
    <t>Samuel Yakubu</t>
  </si>
  <si>
    <t>Headphones</t>
  </si>
  <si>
    <t>Grace Abdullahi</t>
  </si>
  <si>
    <t>Emeka</t>
  </si>
  <si>
    <t>Aisha Ola</t>
  </si>
  <si>
    <t>Sadiq Ifeanyi</t>
  </si>
  <si>
    <t>David Yakubu</t>
  </si>
  <si>
    <t>Peter Khan</t>
  </si>
  <si>
    <t>Blessing Balogun</t>
  </si>
  <si>
    <t>Cabinet</t>
  </si>
  <si>
    <t>Blessing Ifeanyi</t>
  </si>
  <si>
    <t>Plastic Chair</t>
  </si>
  <si>
    <t>David Abdullahi</t>
  </si>
  <si>
    <t>Clip Board</t>
  </si>
  <si>
    <t>Aisha Otieno</t>
  </si>
  <si>
    <t>Ngozi Balogun</t>
  </si>
  <si>
    <t>Chinedu Mensah</t>
  </si>
  <si>
    <t>Ibrahim Mensah</t>
  </si>
  <si>
    <t>Ahmed Balogun</t>
  </si>
  <si>
    <t>David Balogun</t>
  </si>
  <si>
    <t>Mary Bello</t>
  </si>
  <si>
    <t>Grace Yakubu</t>
  </si>
  <si>
    <t>Sadiq Ali</t>
  </si>
  <si>
    <t>John Ifeanyi</t>
  </si>
  <si>
    <t>Computers</t>
  </si>
  <si>
    <t>Laptop</t>
  </si>
  <si>
    <t>Ahmed Mensah</t>
  </si>
  <si>
    <t>David Okafor</t>
  </si>
  <si>
    <t>Pens</t>
  </si>
  <si>
    <t>Mary Khan</t>
  </si>
  <si>
    <t>Ngozi Khan</t>
  </si>
  <si>
    <t>John Ali</t>
  </si>
  <si>
    <t>Peter Mensah</t>
  </si>
  <si>
    <t>Grace Khan</t>
  </si>
  <si>
    <t>Fatima Ifeanyi</t>
  </si>
  <si>
    <t>John Ade</t>
  </si>
  <si>
    <t>Ife</t>
  </si>
  <si>
    <t>Mary Mensah</t>
  </si>
  <si>
    <t>John Eze</t>
  </si>
  <si>
    <t>Ngozi Ifeanyi</t>
  </si>
  <si>
    <t>Aisha Abdullahi</t>
  </si>
  <si>
    <t>Aisha Ifeanyi</t>
  </si>
  <si>
    <t>John Lawal</t>
  </si>
  <si>
    <t>Samsung S21</t>
  </si>
  <si>
    <t>John Balogun</t>
  </si>
  <si>
    <t>Fatima Ndlovu</t>
  </si>
  <si>
    <t>Ngozi Okafor</t>
  </si>
  <si>
    <t>Samuel Ali</t>
  </si>
  <si>
    <t>Blessing Bello</t>
  </si>
  <si>
    <t>Blessing Otieno</t>
  </si>
  <si>
    <t>Ngozi Ndlovu</t>
  </si>
  <si>
    <t>Blessing Ali</t>
  </si>
  <si>
    <t>Markers</t>
  </si>
  <si>
    <t>Sadiq Yakubu</t>
  </si>
  <si>
    <t>Aisha Okafor</t>
  </si>
  <si>
    <t>David Lawal</t>
  </si>
  <si>
    <t>Ahmed Okafor</t>
  </si>
  <si>
    <t>Zainab Otieno</t>
  </si>
  <si>
    <t>Ibrahim Yakubu</t>
  </si>
  <si>
    <t>Mary Lawal</t>
  </si>
  <si>
    <t>Grace Bello</t>
  </si>
  <si>
    <t>Samuel Okafor</t>
  </si>
  <si>
    <t>Grace Lawal</t>
  </si>
  <si>
    <t>Mary Yakubu</t>
  </si>
  <si>
    <t>Desktop</t>
  </si>
  <si>
    <t>Fatima Ola</t>
  </si>
  <si>
    <t>Samuel Eze</t>
  </si>
  <si>
    <t>Ibrahim Abdullahi</t>
  </si>
  <si>
    <t>Blessing Ndlovu</t>
  </si>
  <si>
    <t>Zainab Ali</t>
  </si>
  <si>
    <t>Fatima Abdullahi</t>
  </si>
  <si>
    <t>Samuel Khan</t>
  </si>
  <si>
    <t>Tablet</t>
  </si>
  <si>
    <t>Chinedu Eze</t>
  </si>
  <si>
    <t>David Mensah</t>
  </si>
  <si>
    <t>Peter Ifeanyi</t>
  </si>
  <si>
    <t>Aisha Khan</t>
  </si>
  <si>
    <t>Mary Ola</t>
  </si>
  <si>
    <t>Chinedu Balogun</t>
  </si>
  <si>
    <t>Mary Otieno</t>
  </si>
  <si>
    <t>Chinedu Lawal</t>
  </si>
  <si>
    <t>Ibrahim Balogun</t>
  </si>
  <si>
    <t>Fatima Okafor</t>
  </si>
  <si>
    <t>Samuel Balogun</t>
  </si>
  <si>
    <t>Chinedu Ali</t>
  </si>
  <si>
    <t>Samuel Ndlovu</t>
  </si>
  <si>
    <t>Samuel Ifeanyi</t>
  </si>
  <si>
    <t>John Abdullahi</t>
  </si>
  <si>
    <t>Sadiq Khan</t>
  </si>
  <si>
    <t>Grace Ade</t>
  </si>
  <si>
    <t>Aisha Ade</t>
  </si>
  <si>
    <t>Fatima Mensah</t>
  </si>
  <si>
    <t>Peter Ade</t>
  </si>
  <si>
    <t>Mary Balogun</t>
  </si>
  <si>
    <t>Chinedu Okafor</t>
  </si>
  <si>
    <t>Ngozi Eze</t>
  </si>
  <si>
    <t>Aisha Bello</t>
  </si>
  <si>
    <t>Zainab Ola</t>
  </si>
  <si>
    <t>Ibrahim Ola</t>
  </si>
  <si>
    <t>Ngozi Ali</t>
  </si>
  <si>
    <t>Sadiq Lawal</t>
  </si>
  <si>
    <t>Peter Ali</t>
  </si>
  <si>
    <t>John Yakubu</t>
  </si>
  <si>
    <t>Fatima Balogun</t>
  </si>
  <si>
    <t>Aisha Lawal</t>
  </si>
  <si>
    <t>Sadiq Ola</t>
  </si>
  <si>
    <t>Ngozi Otieno</t>
  </si>
  <si>
    <t>Blessing Mensah</t>
  </si>
  <si>
    <t>Zainab Lawal</t>
  </si>
  <si>
    <t>David Eze</t>
  </si>
  <si>
    <t>Zainab Mensah</t>
  </si>
  <si>
    <t>Chinedu Ade</t>
  </si>
  <si>
    <t>Ngozi Abdullahi</t>
  </si>
  <si>
    <t>Chinedu Abdullahi</t>
  </si>
  <si>
    <t>Blessing Ade</t>
  </si>
  <si>
    <t>Aisha Eze</t>
  </si>
  <si>
    <t>Ibrahim Bello</t>
  </si>
  <si>
    <t>Ahmed Khan</t>
  </si>
  <si>
    <t>Ngozi Ola</t>
  </si>
  <si>
    <t>Grace Ndlovu</t>
  </si>
  <si>
    <t>Peter Yakubu</t>
  </si>
  <si>
    <t>Mary Ndlovu</t>
  </si>
  <si>
    <t>Ibrahim Khan</t>
  </si>
  <si>
    <t>Samuel Lawal</t>
  </si>
  <si>
    <t>Ibrahim Ndlovu</t>
  </si>
  <si>
    <t>Fatima Bello</t>
  </si>
  <si>
    <t>Zainab Okafor</t>
  </si>
  <si>
    <t>Ahmed Ndlovu</t>
  </si>
  <si>
    <t>Ahmed Ali</t>
  </si>
  <si>
    <t>Peter Ola</t>
  </si>
  <si>
    <t>John Otieno</t>
  </si>
  <si>
    <t>Ngozi Yakubu</t>
  </si>
  <si>
    <t>Chinedu Yakubu</t>
  </si>
  <si>
    <t>Aisha Yakubu</t>
  </si>
  <si>
    <t>Fatima Khan</t>
  </si>
  <si>
    <t>Peter Lawal</t>
  </si>
  <si>
    <t>Ibrahim Okafor</t>
  </si>
  <si>
    <t>Blessing Ola</t>
  </si>
  <si>
    <t>Zainab Ade</t>
  </si>
  <si>
    <t>Ahmed Ade</t>
  </si>
  <si>
    <t>Grace Ola</t>
  </si>
  <si>
    <t>Zainab Ndlovu</t>
  </si>
  <si>
    <t>David Otieno</t>
  </si>
  <si>
    <t>Ngozi Ade</t>
  </si>
  <si>
    <t>Ahmed Lawal</t>
  </si>
  <si>
    <t>Ahmed Eze</t>
  </si>
  <si>
    <t>Samuel Otieno</t>
  </si>
  <si>
    <t>Grace Okafor</t>
  </si>
  <si>
    <t>Sadiq Abdullahi</t>
  </si>
  <si>
    <t>Zainab Yakubu</t>
  </si>
  <si>
    <t>Fatima Yakubu</t>
  </si>
  <si>
    <t>David Ifeanyi</t>
  </si>
  <si>
    <t>Sadiq Mensah</t>
  </si>
  <si>
    <t>Zainab Bello</t>
  </si>
  <si>
    <t>Peter Bello</t>
  </si>
  <si>
    <t>Samuel Mensah</t>
  </si>
  <si>
    <t>Zainab Balogun</t>
  </si>
  <si>
    <t>Ngozi Bello</t>
  </si>
  <si>
    <t>Peter Abdullahi</t>
  </si>
  <si>
    <t>Blessing Abdullahi</t>
  </si>
  <si>
    <t>Peter Ndlovu</t>
  </si>
  <si>
    <t>Blessing Lawal</t>
  </si>
  <si>
    <t>Mary Okafor</t>
  </si>
  <si>
    <t>Fatima Ade</t>
  </si>
  <si>
    <t>Peter Okafor</t>
  </si>
  <si>
    <t>Samuel Ade</t>
  </si>
  <si>
    <t>David Ndlovu</t>
  </si>
  <si>
    <t>Samuel Ola</t>
  </si>
  <si>
    <t>Sadiq Otieno</t>
  </si>
  <si>
    <t>John Mensah</t>
  </si>
  <si>
    <t>Chinedu Ndlovu</t>
  </si>
  <si>
    <t>Blessing Yakubu</t>
  </si>
  <si>
    <t>Grace Mensah</t>
  </si>
  <si>
    <t>John Ola</t>
  </si>
  <si>
    <t>Chinedu Otieno</t>
  </si>
  <si>
    <t>Ngozi Mensah</t>
  </si>
  <si>
    <t>Sadiq Ndlovu</t>
  </si>
  <si>
    <t>Mary Ali</t>
  </si>
  <si>
    <t>Grace Ali</t>
  </si>
  <si>
    <t>John Ndlovu</t>
  </si>
  <si>
    <t>Zainab Eze</t>
  </si>
  <si>
    <t>Sadiq Bello</t>
  </si>
  <si>
    <t>Aisha Balogun</t>
  </si>
  <si>
    <t>Chinedu Khan</t>
  </si>
  <si>
    <t>John Okafor</t>
  </si>
  <si>
    <t>Fatima Lawal</t>
  </si>
  <si>
    <t>Mary Eze</t>
  </si>
  <si>
    <t>John Bello</t>
  </si>
  <si>
    <t>Sadiq Balogun</t>
  </si>
  <si>
    <t>Ibrahim Lawal</t>
  </si>
  <si>
    <t>Mary Abdullahi</t>
  </si>
  <si>
    <t>Ibrahim Ade</t>
  </si>
  <si>
    <t>Fatima Otieno</t>
  </si>
  <si>
    <t>Ibrahim Eze</t>
  </si>
  <si>
    <t>Mary Ifeanyi</t>
  </si>
  <si>
    <t>Zainab Ifeanyi</t>
  </si>
  <si>
    <t>Ahmed Ola</t>
  </si>
  <si>
    <t>Ahmed Otieno</t>
  </si>
  <si>
    <t>John Khan</t>
  </si>
  <si>
    <t>Zainab Abdullahi</t>
  </si>
  <si>
    <t>Grace Otieno</t>
  </si>
  <si>
    <t>Blessing Khan</t>
  </si>
  <si>
    <t>Ahmed Yakubu</t>
  </si>
  <si>
    <t>Chinedu Ifeanyi</t>
  </si>
  <si>
    <t>Ahmed Bello</t>
  </si>
  <si>
    <t>Sadiq Eze</t>
  </si>
  <si>
    <t>Peter Balogun</t>
  </si>
  <si>
    <t>David Ade</t>
  </si>
  <si>
    <t>Ngozi Lawal</t>
  </si>
  <si>
    <t>Fatima Ali</t>
  </si>
  <si>
    <t>Ibrahim Otieno</t>
  </si>
  <si>
    <t>Fatima Eze</t>
  </si>
  <si>
    <t>total Cost</t>
  </si>
  <si>
    <t>profit margin</t>
  </si>
  <si>
    <t>south</t>
  </si>
  <si>
    <t>Grand Total</t>
  </si>
  <si>
    <t>Sum of Revenue</t>
  </si>
  <si>
    <t>Sum of Profit</t>
  </si>
  <si>
    <t>2024</t>
  </si>
  <si>
    <t>Feb</t>
  </si>
  <si>
    <t>Mar</t>
  </si>
  <si>
    <t>May</t>
  </si>
  <si>
    <t>Jul</t>
  </si>
  <si>
    <t>Oct</t>
  </si>
  <si>
    <t>Nov</t>
  </si>
  <si>
    <t>Dec</t>
  </si>
  <si>
    <t>Sum of total Cost</t>
  </si>
  <si>
    <t>Sum of Quantity</t>
  </si>
  <si>
    <t>Sum of profit margin</t>
  </si>
  <si>
    <t>Customers Name</t>
  </si>
  <si>
    <t>Country(region)</t>
  </si>
  <si>
    <t>Date(yr/mth)</t>
  </si>
  <si>
    <t>OVERALL PERFORMANCE BY YEAR</t>
  </si>
  <si>
    <t>REGIONAL PERFORMANCE</t>
  </si>
  <si>
    <t>Count of OrderID</t>
  </si>
  <si>
    <t>Category(product)</t>
  </si>
  <si>
    <t>PRODUCT ANALYSIS</t>
  </si>
  <si>
    <t>Sales Rep</t>
  </si>
  <si>
    <t>DISCOUNT IMPACT ANALYSIS</t>
  </si>
  <si>
    <t>SALES REP PERFORMANCE</t>
  </si>
  <si>
    <t>Average of Discount</t>
  </si>
  <si>
    <t>Average of profit margin</t>
  </si>
  <si>
    <t>DASHBOARD!A1</t>
  </si>
  <si>
    <t>2023</t>
  </si>
  <si>
    <t>Jun</t>
  </si>
  <si>
    <t>Aug</t>
  </si>
  <si>
    <t>Jan</t>
  </si>
  <si>
    <t>Apr</t>
  </si>
  <si>
    <t>Sep</t>
  </si>
  <si>
    <t>Cost</t>
  </si>
  <si>
    <t>C</t>
  </si>
  <si>
    <t xml:space="preserve"> </t>
  </si>
  <si>
    <t>REVENUE BY YEAR</t>
  </si>
  <si>
    <t>SALES DATA SET'!A1</t>
  </si>
  <si>
    <t>TOP CUSTOMERS CONTRIBUTION TO REVENUE</t>
  </si>
  <si>
    <t>ANALYSIS!A1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</si>
</sst>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409]* #,##0_);_([$$-409]* \(#,##0\);_([$$-409]* &quot;-&quot;??_);_(@_)"/>
    <numFmt numFmtId="165" formatCode="_(&quot;$&quot;* #,##0_);_(&quot;$&quot;* \(#,##0\);_(&quot;$&quot;* &quot;-&quot;??_);_(@_)"/>
    <numFmt numFmtId="166" formatCode="0.0%"/>
    <numFmt numFmtId="167" formatCode="&quot;$&quot;0.0,,&quot;M&quot;"/>
    <numFmt numFmtId="168" formatCode="&quot;$&quot;0.0,&quot;K&quot;"/>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6"/>
      <color theme="1"/>
      <name val="Calibri"/>
      <family val="2"/>
      <scheme val="minor"/>
    </font>
    <font>
      <b/>
      <sz val="28"/>
      <color theme="1"/>
      <name val="Calibri"/>
      <family val="2"/>
      <scheme val="minor"/>
    </font>
    <font>
      <b/>
      <sz val="36"/>
      <color theme="1"/>
      <name val="Calibri"/>
      <family val="2"/>
      <scheme val="minor"/>
    </font>
    <font>
      <b/>
      <sz val="28"/>
      <name val="Calibri"/>
      <family val="2"/>
      <scheme val="minor"/>
    </font>
    <font>
      <u/>
      <sz val="11"/>
      <color theme="10"/>
      <name val="Calibri"/>
      <family val="2"/>
      <scheme val="minor"/>
    </font>
    <font>
      <sz val="8"/>
      <name val="Calibri"/>
      <family val="2"/>
      <scheme val="minor"/>
    </font>
    <font>
      <b/>
      <sz val="26"/>
      <color theme="0"/>
      <name val="Calibri"/>
      <family val="2"/>
      <scheme val="minor"/>
    </font>
    <font>
      <b/>
      <sz val="28"/>
      <color theme="0"/>
      <name val="Calibri"/>
      <family val="2"/>
      <scheme val="minor"/>
    </font>
    <font>
      <sz val="11"/>
      <color theme="4" tint="0.59999389629810485"/>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0" borderId="0" applyNumberFormat="0" applyFill="0" applyBorder="0" applyAlignment="0" applyProtection="0"/>
  </cellStyleXfs>
  <cellXfs count="35">
    <xf numFmtId="0" fontId="0" fillId="0" borderId="0" xfId="0"/>
    <xf numFmtId="14" fontId="0" fillId="0" borderId="0" xfId="0" applyNumberFormat="1"/>
    <xf numFmtId="164" fontId="0" fillId="0" borderId="0" xfId="0" applyNumberFormat="1"/>
    <xf numFmtId="165" fontId="0" fillId="0" borderId="0" xfId="1" applyNumberFormat="1" applyFont="1"/>
    <xf numFmtId="9" fontId="0" fillId="0" borderId="0" xfId="2" applyFon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9" fontId="0" fillId="0" borderId="0" xfId="0" applyNumberFormat="1"/>
    <xf numFmtId="0" fontId="19" fillId="0" borderId="0" xfId="0" applyFont="1"/>
    <xf numFmtId="9" fontId="0" fillId="0" borderId="0" xfId="0" applyNumberFormat="1" applyAlignment="1">
      <alignment horizontal="left"/>
    </xf>
    <xf numFmtId="0" fontId="24" fillId="33" borderId="0" xfId="0" applyFont="1" applyFill="1"/>
    <xf numFmtId="0" fontId="0" fillId="33" borderId="0" xfId="0" applyFill="1"/>
    <xf numFmtId="0" fontId="25" fillId="33" borderId="0" xfId="0" applyFont="1" applyFill="1"/>
    <xf numFmtId="0" fontId="21" fillId="33" borderId="0" xfId="0" applyFont="1" applyFill="1"/>
    <xf numFmtId="0" fontId="22" fillId="33" borderId="0" xfId="0" applyFont="1" applyFill="1"/>
    <xf numFmtId="0" fontId="20" fillId="33" borderId="0" xfId="0" applyFont="1" applyFill="1"/>
    <xf numFmtId="0" fontId="19" fillId="33" borderId="0" xfId="0" applyFont="1" applyFill="1"/>
    <xf numFmtId="0" fontId="26" fillId="33" borderId="0" xfId="0" applyFont="1" applyFill="1"/>
    <xf numFmtId="0" fontId="23" fillId="33" borderId="0" xfId="0" applyFont="1" applyFill="1"/>
    <xf numFmtId="0" fontId="27" fillId="0" borderId="0" xfId="44"/>
    <xf numFmtId="0" fontId="27" fillId="0" borderId="0" xfId="44" quotePrefix="1"/>
    <xf numFmtId="168" fontId="0" fillId="34" borderId="0" xfId="0" applyNumberFormat="1" applyFill="1"/>
    <xf numFmtId="0" fontId="0" fillId="34" borderId="0" xfId="0" applyFill="1"/>
    <xf numFmtId="166" fontId="0" fillId="34" borderId="0" xfId="2" applyNumberFormat="1" applyFont="1" applyFill="1"/>
    <xf numFmtId="168" fontId="29" fillId="34" borderId="0" xfId="0" applyNumberFormat="1" applyFont="1" applyFill="1"/>
    <xf numFmtId="167" fontId="30" fillId="34" borderId="0" xfId="0" applyNumberFormat="1" applyFont="1" applyFill="1"/>
    <xf numFmtId="0" fontId="17" fillId="34" borderId="0" xfId="0" applyFont="1" applyFill="1"/>
    <xf numFmtId="166" fontId="30" fillId="34" borderId="0" xfId="2" applyNumberFormat="1" applyFont="1" applyFill="1"/>
    <xf numFmtId="166" fontId="29" fillId="34" borderId="0" xfId="2" applyNumberFormat="1" applyFont="1" applyFill="1"/>
    <xf numFmtId="44" fontId="0" fillId="0" borderId="0" xfId="0" applyNumberFormat="1"/>
    <xf numFmtId="0" fontId="31" fillId="34" borderId="0" xfId="0" applyFont="1" applyFill="1"/>
    <xf numFmtId="0" fontId="27" fillId="0" borderId="0" xfId="44" quotePrefix="1" applyAlignment="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7">
    <dxf>
      <numFmt numFmtId="165" formatCode="_(&quot;$&quot;* #,##0_);_(&quot;$&quot;* \(#,##0\);_(&quot;$&quot;* &quot;-&quot;??_);_(@_)"/>
    </dxf>
    <dxf>
      <numFmt numFmtId="13" formatCode="0%"/>
    </dxf>
    <dxf>
      <numFmt numFmtId="165" formatCode="_(&quot;$&quot;* #,##0_);_(&quot;$&quot;* \(#,##0\);_(&quot;$&quot;* &quot;-&quot;??_);_(@_)"/>
    </dxf>
    <dxf>
      <numFmt numFmtId="13" formatCode="0%"/>
    </dxf>
    <dxf>
      <numFmt numFmtId="165" formatCode="_(&quot;$&quot;* #,##0_);_(&quot;$&quot;* \(#,##0\);_(&quot;$&quot;* &quot;-&quot;??_);_(@_)"/>
    </dxf>
    <dxf>
      <numFmt numFmtId="34" formatCode="_(&quot;$&quot;* #,##0.00_);_(&quot;$&quot;* \(#,##0.00\);_(&quot;$&quot;* &quot;-&quot;??_);_(@_)"/>
    </dxf>
    <dxf>
      <numFmt numFmtId="34" formatCode="_(&quot;$&quot;* #,##0.00_);_(&quot;$&quot;* \(#,##0.00\);_(&quot;$&quot;* &quot;-&quot;??_);_(@_)"/>
    </dxf>
    <dxf>
      <numFmt numFmtId="13" formatCode="0%"/>
    </dxf>
    <dxf>
      <numFmt numFmtId="13" formatCode="0%"/>
    </dxf>
    <dxf>
      <numFmt numFmtId="13" formatCode="0%"/>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0" formatCode="General"/>
    </dxf>
    <dxf>
      <numFmt numFmtId="0" formatCode="General"/>
    </dxf>
    <dxf>
      <numFmt numFmtId="165" formatCode="_(&quot;$&quot;* #,##0_);_(&quot;$&quot;* \(#,##0\);_(&quot;$&quot;* &quot;-&quot;??_);_(@_)"/>
    </dxf>
    <dxf>
      <numFmt numFmtId="13" formatCode="0%"/>
    </dxf>
    <dxf>
      <font>
        <b val="0"/>
        <i val="0"/>
        <strike val="0"/>
        <condense val="0"/>
        <extend val="0"/>
        <outline val="0"/>
        <shadow val="0"/>
        <u val="none"/>
        <vertAlign val="baseline"/>
        <sz val="11"/>
        <color theme="1"/>
        <name val="Calibri"/>
        <family val="2"/>
        <scheme val="minor"/>
      </font>
    </dxf>
    <dxf>
      <numFmt numFmtId="164" formatCode="_([$$-409]* #,##0_);_([$$-409]* \(#,##0\);_([$$-409]* &quot;-&quot;??_);_(@_)"/>
    </dxf>
    <dxf>
      <numFmt numFmtId="164" formatCode="_([$$-409]* #,##0_);_([$$-409]* \(#,##0\);_([$$-409]* &quot;-&quot;??_);_(@_)"/>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9" formatCode="m/d/yyyy"/>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6335110718027"/>
          <c:y val="0.1256706499529919"/>
          <c:w val="0.86855030465990923"/>
          <c:h val="0.77013666083385468"/>
        </c:manualLayout>
      </c:layout>
      <c:barChart>
        <c:barDir val="col"/>
        <c:grouping val="clustered"/>
        <c:varyColors val="0"/>
        <c:ser>
          <c:idx val="0"/>
          <c:order val="0"/>
          <c:tx>
            <c:strRef>
              <c:f>ANALYSIS!$B$3</c:f>
              <c:strCache>
                <c:ptCount val="1"/>
                <c:pt idx="0">
                  <c:v>Sum of Revenue</c:v>
                </c:pt>
              </c:strCache>
            </c:strRef>
          </c:tx>
          <c:spPr>
            <a:solidFill>
              <a:schemeClr val="accent1"/>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ANALYSIS!$B$4:$B$30</c:f>
              <c:numCache>
                <c:formatCode>_("$"* #,##0_);_("$"* \(#,##0\);_("$"* "-"??_);_(@_)</c:formatCode>
                <c:ptCount val="24"/>
                <c:pt idx="0">
                  <c:v>70438.000000000015</c:v>
                </c:pt>
                <c:pt idx="1">
                  <c:v>94571.060000000012</c:v>
                </c:pt>
                <c:pt idx="2">
                  <c:v>112588.61</c:v>
                </c:pt>
                <c:pt idx="3">
                  <c:v>84516.659999999974</c:v>
                </c:pt>
                <c:pt idx="4">
                  <c:v>100191.91999999998</c:v>
                </c:pt>
                <c:pt idx="5">
                  <c:v>104829.10999999999</c:v>
                </c:pt>
                <c:pt idx="6">
                  <c:v>108304.97999999997</c:v>
                </c:pt>
                <c:pt idx="7">
                  <c:v>104619.51999999999</c:v>
                </c:pt>
                <c:pt idx="8">
                  <c:v>111729.24999999999</c:v>
                </c:pt>
                <c:pt idx="9">
                  <c:v>121679.99000000003</c:v>
                </c:pt>
                <c:pt idx="10">
                  <c:v>83923.91</c:v>
                </c:pt>
                <c:pt idx="11">
                  <c:v>118627.10999999999</c:v>
                </c:pt>
                <c:pt idx="12">
                  <c:v>130509.64</c:v>
                </c:pt>
                <c:pt idx="13">
                  <c:v>99823.499999999985</c:v>
                </c:pt>
                <c:pt idx="14">
                  <c:v>102660.01999999999</c:v>
                </c:pt>
                <c:pt idx="15">
                  <c:v>104831.61000000002</c:v>
                </c:pt>
                <c:pt idx="16">
                  <c:v>79904.079999999987</c:v>
                </c:pt>
                <c:pt idx="17">
                  <c:v>111614.82999999997</c:v>
                </c:pt>
                <c:pt idx="18">
                  <c:v>59858.670000000006</c:v>
                </c:pt>
                <c:pt idx="19">
                  <c:v>79504.55</c:v>
                </c:pt>
                <c:pt idx="20">
                  <c:v>65245.299999999996</c:v>
                </c:pt>
                <c:pt idx="21">
                  <c:v>103140.03999999998</c:v>
                </c:pt>
                <c:pt idx="22">
                  <c:v>107106.98999999999</c:v>
                </c:pt>
                <c:pt idx="23">
                  <c:v>83409.499999999971</c:v>
                </c:pt>
              </c:numCache>
            </c:numRef>
          </c:val>
          <c:extLst>
            <c:ext xmlns:c16="http://schemas.microsoft.com/office/drawing/2014/chart" uri="{C3380CC4-5D6E-409C-BE32-E72D297353CC}">
              <c16:uniqueId val="{00000000-C235-4B07-BE9E-F8C05F7C16BF}"/>
            </c:ext>
          </c:extLst>
        </c:ser>
        <c:ser>
          <c:idx val="1"/>
          <c:order val="1"/>
          <c:tx>
            <c:strRef>
              <c:f>ANALYSIS!$C$3</c:f>
              <c:strCache>
                <c:ptCount val="1"/>
                <c:pt idx="0">
                  <c:v>Sum of total Cost</c:v>
                </c:pt>
              </c:strCache>
            </c:strRef>
          </c:tx>
          <c:spPr>
            <a:solidFill>
              <a:schemeClr val="accent2"/>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ANALYSIS!$C$4:$C$30</c:f>
              <c:numCache>
                <c:formatCode>_("$"* #,##0_);_("$"* \(#,##0\);_("$"* "-"??_);_(@_)</c:formatCode>
                <c:ptCount val="24"/>
                <c:pt idx="0">
                  <c:v>60208.140000000007</c:v>
                </c:pt>
                <c:pt idx="1">
                  <c:v>81177.000000000015</c:v>
                </c:pt>
                <c:pt idx="2">
                  <c:v>92072.35000000002</c:v>
                </c:pt>
                <c:pt idx="3">
                  <c:v>63876.969999999994</c:v>
                </c:pt>
                <c:pt idx="4">
                  <c:v>74892.95</c:v>
                </c:pt>
                <c:pt idx="5">
                  <c:v>87067.74</c:v>
                </c:pt>
                <c:pt idx="6">
                  <c:v>84333.059999999983</c:v>
                </c:pt>
                <c:pt idx="7">
                  <c:v>82207.300000000017</c:v>
                </c:pt>
                <c:pt idx="8">
                  <c:v>85633.00999999998</c:v>
                </c:pt>
                <c:pt idx="9">
                  <c:v>93233.200000000012</c:v>
                </c:pt>
                <c:pt idx="10">
                  <c:v>68219.77</c:v>
                </c:pt>
                <c:pt idx="11">
                  <c:v>95602.090000000011</c:v>
                </c:pt>
                <c:pt idx="12">
                  <c:v>107635.07999999999</c:v>
                </c:pt>
                <c:pt idx="13">
                  <c:v>77882.030000000013</c:v>
                </c:pt>
                <c:pt idx="14">
                  <c:v>78554.48</c:v>
                </c:pt>
                <c:pt idx="15">
                  <c:v>84324.62000000001</c:v>
                </c:pt>
                <c:pt idx="16">
                  <c:v>66451.660000000018</c:v>
                </c:pt>
                <c:pt idx="17">
                  <c:v>87594.75</c:v>
                </c:pt>
                <c:pt idx="18">
                  <c:v>48774.109999999986</c:v>
                </c:pt>
                <c:pt idx="19">
                  <c:v>63517.350000000006</c:v>
                </c:pt>
                <c:pt idx="20">
                  <c:v>48811.749999999993</c:v>
                </c:pt>
                <c:pt idx="21">
                  <c:v>79081.910000000018</c:v>
                </c:pt>
                <c:pt idx="22">
                  <c:v>85887.380000000019</c:v>
                </c:pt>
                <c:pt idx="23">
                  <c:v>67382.740000000005</c:v>
                </c:pt>
              </c:numCache>
            </c:numRef>
          </c:val>
          <c:extLst>
            <c:ext xmlns:c16="http://schemas.microsoft.com/office/drawing/2014/chart" uri="{C3380CC4-5D6E-409C-BE32-E72D297353CC}">
              <c16:uniqueId val="{00000001-C235-4B07-BE9E-F8C05F7C16BF}"/>
            </c:ext>
          </c:extLst>
        </c:ser>
        <c:ser>
          <c:idx val="2"/>
          <c:order val="2"/>
          <c:tx>
            <c:strRef>
              <c:f>ANALYSIS!$D$3</c:f>
              <c:strCache>
                <c:ptCount val="1"/>
                <c:pt idx="0">
                  <c:v>Sum of Profit</c:v>
                </c:pt>
              </c:strCache>
            </c:strRef>
          </c:tx>
          <c:spPr>
            <a:solidFill>
              <a:schemeClr val="accent3"/>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ANALYSIS!$D$4:$D$30</c:f>
              <c:numCache>
                <c:formatCode>_("$"* #,##0_);_("$"* \(#,##0\);_("$"* "-"??_);_(@_)</c:formatCode>
                <c:ptCount val="24"/>
                <c:pt idx="0">
                  <c:v>10229.859999999997</c:v>
                </c:pt>
                <c:pt idx="1">
                  <c:v>13394.06</c:v>
                </c:pt>
                <c:pt idx="2">
                  <c:v>20516.259999999998</c:v>
                </c:pt>
                <c:pt idx="3">
                  <c:v>20639.689999999999</c:v>
                </c:pt>
                <c:pt idx="4">
                  <c:v>25298.970000000008</c:v>
                </c:pt>
                <c:pt idx="5">
                  <c:v>17761.370000000003</c:v>
                </c:pt>
                <c:pt idx="6">
                  <c:v>23971.919999999998</c:v>
                </c:pt>
                <c:pt idx="7">
                  <c:v>22412.220000000005</c:v>
                </c:pt>
                <c:pt idx="8">
                  <c:v>26096.239999999998</c:v>
                </c:pt>
                <c:pt idx="9">
                  <c:v>28446.790000000008</c:v>
                </c:pt>
                <c:pt idx="10">
                  <c:v>15704.14</c:v>
                </c:pt>
                <c:pt idx="11">
                  <c:v>23025.02</c:v>
                </c:pt>
                <c:pt idx="12">
                  <c:v>22874.559999999998</c:v>
                </c:pt>
                <c:pt idx="13">
                  <c:v>21941.47</c:v>
                </c:pt>
                <c:pt idx="14">
                  <c:v>24105.539999999997</c:v>
                </c:pt>
                <c:pt idx="15">
                  <c:v>20506.990000000002</c:v>
                </c:pt>
                <c:pt idx="16">
                  <c:v>13452.419999999996</c:v>
                </c:pt>
                <c:pt idx="17">
                  <c:v>24020.080000000005</c:v>
                </c:pt>
                <c:pt idx="18">
                  <c:v>11084.560000000005</c:v>
                </c:pt>
                <c:pt idx="19">
                  <c:v>15987.200000000003</c:v>
                </c:pt>
                <c:pt idx="20">
                  <c:v>16433.55</c:v>
                </c:pt>
                <c:pt idx="21">
                  <c:v>24058.13</c:v>
                </c:pt>
                <c:pt idx="22">
                  <c:v>21219.609999999997</c:v>
                </c:pt>
                <c:pt idx="23">
                  <c:v>16026.759999999997</c:v>
                </c:pt>
              </c:numCache>
            </c:numRef>
          </c:val>
          <c:extLst>
            <c:ext xmlns:c16="http://schemas.microsoft.com/office/drawing/2014/chart" uri="{C3380CC4-5D6E-409C-BE32-E72D297353CC}">
              <c16:uniqueId val="{00000002-C235-4B07-BE9E-F8C05F7C16BF}"/>
            </c:ext>
          </c:extLst>
        </c:ser>
        <c:ser>
          <c:idx val="3"/>
          <c:order val="3"/>
          <c:tx>
            <c:strRef>
              <c:f>ANALYSIS!$E$3</c:f>
              <c:strCache>
                <c:ptCount val="1"/>
                <c:pt idx="0">
                  <c:v>Sum of profit margin</c:v>
                </c:pt>
              </c:strCache>
            </c:strRef>
          </c:tx>
          <c:spPr>
            <a:solidFill>
              <a:schemeClr val="accent4"/>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ANALYSIS!$E$4:$E$30</c:f>
              <c:numCache>
                <c:formatCode>0%</c:formatCode>
                <c:ptCount val="24"/>
                <c:pt idx="0">
                  <c:v>5.6435856722281539</c:v>
                </c:pt>
                <c:pt idx="1">
                  <c:v>6.2692882404771382</c:v>
                </c:pt>
                <c:pt idx="2">
                  <c:v>9.2054033460676887</c:v>
                </c:pt>
                <c:pt idx="3">
                  <c:v>9.5456471417071871</c:v>
                </c:pt>
                <c:pt idx="4">
                  <c:v>7.5262389738570281</c:v>
                </c:pt>
                <c:pt idx="5">
                  <c:v>6.2681986830267471</c:v>
                </c:pt>
                <c:pt idx="6">
                  <c:v>9.3554952511283371</c:v>
                </c:pt>
                <c:pt idx="7">
                  <c:v>6.9899016653225106</c:v>
                </c:pt>
                <c:pt idx="8">
                  <c:v>11.45775241992345</c:v>
                </c:pt>
                <c:pt idx="9">
                  <c:v>11.423153090540895</c:v>
                </c:pt>
                <c:pt idx="10">
                  <c:v>6.7403619743374623</c:v>
                </c:pt>
                <c:pt idx="11">
                  <c:v>9.239023084661163</c:v>
                </c:pt>
                <c:pt idx="12">
                  <c:v>9.8332469953706969</c:v>
                </c:pt>
                <c:pt idx="13">
                  <c:v>7.9425189211217031</c:v>
                </c:pt>
                <c:pt idx="14">
                  <c:v>9.3143255861315826</c:v>
                </c:pt>
                <c:pt idx="15">
                  <c:v>7.5741253259672154</c:v>
                </c:pt>
                <c:pt idx="16">
                  <c:v>7.9716034258723676</c:v>
                </c:pt>
                <c:pt idx="17">
                  <c:v>10.301019735384967</c:v>
                </c:pt>
                <c:pt idx="18">
                  <c:v>5.3741279412725111</c:v>
                </c:pt>
                <c:pt idx="19">
                  <c:v>9.3390326403566259</c:v>
                </c:pt>
                <c:pt idx="20">
                  <c:v>9.5622208106817599</c:v>
                </c:pt>
                <c:pt idx="21">
                  <c:v>8.5896603147554984</c:v>
                </c:pt>
                <c:pt idx="22">
                  <c:v>7.7054770140059414</c:v>
                </c:pt>
                <c:pt idx="23">
                  <c:v>6.0539463435702219</c:v>
                </c:pt>
              </c:numCache>
            </c:numRef>
          </c:val>
          <c:extLst>
            <c:ext xmlns:c16="http://schemas.microsoft.com/office/drawing/2014/chart" uri="{C3380CC4-5D6E-409C-BE32-E72D297353CC}">
              <c16:uniqueId val="{00000003-C235-4B07-BE9E-F8C05F7C16BF}"/>
            </c:ext>
          </c:extLst>
        </c:ser>
        <c:dLbls>
          <c:showLegendKey val="0"/>
          <c:showVal val="0"/>
          <c:showCatName val="0"/>
          <c:showSerName val="0"/>
          <c:showPercent val="0"/>
          <c:showBubbleSize val="0"/>
        </c:dLbls>
        <c:gapWidth val="219"/>
        <c:axId val="1784004255"/>
        <c:axId val="1946534079"/>
      </c:barChart>
      <c:catAx>
        <c:axId val="178400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34079"/>
        <c:crosses val="autoZero"/>
        <c:auto val="1"/>
        <c:lblAlgn val="ctr"/>
        <c:lblOffset val="100"/>
        <c:noMultiLvlLbl val="0"/>
      </c:catAx>
      <c:valAx>
        <c:axId val="1946534079"/>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0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ANALYSIS.xlsx]ANALYSIS!PivotTable2</c:name>
    <c:fmtId val="4"/>
  </c:pivotSource>
  <c:chart>
    <c:title>
      <c:tx>
        <c:rich>
          <a:bodyPr/>
          <a:lstStyle/>
          <a:p>
            <a:pPr>
              <a:defRPr/>
            </a:pPr>
            <a:r>
              <a:rPr lang="en-US" sz="1600">
                <a:solidFill>
                  <a:schemeClr val="bg1"/>
                </a:solidFill>
                <a:latin typeface="+mj-lt"/>
              </a:rPr>
              <a:t>REVENUE BY YEAR</a:t>
            </a:r>
          </a:p>
        </c:rich>
      </c:tx>
      <c:overlay val="0"/>
      <c:spPr>
        <a:solidFill>
          <a:schemeClr val="accent2"/>
        </a:solidFill>
        <a:ln w="38100">
          <a:solidFill>
            <a:schemeClr val="bg2"/>
          </a:solidFill>
        </a:ln>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ANALYSIS!$H$3</c:f>
              <c:strCache>
                <c:ptCount val="1"/>
                <c:pt idx="0">
                  <c:v>Total</c:v>
                </c:pt>
              </c:strCache>
            </c:strRef>
          </c:tx>
          <c:spPr>
            <a:ln w="28575" cap="rnd">
              <a:solidFill>
                <a:schemeClr val="accent1"/>
              </a:solidFill>
              <a:round/>
            </a:ln>
            <a:effectLst/>
          </c:spPr>
          <c:marker>
            <c:symbol val="none"/>
          </c:marker>
          <c:cat>
            <c:multiLvlStrRef>
              <c:f>ANALYSIS!$G$4:$G$30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ANALYSIS!$H$4:$H$30</c:f>
              <c:numCache>
                <c:formatCode>_("$"* #,##0.00_);_("$"* \(#,##0.00\);_("$"* "-"??_);_(@_)</c:formatCode>
                <c:ptCount val="24"/>
                <c:pt idx="0">
                  <c:v>130509.64</c:v>
                </c:pt>
                <c:pt idx="1">
                  <c:v>99823.499999999985</c:v>
                </c:pt>
                <c:pt idx="2">
                  <c:v>102660.01999999999</c:v>
                </c:pt>
                <c:pt idx="3">
                  <c:v>104831.61000000002</c:v>
                </c:pt>
                <c:pt idx="4">
                  <c:v>79904.079999999987</c:v>
                </c:pt>
                <c:pt idx="5">
                  <c:v>111614.82999999997</c:v>
                </c:pt>
                <c:pt idx="6">
                  <c:v>59858.670000000006</c:v>
                </c:pt>
                <c:pt idx="7">
                  <c:v>79504.55</c:v>
                </c:pt>
                <c:pt idx="8">
                  <c:v>65245.299999999996</c:v>
                </c:pt>
                <c:pt idx="9">
                  <c:v>103140.03999999998</c:v>
                </c:pt>
                <c:pt idx="10">
                  <c:v>107106.98999999999</c:v>
                </c:pt>
                <c:pt idx="11">
                  <c:v>83409.499999999971</c:v>
                </c:pt>
                <c:pt idx="12">
                  <c:v>70438.000000000015</c:v>
                </c:pt>
                <c:pt idx="13">
                  <c:v>94571.060000000012</c:v>
                </c:pt>
                <c:pt idx="14">
                  <c:v>112588.61</c:v>
                </c:pt>
                <c:pt idx="15">
                  <c:v>84516.659999999974</c:v>
                </c:pt>
                <c:pt idx="16">
                  <c:v>100191.91999999998</c:v>
                </c:pt>
                <c:pt idx="17">
                  <c:v>104829.10999999999</c:v>
                </c:pt>
                <c:pt idx="18">
                  <c:v>108304.97999999997</c:v>
                </c:pt>
                <c:pt idx="19">
                  <c:v>104619.51999999999</c:v>
                </c:pt>
                <c:pt idx="20">
                  <c:v>111729.24999999999</c:v>
                </c:pt>
                <c:pt idx="21">
                  <c:v>121679.99000000003</c:v>
                </c:pt>
                <c:pt idx="22">
                  <c:v>83923.91</c:v>
                </c:pt>
                <c:pt idx="23">
                  <c:v>118627.10999999999</c:v>
                </c:pt>
              </c:numCache>
            </c:numRef>
          </c:val>
          <c:smooth val="0"/>
          <c:extLst>
            <c:ext xmlns:c16="http://schemas.microsoft.com/office/drawing/2014/chart" uri="{C3380CC4-5D6E-409C-BE32-E72D297353CC}">
              <c16:uniqueId val="{00000003-52BA-4D0D-8878-3751E090FB84}"/>
            </c:ext>
          </c:extLst>
        </c:ser>
        <c:dLbls>
          <c:showLegendKey val="0"/>
          <c:showVal val="0"/>
          <c:showCatName val="0"/>
          <c:showSerName val="0"/>
          <c:showPercent val="0"/>
          <c:showBubbleSize val="0"/>
        </c:dLbls>
        <c:smooth val="0"/>
        <c:axId val="361346128"/>
        <c:axId val="361346608"/>
      </c:lineChart>
      <c:catAx>
        <c:axId val="3613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6608"/>
        <c:crosses val="autoZero"/>
        <c:auto val="1"/>
        <c:lblAlgn val="ctr"/>
        <c:lblOffset val="100"/>
        <c:noMultiLvlLbl val="0"/>
      </c:catAx>
      <c:valAx>
        <c:axId val="361346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61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CUSTOMERS' CONTRIBUTION TO REVENUE </a:t>
            </a:r>
          </a:p>
        </c:rich>
      </c:tx>
      <c:layout>
        <c:manualLayout>
          <c:xMode val="edge"/>
          <c:yMode val="edge"/>
          <c:x val="0.15730530301665477"/>
          <c:y val="2.113324594771792E-2"/>
        </c:manualLayout>
      </c:layout>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s>
    <c:plotArea>
      <c:layout>
        <c:manualLayout>
          <c:layoutTarget val="inner"/>
          <c:xMode val="edge"/>
          <c:yMode val="edge"/>
          <c:x val="1.4417213992559253E-2"/>
          <c:y val="0.3496216982253787"/>
          <c:w val="0.66126931301593961"/>
          <c:h val="0.5682638657898601"/>
        </c:manualLayout>
      </c:layout>
      <c:doughnutChart>
        <c:varyColors val="1"/>
        <c:ser>
          <c:idx val="0"/>
          <c:order val="0"/>
          <c:tx>
            <c:strRef>
              <c:f>ANALYSIS!$V$3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3006-430E-9ED6-9134C2E79EAA}"/>
              </c:ext>
            </c:extLst>
          </c:dPt>
          <c:cat>
            <c:strRef>
              <c:f>ANALYSIS!$U$4:$U$19</c:f>
              <c:strCache>
                <c:ptCount val="15"/>
                <c:pt idx="0">
                  <c:v>David Ali</c:v>
                </c:pt>
                <c:pt idx="1">
                  <c:v>Peter Khan</c:v>
                </c:pt>
                <c:pt idx="2">
                  <c:v>Ibrahim Yakubu</c:v>
                </c:pt>
                <c:pt idx="3">
                  <c:v>Grace Ade</c:v>
                </c:pt>
                <c:pt idx="4">
                  <c:v>Ahmed Ali</c:v>
                </c:pt>
                <c:pt idx="5">
                  <c:v>Ahmed Okafor</c:v>
                </c:pt>
                <c:pt idx="6">
                  <c:v>Mary Ndlovu</c:v>
                </c:pt>
                <c:pt idx="7">
                  <c:v>Mary Bello</c:v>
                </c:pt>
                <c:pt idx="8">
                  <c:v>Samuel Balogun</c:v>
                </c:pt>
                <c:pt idx="9">
                  <c:v>Aisha Abdullahi</c:v>
                </c:pt>
                <c:pt idx="10">
                  <c:v>Peter Abdullahi</c:v>
                </c:pt>
                <c:pt idx="11">
                  <c:v>Ibrahim Ali</c:v>
                </c:pt>
                <c:pt idx="12">
                  <c:v>Ngozi Abdullahi</c:v>
                </c:pt>
                <c:pt idx="13">
                  <c:v>Ibrahim Balogun</c:v>
                </c:pt>
                <c:pt idx="14">
                  <c:v>Chinedu Balogun</c:v>
                </c:pt>
              </c:strCache>
            </c:strRef>
          </c:cat>
          <c:val>
            <c:numRef>
              <c:f>ANALYSIS!$V$4:$V$19</c:f>
              <c:numCache>
                <c:formatCode>General</c:formatCode>
                <c:ptCount val="15"/>
                <c:pt idx="0">
                  <c:v>10</c:v>
                </c:pt>
                <c:pt idx="1">
                  <c:v>7</c:v>
                </c:pt>
                <c:pt idx="2">
                  <c:v>12</c:v>
                </c:pt>
                <c:pt idx="3">
                  <c:v>9</c:v>
                </c:pt>
                <c:pt idx="4">
                  <c:v>10</c:v>
                </c:pt>
                <c:pt idx="5">
                  <c:v>11</c:v>
                </c:pt>
                <c:pt idx="6">
                  <c:v>11</c:v>
                </c:pt>
                <c:pt idx="7">
                  <c:v>9</c:v>
                </c:pt>
                <c:pt idx="8">
                  <c:v>9</c:v>
                </c:pt>
                <c:pt idx="9">
                  <c:v>8</c:v>
                </c:pt>
                <c:pt idx="10">
                  <c:v>5</c:v>
                </c:pt>
                <c:pt idx="11">
                  <c:v>9</c:v>
                </c:pt>
                <c:pt idx="12">
                  <c:v>7</c:v>
                </c:pt>
                <c:pt idx="13">
                  <c:v>7</c:v>
                </c:pt>
                <c:pt idx="14">
                  <c:v>7</c:v>
                </c:pt>
              </c:numCache>
            </c:numRef>
          </c:val>
          <c:extLst>
            <c:ext xmlns:c16="http://schemas.microsoft.com/office/drawing/2014/chart" uri="{C3380CC4-5D6E-409C-BE32-E72D297353CC}">
              <c16:uniqueId val="{000001BE-3006-430E-9ED6-9134C2E79EAA}"/>
            </c:ext>
          </c:extLst>
        </c:ser>
        <c:ser>
          <c:idx val="1"/>
          <c:order val="1"/>
          <c:tx>
            <c:strRef>
              <c:f>ANALYSIS!$W$3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C0-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C2-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C4-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C6-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C8-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CA-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CC-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CE-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0-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2-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D4-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D6-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D8-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DA-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DC-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DE-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E0-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E2-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E4-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E6-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E8-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EA-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EC-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EE-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F0-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F2-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F4-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F6-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F8-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FA-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FC-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FE-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00-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02-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04-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06-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08-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0A-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0C-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0E-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10-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12-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14-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16-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18-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1A-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1C-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1E-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20-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22-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24-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26-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28-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2A-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2C-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2E-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30-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32-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34-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36-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38-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3A-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3C-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3E-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40-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42-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44-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46-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48-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4A-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4C-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4E-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50-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52-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54-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56-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58-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5A-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5C-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5E-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60-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62-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64-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66-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68-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6A-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6C-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6E-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70-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72-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74-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76-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78-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7A-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7C-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7E-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80-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82-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84-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86-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88-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8A-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8C-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8E-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90-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92-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94-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96-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298-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29A-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29C-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29E-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2A0-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2A2-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A4-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A6-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A8-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AA-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AC-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AE-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B0-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B2-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B4-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B6-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B8-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BA-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BC-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BE-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C0-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C2-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C4-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C6-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C8-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CA-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CC-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CE-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D0-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D2-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D4-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D6-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D8-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DA-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DC-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DE-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E0-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E2-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E4-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E6-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E8-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EA-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EC-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EE-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F0-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F2-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F4-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F6-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F8-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FA-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FC-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FE-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00-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02-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304-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306-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308-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30A-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30C-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30E-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10-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12-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14-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16-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18-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1A-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1C-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1E-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20-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22-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24-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26-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28-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2A-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2C-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2E-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30-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32-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34-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36-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38-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3A-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3C-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3E-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40-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42-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44-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46-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48-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4A-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4C-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4E-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50-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52-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54-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56-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58-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5A-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5C-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5E-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60-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62-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64-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66-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68-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6A-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6C-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6E-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370-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372-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374-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376-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378-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37A-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7C-3006-430E-9ED6-9134C2E79EAA}"/>
              </c:ext>
            </c:extLst>
          </c:dPt>
          <c:cat>
            <c:strRef>
              <c:f>ANALYSIS!$U$4:$U$19</c:f>
              <c:strCache>
                <c:ptCount val="15"/>
                <c:pt idx="0">
                  <c:v>David Ali</c:v>
                </c:pt>
                <c:pt idx="1">
                  <c:v>Peter Khan</c:v>
                </c:pt>
                <c:pt idx="2">
                  <c:v>Ibrahim Yakubu</c:v>
                </c:pt>
                <c:pt idx="3">
                  <c:v>Grace Ade</c:v>
                </c:pt>
                <c:pt idx="4">
                  <c:v>Ahmed Ali</c:v>
                </c:pt>
                <c:pt idx="5">
                  <c:v>Ahmed Okafor</c:v>
                </c:pt>
                <c:pt idx="6">
                  <c:v>Mary Ndlovu</c:v>
                </c:pt>
                <c:pt idx="7">
                  <c:v>Mary Bello</c:v>
                </c:pt>
                <c:pt idx="8">
                  <c:v>Samuel Balogun</c:v>
                </c:pt>
                <c:pt idx="9">
                  <c:v>Aisha Abdullahi</c:v>
                </c:pt>
                <c:pt idx="10">
                  <c:v>Peter Abdullahi</c:v>
                </c:pt>
                <c:pt idx="11">
                  <c:v>Ibrahim Ali</c:v>
                </c:pt>
                <c:pt idx="12">
                  <c:v>Ngozi Abdullahi</c:v>
                </c:pt>
                <c:pt idx="13">
                  <c:v>Ibrahim Balogun</c:v>
                </c:pt>
                <c:pt idx="14">
                  <c:v>Chinedu Balogun</c:v>
                </c:pt>
              </c:strCache>
            </c:strRef>
          </c:cat>
          <c:val>
            <c:numRef>
              <c:f>ANALYSIS!$W$4:$W$19</c:f>
              <c:numCache>
                <c:formatCode>General</c:formatCode>
                <c:ptCount val="15"/>
                <c:pt idx="0">
                  <c:v>56</c:v>
                </c:pt>
                <c:pt idx="1">
                  <c:v>49</c:v>
                </c:pt>
                <c:pt idx="2">
                  <c:v>75</c:v>
                </c:pt>
                <c:pt idx="3">
                  <c:v>59</c:v>
                </c:pt>
                <c:pt idx="4">
                  <c:v>44</c:v>
                </c:pt>
                <c:pt idx="5">
                  <c:v>66</c:v>
                </c:pt>
                <c:pt idx="6">
                  <c:v>61</c:v>
                </c:pt>
                <c:pt idx="7">
                  <c:v>51</c:v>
                </c:pt>
                <c:pt idx="8">
                  <c:v>60</c:v>
                </c:pt>
                <c:pt idx="9">
                  <c:v>44</c:v>
                </c:pt>
                <c:pt idx="10">
                  <c:v>39</c:v>
                </c:pt>
                <c:pt idx="11">
                  <c:v>54</c:v>
                </c:pt>
                <c:pt idx="12">
                  <c:v>47</c:v>
                </c:pt>
                <c:pt idx="13">
                  <c:v>46</c:v>
                </c:pt>
                <c:pt idx="14">
                  <c:v>42</c:v>
                </c:pt>
              </c:numCache>
            </c:numRef>
          </c:val>
          <c:extLst>
            <c:ext xmlns:c16="http://schemas.microsoft.com/office/drawing/2014/chart" uri="{C3380CC4-5D6E-409C-BE32-E72D297353CC}">
              <c16:uniqueId val="{0000037D-3006-430E-9ED6-9134C2E79EAA}"/>
            </c:ext>
          </c:extLst>
        </c:ser>
        <c:ser>
          <c:idx val="2"/>
          <c:order val="2"/>
          <c:tx>
            <c:strRef>
              <c:f>ANALYSIS!$X$3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37F-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381-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383-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385-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387-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389-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8B-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8D-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8F-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91-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93-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95-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97-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99-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9B-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9D-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9F-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A1-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A3-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A5-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A7-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A9-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AB-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AD-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AF-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B1-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B3-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B5-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B7-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B9-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BB-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BD-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BF-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C1-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C3-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C5-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C7-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C9-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CB-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CD-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CF-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D1-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D3-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D5-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D7-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D9-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DB-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DD-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DF-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E1-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E3-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E5-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E7-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E9-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3EB-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3ED-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3EF-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3F1-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3F3-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3F5-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F7-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F9-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FB-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FD-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FF-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01-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03-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05-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07-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09-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0B-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0D-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0F-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11-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13-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15-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17-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19-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1B-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1D-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1F-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21-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23-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25-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27-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29-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2B-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2D-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2F-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31-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33-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35-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37-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39-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3B-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3D-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3F-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41-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43-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45-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47-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49-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4B-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4D-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4F-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51-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53-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55-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457-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459-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45B-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45D-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45F-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461-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63-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65-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67-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69-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6B-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6D-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6F-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71-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73-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75-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77-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79-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7B-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7D-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7F-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81-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83-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85-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87-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89-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8B-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8D-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8F-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91-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93-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95-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97-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99-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9B-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9D-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9F-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A1-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A3-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A5-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A7-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A9-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AB-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AD-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AF-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B1-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B3-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B5-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B7-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B9-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BB-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BD-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BF-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C1-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4C3-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4C5-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4C7-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4C9-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4CB-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4CD-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CF-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D1-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D3-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D5-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D7-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D9-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DB-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DD-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DF-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E1-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E3-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E5-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E7-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E9-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EB-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ED-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EF-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F1-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F3-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F5-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F7-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F9-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FB-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FD-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FF-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01-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03-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05-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07-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09-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0B-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0D-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0F-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11-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13-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15-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17-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19-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1B-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1D-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1F-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21-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23-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25-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27-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29-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2B-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2D-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52F-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531-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533-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535-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537-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539-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3B-3006-430E-9ED6-9134C2E79EAA}"/>
              </c:ext>
            </c:extLst>
          </c:dPt>
          <c:cat>
            <c:strRef>
              <c:f>ANALYSIS!$U$4:$U$19</c:f>
              <c:strCache>
                <c:ptCount val="15"/>
                <c:pt idx="0">
                  <c:v>David Ali</c:v>
                </c:pt>
                <c:pt idx="1">
                  <c:v>Peter Khan</c:v>
                </c:pt>
                <c:pt idx="2">
                  <c:v>Ibrahim Yakubu</c:v>
                </c:pt>
                <c:pt idx="3">
                  <c:v>Grace Ade</c:v>
                </c:pt>
                <c:pt idx="4">
                  <c:v>Ahmed Ali</c:v>
                </c:pt>
                <c:pt idx="5">
                  <c:v>Ahmed Okafor</c:v>
                </c:pt>
                <c:pt idx="6">
                  <c:v>Mary Ndlovu</c:v>
                </c:pt>
                <c:pt idx="7">
                  <c:v>Mary Bello</c:v>
                </c:pt>
                <c:pt idx="8">
                  <c:v>Samuel Balogun</c:v>
                </c:pt>
                <c:pt idx="9">
                  <c:v>Aisha Abdullahi</c:v>
                </c:pt>
                <c:pt idx="10">
                  <c:v>Peter Abdullahi</c:v>
                </c:pt>
                <c:pt idx="11">
                  <c:v>Ibrahim Ali</c:v>
                </c:pt>
                <c:pt idx="12">
                  <c:v>Ngozi Abdullahi</c:v>
                </c:pt>
                <c:pt idx="13">
                  <c:v>Ibrahim Balogun</c:v>
                </c:pt>
                <c:pt idx="14">
                  <c:v>Chinedu Balogun</c:v>
                </c:pt>
              </c:strCache>
            </c:strRef>
          </c:cat>
          <c:val>
            <c:numRef>
              <c:f>ANALYSIS!$X$4:$X$19</c:f>
              <c:numCache>
                <c:formatCode>_("$"* #,##0_);_("$"* \(#,##0\);_("$"* "-"??_);_(@_)</c:formatCode>
                <c:ptCount val="15"/>
                <c:pt idx="0">
                  <c:v>32066.15</c:v>
                </c:pt>
                <c:pt idx="1">
                  <c:v>28949.980000000003</c:v>
                </c:pt>
                <c:pt idx="2">
                  <c:v>28939.550000000007</c:v>
                </c:pt>
                <c:pt idx="3">
                  <c:v>28659.420000000002</c:v>
                </c:pt>
                <c:pt idx="4">
                  <c:v>26271.3</c:v>
                </c:pt>
                <c:pt idx="5">
                  <c:v>26233.31</c:v>
                </c:pt>
                <c:pt idx="6">
                  <c:v>26145.119999999999</c:v>
                </c:pt>
                <c:pt idx="7">
                  <c:v>25703.64</c:v>
                </c:pt>
                <c:pt idx="8">
                  <c:v>25088.33</c:v>
                </c:pt>
                <c:pt idx="9">
                  <c:v>24861.910000000003</c:v>
                </c:pt>
                <c:pt idx="10">
                  <c:v>24677.08</c:v>
                </c:pt>
                <c:pt idx="11">
                  <c:v>24135.72</c:v>
                </c:pt>
                <c:pt idx="12">
                  <c:v>23808.43</c:v>
                </c:pt>
                <c:pt idx="13">
                  <c:v>23614.739999999998</c:v>
                </c:pt>
                <c:pt idx="14">
                  <c:v>22926.019999999997</c:v>
                </c:pt>
              </c:numCache>
            </c:numRef>
          </c:val>
          <c:extLst>
            <c:ext xmlns:c16="http://schemas.microsoft.com/office/drawing/2014/chart" uri="{C3380CC4-5D6E-409C-BE32-E72D297353CC}">
              <c16:uniqueId val="{0000053C-3006-430E-9ED6-9134C2E79E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REP PERFORMANCE</a:t>
            </a:r>
            <a:endParaRPr lang="en-US" b="1">
              <a:solidFill>
                <a:schemeClr val="bg1"/>
              </a:solidFill>
            </a:endParaRP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61880801627726"/>
          <c:y val="3.6075112664826929E-2"/>
          <c:w val="0.55174661379106649"/>
          <c:h val="0.80830873508797918"/>
        </c:manualLayout>
      </c:layout>
      <c:bar3DChart>
        <c:barDir val="col"/>
        <c:grouping val="standard"/>
        <c:varyColors val="0"/>
        <c:ser>
          <c:idx val="0"/>
          <c:order val="0"/>
          <c:tx>
            <c:strRef>
              <c:f>ANALYSIS!$AA$3</c:f>
              <c:strCache>
                <c:ptCount val="1"/>
                <c:pt idx="0">
                  <c:v>Sum of Quantity</c:v>
                </c:pt>
              </c:strCache>
            </c:strRef>
          </c:tx>
          <c:spPr>
            <a:solidFill>
              <a:schemeClr val="accent1"/>
            </a:solidFill>
            <a:ln>
              <a:noFill/>
            </a:ln>
            <a:effectLst/>
            <a:sp3d/>
          </c:spPr>
          <c:invertIfNegative val="0"/>
          <c:cat>
            <c:strRef>
              <c:f>ANALYSIS!$Z$4:$Z$14</c:f>
              <c:strCache>
                <c:ptCount val="10"/>
                <c:pt idx="0">
                  <c:v>Kemi</c:v>
                </c:pt>
                <c:pt idx="1">
                  <c:v>Yemi</c:v>
                </c:pt>
                <c:pt idx="2">
                  <c:v>Bola</c:v>
                </c:pt>
                <c:pt idx="3">
                  <c:v>Sola</c:v>
                </c:pt>
                <c:pt idx="4">
                  <c:v>Uche</c:v>
                </c:pt>
                <c:pt idx="5">
                  <c:v>Emeka</c:v>
                </c:pt>
                <c:pt idx="6">
                  <c:v>Amina</c:v>
                </c:pt>
                <c:pt idx="7">
                  <c:v>Chioma</c:v>
                </c:pt>
                <c:pt idx="8">
                  <c:v>Ife</c:v>
                </c:pt>
                <c:pt idx="9">
                  <c:v>Tunde</c:v>
                </c:pt>
              </c:strCache>
            </c:strRef>
          </c:cat>
          <c:val>
            <c:numRef>
              <c:f>ANALYSIS!$AA$4:$AA$14</c:f>
              <c:numCache>
                <c:formatCode>General</c:formatCode>
                <c:ptCount val="10"/>
                <c:pt idx="0">
                  <c:v>586</c:v>
                </c:pt>
                <c:pt idx="1">
                  <c:v>562</c:v>
                </c:pt>
                <c:pt idx="2">
                  <c:v>621</c:v>
                </c:pt>
                <c:pt idx="3">
                  <c:v>521</c:v>
                </c:pt>
                <c:pt idx="4">
                  <c:v>530</c:v>
                </c:pt>
                <c:pt idx="5">
                  <c:v>557</c:v>
                </c:pt>
                <c:pt idx="6">
                  <c:v>579</c:v>
                </c:pt>
                <c:pt idx="7">
                  <c:v>529</c:v>
                </c:pt>
                <c:pt idx="8">
                  <c:v>522</c:v>
                </c:pt>
                <c:pt idx="9">
                  <c:v>424</c:v>
                </c:pt>
              </c:numCache>
            </c:numRef>
          </c:val>
          <c:extLst>
            <c:ext xmlns:c16="http://schemas.microsoft.com/office/drawing/2014/chart" uri="{C3380CC4-5D6E-409C-BE32-E72D297353CC}">
              <c16:uniqueId val="{00000000-239B-4EBA-BEE0-575AE9904036}"/>
            </c:ext>
          </c:extLst>
        </c:ser>
        <c:ser>
          <c:idx val="1"/>
          <c:order val="1"/>
          <c:tx>
            <c:strRef>
              <c:f>ANALYSIS!$AB$3</c:f>
              <c:strCache>
                <c:ptCount val="1"/>
                <c:pt idx="0">
                  <c:v>Sum of Revenue</c:v>
                </c:pt>
              </c:strCache>
            </c:strRef>
          </c:tx>
          <c:spPr>
            <a:solidFill>
              <a:schemeClr val="accent2"/>
            </a:solidFill>
            <a:ln>
              <a:noFill/>
            </a:ln>
            <a:effectLst/>
            <a:sp3d/>
          </c:spPr>
          <c:invertIfNegative val="0"/>
          <c:cat>
            <c:strRef>
              <c:f>ANALYSIS!$Z$4:$Z$14</c:f>
              <c:strCache>
                <c:ptCount val="10"/>
                <c:pt idx="0">
                  <c:v>Kemi</c:v>
                </c:pt>
                <c:pt idx="1">
                  <c:v>Yemi</c:v>
                </c:pt>
                <c:pt idx="2">
                  <c:v>Bola</c:v>
                </c:pt>
                <c:pt idx="3">
                  <c:v>Sola</c:v>
                </c:pt>
                <c:pt idx="4">
                  <c:v>Uche</c:v>
                </c:pt>
                <c:pt idx="5">
                  <c:v>Emeka</c:v>
                </c:pt>
                <c:pt idx="6">
                  <c:v>Amina</c:v>
                </c:pt>
                <c:pt idx="7">
                  <c:v>Chioma</c:v>
                </c:pt>
                <c:pt idx="8">
                  <c:v>Ife</c:v>
                </c:pt>
                <c:pt idx="9">
                  <c:v>Tunde</c:v>
                </c:pt>
              </c:strCache>
            </c:strRef>
          </c:cat>
          <c:val>
            <c:numRef>
              <c:f>ANALYSIS!$AB$4:$AB$14</c:f>
              <c:numCache>
                <c:formatCode>_("$"* #,##0_);_("$"* \(#,##0\);_("$"* "-"??_);_(@_)</c:formatCode>
                <c:ptCount val="10"/>
                <c:pt idx="0">
                  <c:v>295046.76000000013</c:v>
                </c:pt>
                <c:pt idx="1">
                  <c:v>256186.66999999987</c:v>
                </c:pt>
                <c:pt idx="2">
                  <c:v>255170.34</c:v>
                </c:pt>
                <c:pt idx="3">
                  <c:v>247051.54999999993</c:v>
                </c:pt>
                <c:pt idx="4">
                  <c:v>237913.27999999994</c:v>
                </c:pt>
                <c:pt idx="5">
                  <c:v>236518.70000000007</c:v>
                </c:pt>
                <c:pt idx="6">
                  <c:v>219440.77</c:v>
                </c:pt>
                <c:pt idx="7">
                  <c:v>218997.65999999995</c:v>
                </c:pt>
                <c:pt idx="8">
                  <c:v>205311.87999999992</c:v>
                </c:pt>
                <c:pt idx="9">
                  <c:v>171991.24</c:v>
                </c:pt>
              </c:numCache>
            </c:numRef>
          </c:val>
          <c:extLst>
            <c:ext xmlns:c16="http://schemas.microsoft.com/office/drawing/2014/chart" uri="{C3380CC4-5D6E-409C-BE32-E72D297353CC}">
              <c16:uniqueId val="{00000001-239B-4EBA-BEE0-575AE9904036}"/>
            </c:ext>
          </c:extLst>
        </c:ser>
        <c:dLbls>
          <c:showLegendKey val="0"/>
          <c:showVal val="0"/>
          <c:showCatName val="0"/>
          <c:showSerName val="0"/>
          <c:showPercent val="0"/>
          <c:showBubbleSize val="0"/>
        </c:dLbls>
        <c:gapWidth val="150"/>
        <c:shape val="box"/>
        <c:axId val="978597359"/>
        <c:axId val="978598799"/>
        <c:axId val="2098531359"/>
      </c:bar3DChart>
      <c:catAx>
        <c:axId val="97859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8799"/>
        <c:crosses val="autoZero"/>
        <c:auto val="1"/>
        <c:lblAlgn val="ctr"/>
        <c:lblOffset val="100"/>
        <c:noMultiLvlLbl val="0"/>
      </c:catAx>
      <c:valAx>
        <c:axId val="9785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7359"/>
        <c:crosses val="autoZero"/>
        <c:crossBetween val="between"/>
      </c:valAx>
      <c:serAx>
        <c:axId val="20985313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87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 PERFORMANCE</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ANALYSIS!$Q$3</c:f>
              <c:strCache>
                <c:ptCount val="1"/>
                <c:pt idx="0">
                  <c:v>Sum of Revenue</c:v>
                </c:pt>
              </c:strCache>
            </c:strRef>
          </c:tx>
          <c:spPr>
            <a:solidFill>
              <a:schemeClr val="accent1"/>
            </a:solidFill>
            <a:ln>
              <a:noFill/>
            </a:ln>
            <a:effectLst/>
          </c:spPr>
          <c:invertIfNegative val="0"/>
          <c:cat>
            <c:multiLvlStrRef>
              <c:f>ANALYSIS!$P$4:$P$36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ANALYSIS!$Q$4:$Q$36</c:f>
              <c:numCache>
                <c:formatCode>_("$"* #,##0_);_("$"* \(#,##0\);_("$"* "-"??_);_(@_)</c:formatCode>
                <c:ptCount val="29"/>
                <c:pt idx="0">
                  <c:v>112753.32</c:v>
                </c:pt>
                <c:pt idx="1">
                  <c:v>94061.599999999991</c:v>
                </c:pt>
                <c:pt idx="2">
                  <c:v>72209.579999999987</c:v>
                </c:pt>
                <c:pt idx="3">
                  <c:v>72224.78</c:v>
                </c:pt>
                <c:pt idx="4">
                  <c:v>102936.17000000003</c:v>
                </c:pt>
                <c:pt idx="5">
                  <c:v>99393.62</c:v>
                </c:pt>
                <c:pt idx="6">
                  <c:v>111104.99999999999</c:v>
                </c:pt>
                <c:pt idx="7">
                  <c:v>70161.799999999988</c:v>
                </c:pt>
                <c:pt idx="8">
                  <c:v>75897.349999999991</c:v>
                </c:pt>
                <c:pt idx="9">
                  <c:v>92793.48</c:v>
                </c:pt>
                <c:pt idx="10">
                  <c:v>115025.52000000002</c:v>
                </c:pt>
                <c:pt idx="11">
                  <c:v>92230.829999999987</c:v>
                </c:pt>
                <c:pt idx="12">
                  <c:v>78068.790000000008</c:v>
                </c:pt>
                <c:pt idx="13">
                  <c:v>81138.250000000029</c:v>
                </c:pt>
                <c:pt idx="14">
                  <c:v>80479.119999999981</c:v>
                </c:pt>
                <c:pt idx="15">
                  <c:v>82739.159999999974</c:v>
                </c:pt>
                <c:pt idx="16">
                  <c:v>54509.96</c:v>
                </c:pt>
                <c:pt idx="17">
                  <c:v>68266.86</c:v>
                </c:pt>
                <c:pt idx="18">
                  <c:v>61267.989999999991</c:v>
                </c:pt>
                <c:pt idx="19">
                  <c:v>85723.6</c:v>
                </c:pt>
                <c:pt idx="20">
                  <c:v>103368.93</c:v>
                </c:pt>
                <c:pt idx="21">
                  <c:v>63515.840000000004</c:v>
                </c:pt>
                <c:pt idx="22">
                  <c:v>68165.259999999995</c:v>
                </c:pt>
                <c:pt idx="23">
                  <c:v>56704.390000000014</c:v>
                </c:pt>
                <c:pt idx="24">
                  <c:v>64216.45</c:v>
                </c:pt>
                <c:pt idx="25">
                  <c:v>54990.909999999996</c:v>
                </c:pt>
                <c:pt idx="26">
                  <c:v>71554.729999999981</c:v>
                </c:pt>
                <c:pt idx="27">
                  <c:v>61643.580000000009</c:v>
                </c:pt>
                <c:pt idx="28">
                  <c:v>96481.98</c:v>
                </c:pt>
              </c:numCache>
            </c:numRef>
          </c:val>
          <c:extLst>
            <c:ext xmlns:c16="http://schemas.microsoft.com/office/drawing/2014/chart" uri="{C3380CC4-5D6E-409C-BE32-E72D297353CC}">
              <c16:uniqueId val="{00000000-43CF-47DD-9C6E-37620B56F834}"/>
            </c:ext>
          </c:extLst>
        </c:ser>
        <c:ser>
          <c:idx val="1"/>
          <c:order val="1"/>
          <c:tx>
            <c:strRef>
              <c:f>ANALYSIS!$R$3</c:f>
              <c:strCache>
                <c:ptCount val="1"/>
                <c:pt idx="0">
                  <c:v>Sum of total Cost</c:v>
                </c:pt>
              </c:strCache>
            </c:strRef>
          </c:tx>
          <c:spPr>
            <a:solidFill>
              <a:schemeClr val="accent2"/>
            </a:solidFill>
            <a:ln>
              <a:noFill/>
            </a:ln>
            <a:effectLst/>
          </c:spPr>
          <c:invertIfNegative val="0"/>
          <c:cat>
            <c:multiLvlStrRef>
              <c:f>ANALYSIS!$P$4:$P$36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ANALYSIS!$R$4:$R$36</c:f>
              <c:numCache>
                <c:formatCode>_("$"* #,##0_);_("$"* \(#,##0\);_("$"* "-"??_);_(@_)</c:formatCode>
                <c:ptCount val="29"/>
                <c:pt idx="0">
                  <c:v>90062.950000000012</c:v>
                </c:pt>
                <c:pt idx="1">
                  <c:v>76535.839999999997</c:v>
                </c:pt>
                <c:pt idx="2">
                  <c:v>57925.49</c:v>
                </c:pt>
                <c:pt idx="3">
                  <c:v>58637.820000000007</c:v>
                </c:pt>
                <c:pt idx="4">
                  <c:v>84963.73</c:v>
                </c:pt>
                <c:pt idx="5">
                  <c:v>79435.430000000008</c:v>
                </c:pt>
                <c:pt idx="6">
                  <c:v>88934.880000000019</c:v>
                </c:pt>
                <c:pt idx="7">
                  <c:v>52804.909999999996</c:v>
                </c:pt>
                <c:pt idx="8">
                  <c:v>57144.44</c:v>
                </c:pt>
                <c:pt idx="9">
                  <c:v>74776.070000000007</c:v>
                </c:pt>
                <c:pt idx="10">
                  <c:v>89847.809999999983</c:v>
                </c:pt>
                <c:pt idx="11">
                  <c:v>71367.830000000031</c:v>
                </c:pt>
                <c:pt idx="12">
                  <c:v>57698.930000000022</c:v>
                </c:pt>
                <c:pt idx="13">
                  <c:v>65251.850000000013</c:v>
                </c:pt>
                <c:pt idx="14">
                  <c:v>68133.389999999985</c:v>
                </c:pt>
                <c:pt idx="15">
                  <c:v>66047.619999999966</c:v>
                </c:pt>
                <c:pt idx="16">
                  <c:v>45326.73</c:v>
                </c:pt>
                <c:pt idx="17">
                  <c:v>52381.94</c:v>
                </c:pt>
                <c:pt idx="18">
                  <c:v>49148.78</c:v>
                </c:pt>
                <c:pt idx="19">
                  <c:v>70951.359999999986</c:v>
                </c:pt>
                <c:pt idx="20">
                  <c:v>78814.179999999993</c:v>
                </c:pt>
                <c:pt idx="21">
                  <c:v>52949.359999999993</c:v>
                </c:pt>
                <c:pt idx="22">
                  <c:v>53099.649999999994</c:v>
                </c:pt>
                <c:pt idx="23">
                  <c:v>46712.62</c:v>
                </c:pt>
                <c:pt idx="24">
                  <c:v>50325.719999999994</c:v>
                </c:pt>
                <c:pt idx="25">
                  <c:v>42175.840000000004</c:v>
                </c:pt>
                <c:pt idx="26">
                  <c:v>57183.739999999976</c:v>
                </c:pt>
                <c:pt idx="27">
                  <c:v>46971.7</c:v>
                </c:pt>
                <c:pt idx="28">
                  <c:v>78810.829999999987</c:v>
                </c:pt>
              </c:numCache>
            </c:numRef>
          </c:val>
          <c:extLst>
            <c:ext xmlns:c16="http://schemas.microsoft.com/office/drawing/2014/chart" uri="{C3380CC4-5D6E-409C-BE32-E72D297353CC}">
              <c16:uniqueId val="{00000001-43CF-47DD-9C6E-37620B56F834}"/>
            </c:ext>
          </c:extLst>
        </c:ser>
        <c:ser>
          <c:idx val="2"/>
          <c:order val="2"/>
          <c:tx>
            <c:strRef>
              <c:f>ANALYSIS!$S$3</c:f>
              <c:strCache>
                <c:ptCount val="1"/>
                <c:pt idx="0">
                  <c:v>Sum of Profit</c:v>
                </c:pt>
              </c:strCache>
            </c:strRef>
          </c:tx>
          <c:spPr>
            <a:solidFill>
              <a:schemeClr val="accent3"/>
            </a:solidFill>
            <a:ln>
              <a:noFill/>
            </a:ln>
            <a:effectLst/>
          </c:spPr>
          <c:invertIfNegative val="0"/>
          <c:cat>
            <c:multiLvlStrRef>
              <c:f>ANALYSIS!$P$4:$P$36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ANALYSIS!$S$4:$S$36</c:f>
              <c:numCache>
                <c:formatCode>_("$"* #,##0_);_("$"* \(#,##0\);_("$"* "-"??_);_(@_)</c:formatCode>
                <c:ptCount val="29"/>
                <c:pt idx="0">
                  <c:v>22690.37</c:v>
                </c:pt>
                <c:pt idx="1">
                  <c:v>17525.760000000002</c:v>
                </c:pt>
                <c:pt idx="2">
                  <c:v>14284.090000000002</c:v>
                </c:pt>
                <c:pt idx="3">
                  <c:v>13586.959999999997</c:v>
                </c:pt>
                <c:pt idx="4">
                  <c:v>17972.440000000002</c:v>
                </c:pt>
                <c:pt idx="5">
                  <c:v>19958.189999999999</c:v>
                </c:pt>
                <c:pt idx="6">
                  <c:v>22170.119999999995</c:v>
                </c:pt>
                <c:pt idx="7">
                  <c:v>17356.890000000003</c:v>
                </c:pt>
                <c:pt idx="8">
                  <c:v>18752.910000000003</c:v>
                </c:pt>
                <c:pt idx="9">
                  <c:v>18017.41</c:v>
                </c:pt>
                <c:pt idx="10">
                  <c:v>25177.71</c:v>
                </c:pt>
                <c:pt idx="11">
                  <c:v>20863.000000000004</c:v>
                </c:pt>
                <c:pt idx="12">
                  <c:v>20369.86</c:v>
                </c:pt>
                <c:pt idx="13">
                  <c:v>15886.400000000005</c:v>
                </c:pt>
                <c:pt idx="14">
                  <c:v>12345.73</c:v>
                </c:pt>
                <c:pt idx="15">
                  <c:v>16691.54</c:v>
                </c:pt>
                <c:pt idx="16">
                  <c:v>9183.2300000000014</c:v>
                </c:pt>
                <c:pt idx="17">
                  <c:v>15884.920000000002</c:v>
                </c:pt>
                <c:pt idx="18">
                  <c:v>12119.21</c:v>
                </c:pt>
                <c:pt idx="19">
                  <c:v>14772.240000000002</c:v>
                </c:pt>
                <c:pt idx="20">
                  <c:v>24554.750000000007</c:v>
                </c:pt>
                <c:pt idx="21">
                  <c:v>10566.48</c:v>
                </c:pt>
                <c:pt idx="22">
                  <c:v>15065.61</c:v>
                </c:pt>
                <c:pt idx="23">
                  <c:v>9991.7699999999986</c:v>
                </c:pt>
                <c:pt idx="24">
                  <c:v>13890.729999999998</c:v>
                </c:pt>
                <c:pt idx="25">
                  <c:v>12815.07</c:v>
                </c:pt>
                <c:pt idx="26">
                  <c:v>14370.990000000003</c:v>
                </c:pt>
                <c:pt idx="27">
                  <c:v>14671.88</c:v>
                </c:pt>
                <c:pt idx="28">
                  <c:v>17671.150000000001</c:v>
                </c:pt>
              </c:numCache>
            </c:numRef>
          </c:val>
          <c:extLst>
            <c:ext xmlns:c16="http://schemas.microsoft.com/office/drawing/2014/chart" uri="{C3380CC4-5D6E-409C-BE32-E72D297353CC}">
              <c16:uniqueId val="{00000002-43CF-47DD-9C6E-37620B56F834}"/>
            </c:ext>
          </c:extLst>
        </c:ser>
        <c:dLbls>
          <c:showLegendKey val="0"/>
          <c:showVal val="0"/>
          <c:showCatName val="0"/>
          <c:showSerName val="0"/>
          <c:showPercent val="0"/>
          <c:showBubbleSize val="0"/>
        </c:dLbls>
        <c:gapWidth val="150"/>
        <c:overlap val="100"/>
        <c:axId val="978587759"/>
        <c:axId val="978604559"/>
      </c:barChart>
      <c:catAx>
        <c:axId val="97858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04559"/>
        <c:crosses val="autoZero"/>
        <c:auto val="1"/>
        <c:lblAlgn val="ctr"/>
        <c:lblOffset val="100"/>
        <c:noMultiLvlLbl val="0"/>
      </c:catAx>
      <c:valAx>
        <c:axId val="978604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8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 PERFORMANCE </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Sum of Revenue</c:v>
                </c:pt>
              </c:strCache>
            </c:strRef>
          </c:tx>
          <c:spPr>
            <a:solidFill>
              <a:schemeClr val="accent1"/>
            </a:solidFill>
            <a:ln>
              <a:noFill/>
            </a:ln>
            <a:effectLst/>
          </c:spPr>
          <c:invertIfNegative val="0"/>
          <c:cat>
            <c:multiLvlStrRef>
              <c:f>ANALYSIS!$J$4:$J$24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ANALYSIS!$K$4:$K$24</c:f>
              <c:numCache>
                <c:formatCode>_("$"* #,##0_);_("$"* \(#,##0\);_("$"* "-"??_);_(@_)</c:formatCode>
                <c:ptCount val="16"/>
                <c:pt idx="0">
                  <c:v>171332.10999999996</c:v>
                </c:pt>
                <c:pt idx="1">
                  <c:v>157184.37999999998</c:v>
                </c:pt>
                <c:pt idx="2">
                  <c:v>158461.43999999994</c:v>
                </c:pt>
                <c:pt idx="3">
                  <c:v>127793.42999999998</c:v>
                </c:pt>
                <c:pt idx="4">
                  <c:v>149330.81999999998</c:v>
                </c:pt>
                <c:pt idx="5">
                  <c:v>176018.33000000002</c:v>
                </c:pt>
                <c:pt idx="6">
                  <c:v>126744.80999999997</c:v>
                </c:pt>
                <c:pt idx="7">
                  <c:v>89306.169999999984</c:v>
                </c:pt>
                <c:pt idx="8">
                  <c:v>182945.68000000002</c:v>
                </c:pt>
                <c:pt idx="9">
                  <c:v>145841.21999999997</c:v>
                </c:pt>
                <c:pt idx="10">
                  <c:v>154706.59</c:v>
                </c:pt>
                <c:pt idx="11">
                  <c:v>142490.71000000002</c:v>
                </c:pt>
                <c:pt idx="12">
                  <c:v>159049.85999999993</c:v>
                </c:pt>
                <c:pt idx="13">
                  <c:v>134654.95000000007</c:v>
                </c:pt>
                <c:pt idx="14">
                  <c:v>141546.35999999999</c:v>
                </c:pt>
                <c:pt idx="15">
                  <c:v>126221.99000000002</c:v>
                </c:pt>
              </c:numCache>
            </c:numRef>
          </c:val>
          <c:extLst>
            <c:ext xmlns:c16="http://schemas.microsoft.com/office/drawing/2014/chart" uri="{C3380CC4-5D6E-409C-BE32-E72D297353CC}">
              <c16:uniqueId val="{00000000-5BC0-421C-92C7-7A00786A56A1}"/>
            </c:ext>
          </c:extLst>
        </c:ser>
        <c:ser>
          <c:idx val="1"/>
          <c:order val="1"/>
          <c:tx>
            <c:strRef>
              <c:f>ANALYSIS!$L$3</c:f>
              <c:strCache>
                <c:ptCount val="1"/>
                <c:pt idx="0">
                  <c:v>Sum of Profit</c:v>
                </c:pt>
              </c:strCache>
            </c:strRef>
          </c:tx>
          <c:spPr>
            <a:solidFill>
              <a:schemeClr val="accent2"/>
            </a:solidFill>
            <a:ln>
              <a:noFill/>
            </a:ln>
            <a:effectLst/>
          </c:spPr>
          <c:invertIfNegative val="0"/>
          <c:cat>
            <c:multiLvlStrRef>
              <c:f>ANALYSIS!$J$4:$J$24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ANALYSIS!$L$4:$L$24</c:f>
              <c:numCache>
                <c:formatCode>_("$"* #,##0_);_("$"* \(#,##0\);_("$"* "-"??_);_(@_)</c:formatCode>
                <c:ptCount val="16"/>
                <c:pt idx="0">
                  <c:v>37282.579999999994</c:v>
                </c:pt>
                <c:pt idx="1">
                  <c:v>31106.100000000006</c:v>
                </c:pt>
                <c:pt idx="2">
                  <c:v>31088.940000000002</c:v>
                </c:pt>
                <c:pt idx="3">
                  <c:v>28076.199999999993</c:v>
                </c:pt>
                <c:pt idx="4">
                  <c:v>31961.410000000003</c:v>
                </c:pt>
                <c:pt idx="5">
                  <c:v>35029.880000000005</c:v>
                </c:pt>
                <c:pt idx="6">
                  <c:v>27034.510000000002</c:v>
                </c:pt>
                <c:pt idx="7">
                  <c:v>14225.910000000003</c:v>
                </c:pt>
                <c:pt idx="8">
                  <c:v>33945.01</c:v>
                </c:pt>
                <c:pt idx="9">
                  <c:v>28686.399999999994</c:v>
                </c:pt>
                <c:pt idx="10">
                  <c:v>27519.370000000006</c:v>
                </c:pt>
                <c:pt idx="11">
                  <c:v>26350.239999999998</c:v>
                </c:pt>
                <c:pt idx="12">
                  <c:v>36783.909999999996</c:v>
                </c:pt>
                <c:pt idx="13">
                  <c:v>26228.500000000004</c:v>
                </c:pt>
                <c:pt idx="14">
                  <c:v>35963.86</c:v>
                </c:pt>
                <c:pt idx="15">
                  <c:v>27924.590000000007</c:v>
                </c:pt>
              </c:numCache>
            </c:numRef>
          </c:val>
          <c:extLst>
            <c:ext xmlns:c16="http://schemas.microsoft.com/office/drawing/2014/chart" uri="{C3380CC4-5D6E-409C-BE32-E72D297353CC}">
              <c16:uniqueId val="{00000001-5BC0-421C-92C7-7A00786A56A1}"/>
            </c:ext>
          </c:extLst>
        </c:ser>
        <c:ser>
          <c:idx val="2"/>
          <c:order val="2"/>
          <c:tx>
            <c:strRef>
              <c:f>ANALYSIS!$M$3</c:f>
              <c:strCache>
                <c:ptCount val="1"/>
                <c:pt idx="0">
                  <c:v>Sum of profit margin</c:v>
                </c:pt>
              </c:strCache>
            </c:strRef>
          </c:tx>
          <c:spPr>
            <a:solidFill>
              <a:schemeClr val="accent3"/>
            </a:solidFill>
            <a:ln>
              <a:noFill/>
            </a:ln>
            <a:effectLst/>
          </c:spPr>
          <c:invertIfNegative val="0"/>
          <c:cat>
            <c:multiLvlStrRef>
              <c:f>ANALYSIS!$J$4:$J$24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ANALYSIS!$M$4:$M$24</c:f>
              <c:numCache>
                <c:formatCode>0%</c:formatCode>
                <c:ptCount val="16"/>
                <c:pt idx="0">
                  <c:v>14.732437046381261</c:v>
                </c:pt>
                <c:pt idx="1">
                  <c:v>13.571004791226757</c:v>
                </c:pt>
                <c:pt idx="2">
                  <c:v>12.84177812395135</c:v>
                </c:pt>
                <c:pt idx="3">
                  <c:v>12.014214343320196</c:v>
                </c:pt>
                <c:pt idx="4">
                  <c:v>12.528126559964267</c:v>
                </c:pt>
                <c:pt idx="5">
                  <c:v>12.146207161334029</c:v>
                </c:pt>
                <c:pt idx="6">
                  <c:v>9.3874779083568445</c:v>
                </c:pt>
                <c:pt idx="7">
                  <c:v>8.4750637081239901</c:v>
                </c:pt>
                <c:pt idx="8">
                  <c:v>13.350603582987111</c:v>
                </c:pt>
                <c:pt idx="9">
                  <c:v>12.674005357526031</c:v>
                </c:pt>
                <c:pt idx="10">
                  <c:v>12.430800107296033</c:v>
                </c:pt>
                <c:pt idx="11">
                  <c:v>10.002217824830161</c:v>
                </c:pt>
                <c:pt idx="12">
                  <c:v>16.266135772295055</c:v>
                </c:pt>
                <c:pt idx="13">
                  <c:v>13.496593788911984</c:v>
                </c:pt>
                <c:pt idx="14">
                  <c:v>13.145687095749871</c:v>
                </c:pt>
                <c:pt idx="15">
                  <c:v>12.163001425513917</c:v>
                </c:pt>
              </c:numCache>
            </c:numRef>
          </c:val>
          <c:extLst>
            <c:ext xmlns:c16="http://schemas.microsoft.com/office/drawing/2014/chart" uri="{C3380CC4-5D6E-409C-BE32-E72D297353CC}">
              <c16:uniqueId val="{00000002-5BC0-421C-92C7-7A00786A56A1}"/>
            </c:ext>
          </c:extLst>
        </c:ser>
        <c:dLbls>
          <c:showLegendKey val="0"/>
          <c:showVal val="0"/>
          <c:showCatName val="0"/>
          <c:showSerName val="0"/>
          <c:showPercent val="0"/>
          <c:showBubbleSize val="0"/>
        </c:dLbls>
        <c:gapWidth val="219"/>
        <c:overlap val="-27"/>
        <c:axId val="871421791"/>
        <c:axId val="871421311"/>
      </c:barChart>
      <c:catAx>
        <c:axId val="8714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1311"/>
        <c:crosses val="autoZero"/>
        <c:auto val="1"/>
        <c:lblAlgn val="ctr"/>
        <c:lblOffset val="100"/>
        <c:noMultiLvlLbl val="0"/>
      </c:catAx>
      <c:valAx>
        <c:axId val="8714213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34849</xdr:colOff>
      <xdr:row>0</xdr:row>
      <xdr:rowOff>142875</xdr:rowOff>
    </xdr:from>
    <xdr:to>
      <xdr:col>27</xdr:col>
      <xdr:colOff>495302</xdr:colOff>
      <xdr:row>37</xdr:row>
      <xdr:rowOff>142875</xdr:rowOff>
    </xdr:to>
    <xdr:sp macro="" textlink="">
      <xdr:nvSpPr>
        <xdr:cNvPr id="2" name="Rectangle 1">
          <a:extLst>
            <a:ext uri="{FF2B5EF4-FFF2-40B4-BE49-F238E27FC236}">
              <a16:creationId xmlns:a16="http://schemas.microsoft.com/office/drawing/2014/main" id="{9D41AC57-CFA8-8B59-7808-A02D09E665F1}"/>
            </a:ext>
          </a:extLst>
        </xdr:cNvPr>
        <xdr:cNvSpPr/>
      </xdr:nvSpPr>
      <xdr:spPr>
        <a:xfrm>
          <a:off x="34849" y="142875"/>
          <a:ext cx="16919653" cy="8064500"/>
        </a:xfrm>
        <a:prstGeom prst="rect">
          <a:avLst/>
        </a:prstGeom>
        <a:solidFill>
          <a:schemeClr val="accent1">
            <a:lumMod val="40000"/>
            <a:lumOff val="6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81311</xdr:colOff>
      <xdr:row>1</xdr:row>
      <xdr:rowOff>81573</xdr:rowOff>
    </xdr:from>
    <xdr:to>
      <xdr:col>27</xdr:col>
      <xdr:colOff>404203</xdr:colOff>
      <xdr:row>5</xdr:row>
      <xdr:rowOff>139390</xdr:rowOff>
    </xdr:to>
    <xdr:sp macro="" textlink="">
      <xdr:nvSpPr>
        <xdr:cNvPr id="3" name="Rectangle 2">
          <a:extLst>
            <a:ext uri="{FF2B5EF4-FFF2-40B4-BE49-F238E27FC236}">
              <a16:creationId xmlns:a16="http://schemas.microsoft.com/office/drawing/2014/main" id="{6B019D2D-F3BB-A08C-0995-781F9C138451}"/>
            </a:ext>
          </a:extLst>
        </xdr:cNvPr>
        <xdr:cNvSpPr/>
      </xdr:nvSpPr>
      <xdr:spPr>
        <a:xfrm>
          <a:off x="81311" y="272073"/>
          <a:ext cx="16782092" cy="819817"/>
        </a:xfrm>
        <a:prstGeom prst="rect">
          <a:avLst/>
        </a:prstGeom>
        <a:solidFill>
          <a:schemeClr val="accent2"/>
        </a:solidFill>
        <a:ln>
          <a:noFill/>
        </a:ln>
        <a:effectLst>
          <a:outerShdw blurRad="50800" dist="50800" dir="5400000" algn="ctr" rotWithShape="0">
            <a:schemeClr val="accent1">
              <a:lumMod val="20000"/>
              <a:lumOff val="8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4000" b="0" cap="none" spc="0">
              <a:ln w="0"/>
              <a:solidFill>
                <a:schemeClr val="tx1"/>
              </a:solidFill>
              <a:effectLst>
                <a:outerShdw blurRad="38100" dist="19050" dir="2700000" algn="tl" rotWithShape="0">
                  <a:schemeClr val="dk1">
                    <a:alpha val="40000"/>
                  </a:schemeClr>
                </a:outerShdw>
              </a:effectLst>
            </a:rPr>
            <a:t>        </a:t>
          </a:r>
          <a:r>
            <a:rPr lang="en-US" sz="44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rPr>
            <a:t>SALES</a:t>
          </a:r>
          <a:r>
            <a:rPr lang="en-US" sz="4400" b="0" cap="none" spc="0">
              <a:ln w="0"/>
              <a:solidFill>
                <a:schemeClr val="tx1"/>
              </a:solidFill>
              <a:effectLst>
                <a:glow rad="228600">
                  <a:schemeClr val="accent2">
                    <a:satMod val="175000"/>
                    <a:alpha val="40000"/>
                  </a:schemeClr>
                </a:glow>
                <a:outerShdw blurRad="38100" dist="19050" dir="2700000" algn="tl" rotWithShape="0">
                  <a:schemeClr val="bg1">
                    <a:alpha val="40000"/>
                  </a:schemeClr>
                </a:outerShdw>
              </a:effectLst>
              <a:latin typeface="+mn-lt"/>
            </a:rPr>
            <a:t> </a:t>
          </a:r>
          <a:r>
            <a:rPr lang="en-US" sz="44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rPr>
            <a:t>PERFORMANCE DASHBOARD</a:t>
          </a:r>
          <a:endParaRPr lang="en-US" sz="40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endParaRPr>
        </a:p>
      </xdr:txBody>
    </xdr:sp>
    <xdr:clientData/>
  </xdr:twoCellAnchor>
  <xdr:twoCellAnchor>
    <xdr:from>
      <xdr:col>4</xdr:col>
      <xdr:colOff>8728</xdr:colOff>
      <xdr:row>6</xdr:row>
      <xdr:rowOff>12701</xdr:rowOff>
    </xdr:from>
    <xdr:to>
      <xdr:col>14</xdr:col>
      <xdr:colOff>94453</xdr:colOff>
      <xdr:row>22</xdr:row>
      <xdr:rowOff>151007</xdr:rowOff>
    </xdr:to>
    <xdr:graphicFrame macro="">
      <xdr:nvGraphicFramePr>
        <xdr:cNvPr id="11" name="Chart 10">
          <a:extLst>
            <a:ext uri="{FF2B5EF4-FFF2-40B4-BE49-F238E27FC236}">
              <a16:creationId xmlns:a16="http://schemas.microsoft.com/office/drawing/2014/main" id="{BCB3573A-B5E1-44D3-B47D-D5FFE5157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161122</xdr:colOff>
      <xdr:row>6</xdr:row>
      <xdr:rowOff>20897</xdr:rowOff>
    </xdr:from>
    <xdr:to>
      <xdr:col>21</xdr:col>
      <xdr:colOff>209210</xdr:colOff>
      <xdr:row>22</xdr:row>
      <xdr:rowOff>157654</xdr:rowOff>
    </xdr:to>
    <xdr:graphicFrame macro="">
      <xdr:nvGraphicFramePr>
        <xdr:cNvPr id="12" name="Chart 11">
          <a:extLst>
            <a:ext uri="{FF2B5EF4-FFF2-40B4-BE49-F238E27FC236}">
              <a16:creationId xmlns:a16="http://schemas.microsoft.com/office/drawing/2014/main" id="{1286521B-C9C0-403A-9FF8-805686857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323850</xdr:colOff>
      <xdr:row>6</xdr:row>
      <xdr:rowOff>50800</xdr:rowOff>
    </xdr:from>
    <xdr:to>
      <xdr:col>27</xdr:col>
      <xdr:colOff>415192</xdr:colOff>
      <xdr:row>22</xdr:row>
      <xdr:rowOff>174239</xdr:rowOff>
    </xdr:to>
    <xdr:graphicFrame macro="">
      <xdr:nvGraphicFramePr>
        <xdr:cNvPr id="13" name="Chart 12">
          <a:extLst>
            <a:ext uri="{FF2B5EF4-FFF2-40B4-BE49-F238E27FC236}">
              <a16:creationId xmlns:a16="http://schemas.microsoft.com/office/drawing/2014/main" id="{BCB783C5-11CF-4DA8-B2C5-A8F858993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34847</xdr:colOff>
      <xdr:row>23</xdr:row>
      <xdr:rowOff>58079</xdr:rowOff>
    </xdr:from>
    <xdr:to>
      <xdr:col>11</xdr:col>
      <xdr:colOff>488462</xdr:colOff>
      <xdr:row>37</xdr:row>
      <xdr:rowOff>73269</xdr:rowOff>
    </xdr:to>
    <xdr:graphicFrame macro="">
      <xdr:nvGraphicFramePr>
        <xdr:cNvPr id="14" name="Chart 13">
          <a:extLst>
            <a:ext uri="{FF2B5EF4-FFF2-40B4-BE49-F238E27FC236}">
              <a16:creationId xmlns:a16="http://schemas.microsoft.com/office/drawing/2014/main" id="{0475AA59-638E-4553-BC3D-D1FEE71D9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126268</xdr:colOff>
      <xdr:row>23</xdr:row>
      <xdr:rowOff>58080</xdr:rowOff>
    </xdr:from>
    <xdr:to>
      <xdr:col>27</xdr:col>
      <xdr:colOff>412018</xdr:colOff>
      <xdr:row>37</xdr:row>
      <xdr:rowOff>73269</xdr:rowOff>
    </xdr:to>
    <xdr:graphicFrame macro="">
      <xdr:nvGraphicFramePr>
        <xdr:cNvPr id="15" name="Chart 14">
          <a:extLst>
            <a:ext uri="{FF2B5EF4-FFF2-40B4-BE49-F238E27FC236}">
              <a16:creationId xmlns:a16="http://schemas.microsoft.com/office/drawing/2014/main" id="{C9FC386B-F55D-4954-AB58-0650692DA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586154</xdr:colOff>
      <xdr:row>23</xdr:row>
      <xdr:rowOff>58079</xdr:rowOff>
    </xdr:from>
    <xdr:to>
      <xdr:col>19</xdr:col>
      <xdr:colOff>36634</xdr:colOff>
      <xdr:row>37</xdr:row>
      <xdr:rowOff>85726</xdr:rowOff>
    </xdr:to>
    <xdr:graphicFrame macro="">
      <xdr:nvGraphicFramePr>
        <xdr:cNvPr id="16" name="Chart 15">
          <a:extLst>
            <a:ext uri="{FF2B5EF4-FFF2-40B4-BE49-F238E27FC236}">
              <a16:creationId xmlns:a16="http://schemas.microsoft.com/office/drawing/2014/main" id="{D5BF191C-2BCD-4C13-A161-93FF78ED4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116159</xdr:colOff>
      <xdr:row>6</xdr:row>
      <xdr:rowOff>69695</xdr:rowOff>
    </xdr:from>
    <xdr:to>
      <xdr:col>3</xdr:col>
      <xdr:colOff>509473</xdr:colOff>
      <xdr:row>10</xdr:row>
      <xdr:rowOff>295275</xdr:rowOff>
    </xdr:to>
    <mc:AlternateContent xmlns:mc="http://schemas.openxmlformats.org/markup-compatibility/2006" xmlns:a14="http://schemas.microsoft.com/office/drawing/2010/main">
      <mc:Choice Requires="a14">
        <xdr:graphicFrame macro="">
          <xdr:nvGraphicFramePr>
            <xdr:cNvPr id="17" name="Years (OrderDate)">
              <a:extLst>
                <a:ext uri="{FF2B5EF4-FFF2-40B4-BE49-F238E27FC236}">
                  <a16:creationId xmlns:a16="http://schemas.microsoft.com/office/drawing/2014/main" id="{0DCD10D4-A86F-419B-9BE6-16607B2A676C}"/>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116159" y="1186419"/>
              <a:ext cx="2232624" cy="970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151008</xdr:colOff>
      <xdr:row>23</xdr:row>
      <xdr:rowOff>45534</xdr:rowOff>
    </xdr:from>
    <xdr:to>
      <xdr:col>3</xdr:col>
      <xdr:colOff>574987</xdr:colOff>
      <xdr:row>28</xdr:row>
      <xdr:rowOff>26484</xdr:rowOff>
    </xdr:to>
    <mc:AlternateContent xmlns:mc="http://schemas.openxmlformats.org/markup-compatibility/2006" xmlns:a14="http://schemas.microsoft.com/office/drawing/2010/main">
      <mc:Choice Requires="a14">
        <xdr:graphicFrame macro="">
          <xdr:nvGraphicFramePr>
            <xdr:cNvPr id="18" name="SalesRep">
              <a:extLst>
                <a:ext uri="{FF2B5EF4-FFF2-40B4-BE49-F238E27FC236}">
                  <a16:creationId xmlns:a16="http://schemas.microsoft.com/office/drawing/2014/main" id="{EE78766B-83B0-4B34-B7E2-B855D6EE5CEE}"/>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151008" y="5493834"/>
              <a:ext cx="2252779"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151006</xdr:colOff>
      <xdr:row>17</xdr:row>
      <xdr:rowOff>226509</xdr:rowOff>
    </xdr:from>
    <xdr:to>
      <xdr:col>3</xdr:col>
      <xdr:colOff>574985</xdr:colOff>
      <xdr:row>22</xdr:row>
      <xdr:rowOff>140783</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4E54C7E7-8BC7-4502-B025-B79369A76E2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1006" y="4290509"/>
              <a:ext cx="2252779" cy="110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116159</xdr:colOff>
      <xdr:row>10</xdr:row>
      <xdr:rowOff>373566</xdr:rowOff>
    </xdr:from>
    <xdr:to>
      <xdr:col>3</xdr:col>
      <xdr:colOff>516906</xdr:colOff>
      <xdr:row>14</xdr:row>
      <xdr:rowOff>21141</xdr:rowOff>
    </xdr:to>
    <mc:AlternateContent xmlns:mc="http://schemas.openxmlformats.org/markup-compatibility/2006" xmlns:a14="http://schemas.microsoft.com/office/drawing/2010/main">
      <mc:Choice Requires="a14">
        <xdr:graphicFrame macro="">
          <xdr:nvGraphicFramePr>
            <xdr:cNvPr id="20" name="Months (OrderDate)">
              <a:extLst>
                <a:ext uri="{FF2B5EF4-FFF2-40B4-BE49-F238E27FC236}">
                  <a16:creationId xmlns:a16="http://schemas.microsoft.com/office/drawing/2014/main" id="{A62BD5D6-8658-41F8-B622-D0B1D6C39B2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6159" y="2329366"/>
              <a:ext cx="2229547" cy="91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139392</xdr:colOff>
      <xdr:row>28</xdr:row>
      <xdr:rowOff>104777</xdr:rowOff>
    </xdr:from>
    <xdr:to>
      <xdr:col>3</xdr:col>
      <xdr:colOff>561279</xdr:colOff>
      <xdr:row>32</xdr:row>
      <xdr:rowOff>171451</xdr:rowOff>
    </xdr:to>
    <mc:AlternateContent xmlns:mc="http://schemas.openxmlformats.org/markup-compatibility/2006" xmlns:a14="http://schemas.microsoft.com/office/drawing/2010/main">
      <mc:Choice Requires="a14">
        <xdr:graphicFrame macro="">
          <xdr:nvGraphicFramePr>
            <xdr:cNvPr id="21" name="Discount">
              <a:extLst>
                <a:ext uri="{FF2B5EF4-FFF2-40B4-BE49-F238E27FC236}">
                  <a16:creationId xmlns:a16="http://schemas.microsoft.com/office/drawing/2014/main" id="{8DAACFE2-F6AE-4B30-8C0E-2693DCCCFA19}"/>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39392" y="6505577"/>
              <a:ext cx="2250687" cy="828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151007</xdr:colOff>
      <xdr:row>33</xdr:row>
      <xdr:rowOff>70857</xdr:rowOff>
    </xdr:from>
    <xdr:to>
      <xdr:col>3</xdr:col>
      <xdr:colOff>572895</xdr:colOff>
      <xdr:row>37</xdr:row>
      <xdr:rowOff>89906</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915B05F4-1E05-4A97-BBD0-A65DAF2E0E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007" y="7424157"/>
              <a:ext cx="2250688"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139389</xdr:colOff>
      <xdr:row>14</xdr:row>
      <xdr:rowOff>104775</xdr:rowOff>
    </xdr:from>
    <xdr:to>
      <xdr:col>3</xdr:col>
      <xdr:colOff>530611</xdr:colOff>
      <xdr:row>17</xdr:row>
      <xdr:rowOff>161924</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53330316-DAEC-4211-9D33-817E1E3C440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9389" y="3330575"/>
              <a:ext cx="2220022"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160454</xdr:colOff>
      <xdr:row>1</xdr:row>
      <xdr:rowOff>169389</xdr:rowOff>
    </xdr:from>
    <xdr:to>
      <xdr:col>18</xdr:col>
      <xdr:colOff>113991</xdr:colOff>
      <xdr:row>5</xdr:row>
      <xdr:rowOff>69695</xdr:rowOff>
    </xdr:to>
    <xdr:sp macro="" textlink="">
      <xdr:nvSpPr>
        <xdr:cNvPr id="24" name="Rectangle 23">
          <a:extLst>
            <a:ext uri="{FF2B5EF4-FFF2-40B4-BE49-F238E27FC236}">
              <a16:creationId xmlns:a16="http://schemas.microsoft.com/office/drawing/2014/main" id="{067CBA7E-8C9A-2EA2-D68E-957F74F3455B}"/>
            </a:ext>
          </a:extLst>
        </xdr:cNvPr>
        <xdr:cNvSpPr/>
      </xdr:nvSpPr>
      <xdr:spPr>
        <a:xfrm>
          <a:off x="9304454" y="359889"/>
          <a:ext cx="1782337" cy="713106"/>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             </a:t>
          </a:r>
          <a:endParaRPr lang="en-US" sz="1100"/>
        </a:p>
        <a:p>
          <a:pPr algn="l"/>
          <a:endParaRPr lang="en-US" sz="1100"/>
        </a:p>
      </xdr:txBody>
    </xdr:sp>
    <xdr:clientData/>
  </xdr:twoCellAnchor>
  <xdr:twoCellAnchor>
    <xdr:from>
      <xdr:col>21</xdr:col>
      <xdr:colOff>317501</xdr:colOff>
      <xdr:row>1</xdr:row>
      <xdr:rowOff>155088</xdr:rowOff>
    </xdr:from>
    <xdr:to>
      <xdr:col>24</xdr:col>
      <xdr:colOff>334598</xdr:colOff>
      <xdr:row>5</xdr:row>
      <xdr:rowOff>69696</xdr:rowOff>
    </xdr:to>
    <xdr:sp macro="" textlink="">
      <xdr:nvSpPr>
        <xdr:cNvPr id="30" name="Rectangle 29">
          <a:extLst>
            <a:ext uri="{FF2B5EF4-FFF2-40B4-BE49-F238E27FC236}">
              <a16:creationId xmlns:a16="http://schemas.microsoft.com/office/drawing/2014/main" id="{64349AD0-BDB4-954D-21C0-06EE3F74DBC0}"/>
            </a:ext>
          </a:extLst>
        </xdr:cNvPr>
        <xdr:cNvSpPr/>
      </xdr:nvSpPr>
      <xdr:spPr>
        <a:xfrm>
          <a:off x="13002013" y="340942"/>
          <a:ext cx="1829170" cy="716102"/>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aseline="0"/>
            <a:t>          </a:t>
          </a:r>
          <a:r>
            <a:rPr lang="en-US" sz="1200" b="1"/>
            <a:t>AVERAGE</a:t>
          </a:r>
          <a:r>
            <a:rPr lang="en-US" sz="1200" b="1" baseline="0"/>
            <a:t> DISCOUNT</a:t>
          </a:r>
          <a:endParaRPr lang="en-US" sz="1200" b="1"/>
        </a:p>
        <a:p>
          <a:pPr algn="l"/>
          <a:endParaRPr lang="en-US" sz="1100"/>
        </a:p>
        <a:p>
          <a:pPr algn="l"/>
          <a:endParaRPr lang="en-US" sz="1100"/>
        </a:p>
      </xdr:txBody>
    </xdr:sp>
    <xdr:clientData/>
  </xdr:twoCellAnchor>
  <xdr:twoCellAnchor>
    <xdr:from>
      <xdr:col>24</xdr:col>
      <xdr:colOff>402981</xdr:colOff>
      <xdr:row>1</xdr:row>
      <xdr:rowOff>142876</xdr:rowOff>
    </xdr:from>
    <xdr:to>
      <xdr:col>27</xdr:col>
      <xdr:colOff>308710</xdr:colOff>
      <xdr:row>5</xdr:row>
      <xdr:rowOff>69696</xdr:rowOff>
    </xdr:to>
    <xdr:sp macro="" textlink="">
      <xdr:nvSpPr>
        <xdr:cNvPr id="31" name="Rectangle 30">
          <a:extLst>
            <a:ext uri="{FF2B5EF4-FFF2-40B4-BE49-F238E27FC236}">
              <a16:creationId xmlns:a16="http://schemas.microsoft.com/office/drawing/2014/main" id="{4F6D6763-B63F-EE61-FB4F-6B705EFD8A4C}"/>
            </a:ext>
          </a:extLst>
        </xdr:cNvPr>
        <xdr:cNvSpPr/>
      </xdr:nvSpPr>
      <xdr:spPr>
        <a:xfrm>
          <a:off x="14899566" y="328730"/>
          <a:ext cx="1717803" cy="728314"/>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baseline="0"/>
            <a:t>            </a:t>
          </a:r>
          <a:r>
            <a:rPr lang="en-US" sz="1200" b="1" baseline="0"/>
            <a:t>PROFIT MARGIN</a:t>
          </a:r>
          <a:endParaRPr lang="en-US" sz="1400" b="1"/>
        </a:p>
        <a:p>
          <a:pPr algn="l"/>
          <a:endParaRPr lang="en-US" sz="1100"/>
        </a:p>
        <a:p>
          <a:pPr algn="l"/>
          <a:r>
            <a:rPr lang="en-US" sz="1100"/>
            <a:t> </a:t>
          </a:r>
        </a:p>
      </xdr:txBody>
    </xdr:sp>
    <xdr:clientData/>
  </xdr:twoCellAnchor>
  <xdr:twoCellAnchor>
    <xdr:from>
      <xdr:col>18</xdr:col>
      <xdr:colOff>160455</xdr:colOff>
      <xdr:row>1</xdr:row>
      <xdr:rowOff>170474</xdr:rowOff>
    </xdr:from>
    <xdr:to>
      <xdr:col>21</xdr:col>
      <xdr:colOff>242522</xdr:colOff>
      <xdr:row>5</xdr:row>
      <xdr:rowOff>82396</xdr:rowOff>
    </xdr:to>
    <xdr:sp macro="" textlink="">
      <xdr:nvSpPr>
        <xdr:cNvPr id="34" name="Rectangle 33">
          <a:extLst>
            <a:ext uri="{FF2B5EF4-FFF2-40B4-BE49-F238E27FC236}">
              <a16:creationId xmlns:a16="http://schemas.microsoft.com/office/drawing/2014/main" id="{61028F2E-9290-EFC4-F270-2A98700AC3B7}"/>
            </a:ext>
          </a:extLst>
        </xdr:cNvPr>
        <xdr:cNvSpPr/>
      </xdr:nvSpPr>
      <xdr:spPr>
        <a:xfrm>
          <a:off x="11133255" y="360974"/>
          <a:ext cx="1910867" cy="724722"/>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                TOTAL PROFIT</a:t>
          </a:r>
        </a:p>
        <a:p>
          <a:pPr algn="l"/>
          <a:endParaRPr lang="en-US" sz="1100" b="1"/>
        </a:p>
        <a:p>
          <a:pPr algn="l"/>
          <a:endParaRPr lang="en-US" sz="1100" b="1"/>
        </a:p>
        <a:p>
          <a:pPr algn="l"/>
          <a:endParaRPr lang="en-US" sz="1100"/>
        </a:p>
      </xdr:txBody>
    </xdr:sp>
    <xdr:clientData/>
  </xdr:twoCellAnchor>
  <xdr:twoCellAnchor>
    <xdr:from>
      <xdr:col>22</xdr:col>
      <xdr:colOff>381000</xdr:colOff>
      <xdr:row>3</xdr:row>
      <xdr:rowOff>31750</xdr:rowOff>
    </xdr:from>
    <xdr:to>
      <xdr:col>24</xdr:col>
      <xdr:colOff>447675</xdr:colOff>
      <xdr:row>6</xdr:row>
      <xdr:rowOff>50800</xdr:rowOff>
    </xdr:to>
    <xdr:sp macro="" textlink="$AE$16">
      <xdr:nvSpPr>
        <xdr:cNvPr id="35" name="Rectangle 34">
          <a:extLst>
            <a:ext uri="{FF2B5EF4-FFF2-40B4-BE49-F238E27FC236}">
              <a16:creationId xmlns:a16="http://schemas.microsoft.com/office/drawing/2014/main" id="{0F1AA275-7D3C-7CC5-A5AA-10DC8348F60D}"/>
            </a:ext>
          </a:extLst>
        </xdr:cNvPr>
        <xdr:cNvSpPr/>
      </xdr:nvSpPr>
      <xdr:spPr>
        <a:xfrm>
          <a:off x="13792200" y="603250"/>
          <a:ext cx="1285875"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7750A758-0E3C-4D6B-A211-96F4E1BF4E8B}" type="TxLink">
            <a:rPr lang="en-US" sz="32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14.9%</a:t>
          </a:fld>
          <a:endParaRPr lang="en-US" sz="12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238125</xdr:colOff>
      <xdr:row>3</xdr:row>
      <xdr:rowOff>41275</xdr:rowOff>
    </xdr:from>
    <xdr:to>
      <xdr:col>18</xdr:col>
      <xdr:colOff>225347</xdr:colOff>
      <xdr:row>6</xdr:row>
      <xdr:rowOff>60325</xdr:rowOff>
    </xdr:to>
    <xdr:sp macro="" textlink="$AE$14">
      <xdr:nvSpPr>
        <xdr:cNvPr id="36" name="Rectangle 35">
          <a:extLst>
            <a:ext uri="{FF2B5EF4-FFF2-40B4-BE49-F238E27FC236}">
              <a16:creationId xmlns:a16="http://schemas.microsoft.com/office/drawing/2014/main" id="{1C0141A7-0307-A979-0B2C-29A09D606401}"/>
            </a:ext>
          </a:extLst>
        </xdr:cNvPr>
        <xdr:cNvSpPr/>
      </xdr:nvSpPr>
      <xdr:spPr>
        <a:xfrm>
          <a:off x="9991725" y="612775"/>
          <a:ext cx="1206422"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71234B0-7D3C-4C1A-9C99-011A1C1B349B}" type="TxLink">
            <a:rPr lang="en-US" sz="28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$2.3M</a:t>
          </a:fld>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19</xdr:col>
      <xdr:colOff>228599</xdr:colOff>
      <xdr:row>3</xdr:row>
      <xdr:rowOff>66675</xdr:rowOff>
    </xdr:from>
    <xdr:to>
      <xdr:col>21</xdr:col>
      <xdr:colOff>311150</xdr:colOff>
      <xdr:row>6</xdr:row>
      <xdr:rowOff>85725</xdr:rowOff>
    </xdr:to>
    <xdr:sp macro="" textlink="$AE$11">
      <xdr:nvSpPr>
        <xdr:cNvPr id="37" name="Rectangle 36">
          <a:extLst>
            <a:ext uri="{FF2B5EF4-FFF2-40B4-BE49-F238E27FC236}">
              <a16:creationId xmlns:a16="http://schemas.microsoft.com/office/drawing/2014/main" id="{4FFF306D-878D-949A-1A40-BEF47DB8158B}"/>
            </a:ext>
          </a:extLst>
        </xdr:cNvPr>
        <xdr:cNvSpPr/>
      </xdr:nvSpPr>
      <xdr:spPr>
        <a:xfrm>
          <a:off x="11810999" y="638175"/>
          <a:ext cx="1301751"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328E58D5-F191-4627-BBC7-81A0E9A3A032}" type="TxLink">
            <a:rPr lang="en-US" sz="26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$479.2K</a:t>
          </a:fld>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25</xdr:col>
      <xdr:colOff>344609</xdr:colOff>
      <xdr:row>3</xdr:row>
      <xdr:rowOff>23202</xdr:rowOff>
    </xdr:from>
    <xdr:to>
      <xdr:col>27</xdr:col>
      <xdr:colOff>533400</xdr:colOff>
      <xdr:row>6</xdr:row>
      <xdr:rowOff>42252</xdr:rowOff>
    </xdr:to>
    <xdr:sp macro="" textlink="$AE$18">
      <xdr:nvSpPr>
        <xdr:cNvPr id="39" name="Rectangle 38">
          <a:extLst>
            <a:ext uri="{FF2B5EF4-FFF2-40B4-BE49-F238E27FC236}">
              <a16:creationId xmlns:a16="http://schemas.microsoft.com/office/drawing/2014/main" id="{C7781880-2143-0475-6257-FD015CCEEC9F}"/>
            </a:ext>
          </a:extLst>
        </xdr:cNvPr>
        <xdr:cNvSpPr/>
      </xdr:nvSpPr>
      <xdr:spPr>
        <a:xfrm>
          <a:off x="15584609" y="594702"/>
          <a:ext cx="1407991"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A6EE99E-9BF3-4250-A17F-A0ED218FFDAE}" type="TxLink">
            <a:rPr lang="en-US" sz="32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19.9%</a:t>
          </a:fld>
          <a:endParaRPr lang="en-US" sz="14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15</xdr:col>
      <xdr:colOff>582550</xdr:colOff>
      <xdr:row>1</xdr:row>
      <xdr:rowOff>152430</xdr:rowOff>
    </xdr:from>
    <xdr:to>
      <xdr:col>18</xdr:col>
      <xdr:colOff>180338</xdr:colOff>
      <xdr:row>3</xdr:row>
      <xdr:rowOff>155511</xdr:rowOff>
    </xdr:to>
    <xdr:pic>
      <xdr:nvPicPr>
        <xdr:cNvPr id="40" name="Picture 39">
          <a:extLst>
            <a:ext uri="{FF2B5EF4-FFF2-40B4-BE49-F238E27FC236}">
              <a16:creationId xmlns:a16="http://schemas.microsoft.com/office/drawing/2014/main" id="{028C4D21-251B-F253-3467-666AAFB9A884}"/>
            </a:ext>
          </a:extLst>
        </xdr:cNvPr>
        <xdr:cNvPicPr>
          <a:picLocks noChangeAspect="1"/>
        </xdr:cNvPicPr>
      </xdr:nvPicPr>
      <xdr:blipFill>
        <a:blip xmlns:r="http://schemas.openxmlformats.org/officeDocument/2006/relationships" r:embed="rId7"/>
        <a:stretch>
          <a:fillRect/>
        </a:stretch>
      </xdr:blipFill>
      <xdr:spPr>
        <a:xfrm>
          <a:off x="9642916" y="338284"/>
          <a:ext cx="1409861" cy="374788"/>
        </a:xfrm>
        <a:prstGeom prst="rect">
          <a:avLst/>
        </a:prstGeom>
      </xdr:spPr>
    </xdr:pic>
    <xdr:clientData/>
  </xdr:twoCellAnchor>
  <xdr:twoCellAnchor editAs="oneCell">
    <xdr:from>
      <xdr:col>15</xdr:col>
      <xdr:colOff>101600</xdr:colOff>
      <xdr:row>2</xdr:row>
      <xdr:rowOff>63500</xdr:rowOff>
    </xdr:from>
    <xdr:to>
      <xdr:col>16</xdr:col>
      <xdr:colOff>152400</xdr:colOff>
      <xdr:row>6</xdr:row>
      <xdr:rowOff>0</xdr:rowOff>
    </xdr:to>
    <xdr:pic>
      <xdr:nvPicPr>
        <xdr:cNvPr id="44" name="Graphic 43" descr="Bar graph with upward trend with solid fill">
          <a:extLst>
            <a:ext uri="{FF2B5EF4-FFF2-40B4-BE49-F238E27FC236}">
              <a16:creationId xmlns:a16="http://schemas.microsoft.com/office/drawing/2014/main" id="{F2155606-1DC1-763D-4E24-5151A4DF8E5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245600" y="444500"/>
          <a:ext cx="660400" cy="698500"/>
        </a:xfrm>
        <a:prstGeom prst="rect">
          <a:avLst/>
        </a:prstGeom>
      </xdr:spPr>
    </xdr:pic>
    <xdr:clientData/>
  </xdr:twoCellAnchor>
  <xdr:twoCellAnchor editAs="oneCell">
    <xdr:from>
      <xdr:col>24</xdr:col>
      <xdr:colOff>381000</xdr:colOff>
      <xdr:row>2</xdr:row>
      <xdr:rowOff>12700</xdr:rowOff>
    </xdr:from>
    <xdr:to>
      <xdr:col>25</xdr:col>
      <xdr:colOff>431800</xdr:colOff>
      <xdr:row>6</xdr:row>
      <xdr:rowOff>0</xdr:rowOff>
    </xdr:to>
    <xdr:pic>
      <xdr:nvPicPr>
        <xdr:cNvPr id="46" name="Graphic 45" descr="Coins with solid fill">
          <a:extLst>
            <a:ext uri="{FF2B5EF4-FFF2-40B4-BE49-F238E27FC236}">
              <a16:creationId xmlns:a16="http://schemas.microsoft.com/office/drawing/2014/main" id="{D1FE4E38-DBFC-EFD4-072A-44A932B2910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5011400" y="393700"/>
          <a:ext cx="660400" cy="749300"/>
        </a:xfrm>
        <a:prstGeom prst="rect">
          <a:avLst/>
        </a:prstGeom>
      </xdr:spPr>
    </xdr:pic>
    <xdr:clientData/>
  </xdr:twoCellAnchor>
  <xdr:twoCellAnchor editAs="oneCell">
    <xdr:from>
      <xdr:col>21</xdr:col>
      <xdr:colOff>279400</xdr:colOff>
      <xdr:row>2</xdr:row>
      <xdr:rowOff>114300</xdr:rowOff>
    </xdr:from>
    <xdr:to>
      <xdr:col>22</xdr:col>
      <xdr:colOff>342900</xdr:colOff>
      <xdr:row>5</xdr:row>
      <xdr:rowOff>165100</xdr:rowOff>
    </xdr:to>
    <xdr:pic>
      <xdr:nvPicPr>
        <xdr:cNvPr id="48" name="Graphic 47" descr="Shopping cart with solid fill">
          <a:extLst>
            <a:ext uri="{FF2B5EF4-FFF2-40B4-BE49-F238E27FC236}">
              <a16:creationId xmlns:a16="http://schemas.microsoft.com/office/drawing/2014/main" id="{F9CC87BD-46AA-2CB3-CB05-F388D311FF5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081000" y="495300"/>
          <a:ext cx="673100" cy="622300"/>
        </a:xfrm>
        <a:prstGeom prst="rect">
          <a:avLst/>
        </a:prstGeom>
      </xdr:spPr>
    </xdr:pic>
    <xdr:clientData/>
  </xdr:twoCellAnchor>
  <xdr:twoCellAnchor editAs="oneCell">
    <xdr:from>
      <xdr:col>18</xdr:col>
      <xdr:colOff>76200</xdr:colOff>
      <xdr:row>1</xdr:row>
      <xdr:rowOff>165100</xdr:rowOff>
    </xdr:from>
    <xdr:to>
      <xdr:col>19</xdr:col>
      <xdr:colOff>381000</xdr:colOff>
      <xdr:row>6</xdr:row>
      <xdr:rowOff>0</xdr:rowOff>
    </xdr:to>
    <xdr:pic>
      <xdr:nvPicPr>
        <xdr:cNvPr id="52" name="Graphic 51" descr="Database with solid fill">
          <a:extLst>
            <a:ext uri="{FF2B5EF4-FFF2-40B4-BE49-F238E27FC236}">
              <a16:creationId xmlns:a16="http://schemas.microsoft.com/office/drawing/2014/main" id="{E142EF7C-88E7-4620-36C1-0457D2732AC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049000" y="355600"/>
          <a:ext cx="914400" cy="787400"/>
        </a:xfrm>
        <a:prstGeom prst="rect">
          <a:avLst/>
        </a:prstGeom>
      </xdr:spPr>
    </xdr:pic>
    <xdr:clientData/>
  </xdr:twoCellAnchor>
  <xdr:twoCellAnchor editAs="oneCell">
    <xdr:from>
      <xdr:col>0</xdr:col>
      <xdr:colOff>139700</xdr:colOff>
      <xdr:row>0</xdr:row>
      <xdr:rowOff>152400</xdr:rowOff>
    </xdr:from>
    <xdr:to>
      <xdr:col>1</xdr:col>
      <xdr:colOff>495300</xdr:colOff>
      <xdr:row>5</xdr:row>
      <xdr:rowOff>88900</xdr:rowOff>
    </xdr:to>
    <xdr:pic>
      <xdr:nvPicPr>
        <xdr:cNvPr id="54" name="Graphic 53" descr="House with solid fill">
          <a:extLst>
            <a:ext uri="{FF2B5EF4-FFF2-40B4-BE49-F238E27FC236}">
              <a16:creationId xmlns:a16="http://schemas.microsoft.com/office/drawing/2014/main" id="{F6722559-66F9-F860-36AE-42AA7F66016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39700" y="152400"/>
          <a:ext cx="965200" cy="889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4.446315856483" createdVersion="8" refreshedVersion="8" minRefreshableVersion="3" recordCount="1000" xr:uid="{87DF9927-6879-45BD-9552-7B37A33C40C6}">
  <cacheSource type="worksheet">
    <worksheetSource name="Table1"/>
  </cacheSource>
  <cacheFields count="22">
    <cacheField name="OrderID" numFmtId="0">
      <sharedItems containsSemiMixedTypes="0" containsString="0" containsNumber="1" containsInteger="1" minValue="1000" maxValue="1999"/>
    </cacheField>
    <cacheField name="OrderDate" numFmtId="14">
      <sharedItems containsSemiMixedTypes="0" containsNonDate="0" containsDate="1" containsString="0" minDate="2023-01-01T00:00:00" maxDate="2025-01-01T00:00:00" count="549">
        <d v="2023-01-01T00:00:00"/>
        <d v="2023-01-02T00:00:00"/>
        <d v="2023-01-03T00:00:00"/>
        <d v="2023-01-04T00:00:00"/>
        <d v="2023-01-05T00:00:00"/>
        <d v="2023-01-06T00:00:00"/>
        <d v="2023-01-07T00:00:00"/>
        <d v="2023-01-08T00:00:00"/>
        <d v="2023-01-09T00:00:00"/>
        <d v="2023-01-10T00:00:00"/>
        <d v="2023-01-11T00:00:00"/>
        <d v="2023-01-13T00:00:00"/>
        <d v="2023-01-14T00:00:00"/>
        <d v="2023-01-16T00:00:00"/>
        <d v="2023-01-17T00:00:00"/>
        <d v="2023-01-18T00:00:00"/>
        <d v="2023-01-20T00:00:00"/>
        <d v="2023-01-21T00:00:00"/>
        <d v="2023-01-22T00:00:00"/>
        <d v="2023-01-23T00:00:00"/>
        <d v="2023-01-25T00:00:00"/>
        <d v="2023-01-26T00:00:00"/>
        <d v="2023-01-27T00:00:00"/>
        <d v="2023-01-28T00:00:00"/>
        <d v="2023-01-30T00:00:00"/>
        <d v="2023-01-31T00:00:00"/>
        <d v="2023-02-02T00:00:00"/>
        <d v="2023-02-03T00:00:00"/>
        <d v="2023-02-04T00:00:00"/>
        <d v="2023-02-05T00:00:00"/>
        <d v="2023-02-06T00:00:00"/>
        <d v="2023-02-07T00:00:00"/>
        <d v="2023-02-08T00:00:00"/>
        <d v="2023-02-10T00:00:00"/>
        <d v="2023-02-12T00:00:00"/>
        <d v="2023-02-17T00:00:00"/>
        <d v="2023-02-18T00:00:00"/>
        <d v="2023-02-19T00:00:00"/>
        <d v="2023-02-21T00:00:00"/>
        <d v="2023-02-22T00:00:00"/>
        <d v="2023-02-23T00:00:00"/>
        <d v="2023-02-25T00:00:00"/>
        <d v="2023-02-26T00:00:00"/>
        <d v="2023-02-27T00:00:00"/>
        <d v="2023-03-03T00:00:00"/>
        <d v="2023-03-05T00:00:00"/>
        <d v="2023-03-06T00:00:00"/>
        <d v="2023-03-07T00:00:00"/>
        <d v="2023-03-08T00:00:00"/>
        <d v="2023-03-10T00:00:00"/>
        <d v="2023-03-11T00:00:00"/>
        <d v="2023-03-12T00:00:00"/>
        <d v="2023-03-13T00:00:00"/>
        <d v="2023-03-14T00:00:00"/>
        <d v="2023-03-15T00:00:00"/>
        <d v="2023-03-17T00:00:00"/>
        <d v="2023-03-20T00:00:00"/>
        <d v="2023-03-21T00:00:00"/>
        <d v="2023-03-22T00:00:00"/>
        <d v="2023-03-26T00:00:00"/>
        <d v="2023-03-27T00:00:00"/>
        <d v="2023-03-29T00:00:00"/>
        <d v="2023-03-30T00:00:00"/>
        <d v="2023-03-31T00:00:00"/>
        <d v="2023-04-01T00:00:00"/>
        <d v="2023-04-02T00:00:00"/>
        <d v="2023-04-04T00:00:00"/>
        <d v="2023-04-06T00:00:00"/>
        <d v="2023-04-08T00:00:00"/>
        <d v="2023-04-09T00:00:00"/>
        <d v="2023-04-10T00:00:00"/>
        <d v="2023-04-11T00:00:00"/>
        <d v="2023-04-13T00:00:00"/>
        <d v="2023-04-15T00:00:00"/>
        <d v="2023-04-16T00:00:00"/>
        <d v="2023-04-17T00:00:00"/>
        <d v="2023-04-19T00:00:00"/>
        <d v="2023-04-20T00:00:00"/>
        <d v="2023-04-21T00:00:00"/>
        <d v="2023-04-22T00:00:00"/>
        <d v="2023-04-23T00:00:00"/>
        <d v="2023-04-24T00:00:00"/>
        <d v="2023-04-25T00:00:00"/>
        <d v="2023-04-27T00:00:00"/>
        <d v="2023-04-29T00:00:00"/>
        <d v="2023-05-01T00:00:00"/>
        <d v="2023-05-02T00:00:00"/>
        <d v="2023-05-05T00:00:00"/>
        <d v="2023-05-06T00:00:00"/>
        <d v="2023-05-07T00:00:00"/>
        <d v="2023-05-08T00:00:00"/>
        <d v="2023-05-09T00:00:00"/>
        <d v="2023-05-10T00:00:00"/>
        <d v="2023-05-13T00:00:00"/>
        <d v="2023-05-14T00:00:00"/>
        <d v="2023-05-15T00:00:00"/>
        <d v="2023-05-16T00:00:00"/>
        <d v="2023-05-17T00:00:00"/>
        <d v="2023-05-18T00:00:00"/>
        <d v="2023-05-19T00:00:00"/>
        <d v="2023-05-20T00:00:00"/>
        <d v="2023-05-21T00:00:00"/>
        <d v="2023-05-22T00:00:00"/>
        <d v="2023-05-23T00:00:00"/>
        <d v="2023-05-24T00:00:00"/>
        <d v="2023-05-25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6T00:00:00"/>
        <d v="2023-06-17T00:00:00"/>
        <d v="2023-06-18T00:00:00"/>
        <d v="2023-06-19T00:00:00"/>
        <d v="2023-06-20T00:00:00"/>
        <d v="2023-06-21T00:00:00"/>
        <d v="2023-06-22T00:00:00"/>
        <d v="2023-06-24T00:00:00"/>
        <d v="2023-06-25T00:00:00"/>
        <d v="2023-06-29T00:00:00"/>
        <d v="2023-06-30T00:00:00"/>
        <d v="2023-07-04T00:00:00"/>
        <d v="2023-07-06T00:00:00"/>
        <d v="2023-07-07T00:00:00"/>
        <d v="2023-07-09T00:00:00"/>
        <d v="2023-07-10T00:00:00"/>
        <d v="2023-07-12T00:00:00"/>
        <d v="2023-07-14T00:00:00"/>
        <d v="2023-07-16T00:00:00"/>
        <d v="2023-07-17T00:00:00"/>
        <d v="2023-07-18T00:00:00"/>
        <d v="2023-07-19T00:00:00"/>
        <d v="2023-07-20T00:00:00"/>
        <d v="2023-07-22T00:00:00"/>
        <d v="2023-07-23T00:00:00"/>
        <d v="2023-07-26T00:00:00"/>
        <d v="2023-07-27T00:00:00"/>
        <d v="2023-07-28T00:00:00"/>
        <d v="2023-07-29T00:00:00"/>
        <d v="2023-07-31T00:00:00"/>
        <d v="2023-08-01T00:00:00"/>
        <d v="2023-08-04T00:00:00"/>
        <d v="2023-08-07T00:00:00"/>
        <d v="2023-08-08T00:00:00"/>
        <d v="2023-08-09T00:00:00"/>
        <d v="2023-08-12T00:00:00"/>
        <d v="2023-08-13T00:00:00"/>
        <d v="2023-08-14T00:00:00"/>
        <d v="2023-08-15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6T00:00:00"/>
        <d v="2023-09-08T00:00:00"/>
        <d v="2023-09-09T00:00:00"/>
        <d v="2023-09-10T00:00:00"/>
        <d v="2023-09-11T00:00:00"/>
        <d v="2023-09-12T00:00:00"/>
        <d v="2023-09-13T00:00:00"/>
        <d v="2023-09-14T00:00:00"/>
        <d v="2023-09-15T00:00:00"/>
        <d v="2023-09-16T00:00:00"/>
        <d v="2023-09-17T00:00:00"/>
        <d v="2023-09-18T00:00:00"/>
        <d v="2023-09-20T00:00:00"/>
        <d v="2023-09-21T00:00:00"/>
        <d v="2023-09-22T00:00:00"/>
        <d v="2023-09-25T00:00:00"/>
        <d v="2023-09-27T00:00:00"/>
        <d v="2023-09-28T00:00:00"/>
        <d v="2023-09-29T00:00:00"/>
        <d v="2023-10-01T00:00:00"/>
        <d v="2023-10-02T00:00:00"/>
        <d v="2023-10-03T00:00:00"/>
        <d v="2023-10-04T00:00:00"/>
        <d v="2023-10-05T00:00:00"/>
        <d v="2023-10-06T00:00:00"/>
        <d v="2023-10-07T00:00:00"/>
        <d v="2023-10-08T00:00:00"/>
        <d v="2023-10-09T00:00:00"/>
        <d v="2023-10-10T00:00:00"/>
        <d v="2023-10-13T00:00:00"/>
        <d v="2023-10-16T00:00:00"/>
        <d v="2023-10-17T00:00:00"/>
        <d v="2023-10-18T00:00:00"/>
        <d v="2023-10-20T00:00:00"/>
        <d v="2023-10-21T00:00:00"/>
        <d v="2023-10-22T00:00:00"/>
        <d v="2023-10-23T00:00:00"/>
        <d v="2023-10-24T00:00:00"/>
        <d v="2023-10-25T00:00:00"/>
        <d v="2023-10-26T00:00:00"/>
        <d v="2023-10-27T00:00:00"/>
        <d v="2023-10-28T00:00:00"/>
        <d v="2023-10-29T00:00:00"/>
        <d v="2023-11-02T00:00:00"/>
        <d v="2023-11-03T00:00:00"/>
        <d v="2023-11-04T00:00:00"/>
        <d v="2023-11-05T00:00:00"/>
        <d v="2023-11-06T00:00:00"/>
        <d v="2023-11-07T00:00:00"/>
        <d v="2023-11-08T00:00:00"/>
        <d v="2023-11-09T00:00:00"/>
        <d v="2023-11-10T00:00:00"/>
        <d v="2023-11-11T00:00:00"/>
        <d v="2023-11-12T00:00:00"/>
        <d v="2023-11-13T00:00:00"/>
        <d v="2023-11-14T00:00:00"/>
        <d v="2023-11-16T00:00:00"/>
        <d v="2023-11-17T00:00:00"/>
        <d v="2023-11-19T00:00:00"/>
        <d v="2023-11-21T00:00:00"/>
        <d v="2023-11-22T00:00:00"/>
        <d v="2023-11-23T00:00:00"/>
        <d v="2023-11-24T00:00:00"/>
        <d v="2023-11-25T00:00:00"/>
        <d v="2023-11-27T00:00:00"/>
        <d v="2023-11-28T00:00:00"/>
        <d v="2023-11-29T00:00:00"/>
        <d v="2023-12-03T00:00:00"/>
        <d v="2023-12-04T00:00:00"/>
        <d v="2023-12-05T00:00:00"/>
        <d v="2023-12-06T00:00:00"/>
        <d v="2023-12-09T00:00:00"/>
        <d v="2023-12-11T00:00:00"/>
        <d v="2023-12-13T00:00:00"/>
        <d v="2023-12-14T00:00:00"/>
        <d v="2023-12-16T00:00:00"/>
        <d v="2023-12-17T00:00:00"/>
        <d v="2023-12-18T00:00:00"/>
        <d v="2023-12-19T00:00:00"/>
        <d v="2023-12-20T00:00:00"/>
        <d v="2023-12-21T00:00:00"/>
        <d v="2023-12-22T00:00:00"/>
        <d v="2023-12-23T00:00:00"/>
        <d v="2023-12-25T00:00:00"/>
        <d v="2023-12-26T00:00:00"/>
        <d v="2023-12-27T00:00:00"/>
        <d v="2023-12-28T00:00:00"/>
        <d v="2023-12-29T00:00:00"/>
        <d v="2023-12-31T00:00:00"/>
        <d v="2024-01-01T00:00:00"/>
        <d v="2024-01-02T00:00:00"/>
        <d v="2024-01-04T00:00:00"/>
        <d v="2024-01-05T00:00:00"/>
        <d v="2024-01-06T00:00:00"/>
        <d v="2024-01-07T00:00:00"/>
        <d v="2024-01-08T00:00:00"/>
        <d v="2024-01-09T00:00:00"/>
        <d v="2024-01-10T00:00:00"/>
        <d v="2024-01-11T00:00:00"/>
        <d v="2024-01-12T00:00:00"/>
        <d v="2024-01-13T00:00:00"/>
        <d v="2024-01-14T00:00:00"/>
        <d v="2024-01-16T00:00:00"/>
        <d v="2024-01-18T00:00:00"/>
        <d v="2024-01-19T00:00:00"/>
        <d v="2024-01-20T00:00:00"/>
        <d v="2024-01-21T00:00:00"/>
        <d v="2024-01-24T00:00:00"/>
        <d v="2024-01-25T00:00:00"/>
        <d v="2024-01-27T00:00:00"/>
        <d v="2024-01-28T00:00:00"/>
        <d v="2024-01-29T00:00:00"/>
        <d v="2024-01-30T00:00:00"/>
        <d v="2024-01-31T00:00:00"/>
        <d v="2024-02-01T00:00:00"/>
        <d v="2024-02-02T00:00:00"/>
        <d v="2024-02-03T00:00:00"/>
        <d v="2024-02-04T00:00:00"/>
        <d v="2024-02-05T00:00:00"/>
        <d v="2024-02-07T00:00:00"/>
        <d v="2024-02-09T00:00:00"/>
        <d v="2024-02-10T00:00:00"/>
        <d v="2024-02-11T00:00:00"/>
        <d v="2024-02-12T00:00:00"/>
        <d v="2024-02-14T00:00:00"/>
        <d v="2024-02-15T00:00:00"/>
        <d v="2024-02-16T00:00:00"/>
        <d v="2024-02-17T00:00:00"/>
        <d v="2024-02-18T00:00:00"/>
        <d v="2024-02-20T00:00:00"/>
        <d v="2024-02-21T00:00:00"/>
        <d v="2024-02-23T00:00:00"/>
        <d v="2024-02-25T00:00:00"/>
        <d v="2024-02-26T00:00:00"/>
        <d v="2024-02-28T00:00:00"/>
        <d v="2024-02-29T00:00:00"/>
        <d v="2024-03-01T00:00:00"/>
        <d v="2024-03-02T00:00:00"/>
        <d v="2024-03-05T00:00:00"/>
        <d v="2024-03-06T00:00:00"/>
        <d v="2024-03-07T00:00:00"/>
        <d v="2024-03-08T00:00:00"/>
        <d v="2024-03-09T00:00:00"/>
        <d v="2024-03-10T00:00:00"/>
        <d v="2024-03-11T00:00:00"/>
        <d v="2024-03-12T00:00:00"/>
        <d v="2024-03-13T00:00:00"/>
        <d v="2024-03-14T00:00:00"/>
        <d v="2024-03-15T00:00:00"/>
        <d v="2024-03-16T00:00:00"/>
        <d v="2024-03-17T00:00:00"/>
        <d v="2024-03-19T00:00:00"/>
        <d v="2024-03-21T00:00:00"/>
        <d v="2024-03-22T00:00:00"/>
        <d v="2024-03-24T00:00:00"/>
        <d v="2024-03-25T00:00:00"/>
        <d v="2024-03-26T00:00:00"/>
        <d v="2024-03-27T00:00:00"/>
        <d v="2024-03-28T00:00:00"/>
        <d v="2024-03-30T00:00:00"/>
        <d v="2024-03-31T00:00:00"/>
        <d v="2024-04-01T00:00:00"/>
        <d v="2024-04-02T00:00:00"/>
        <d v="2024-04-04T00:00:00"/>
        <d v="2024-04-05T00:00:00"/>
        <d v="2024-04-06T00:00:00"/>
        <d v="2024-04-09T00:00:00"/>
        <d v="2024-04-10T00:00:00"/>
        <d v="2024-04-12T00:00:00"/>
        <d v="2024-04-14T00:00:00"/>
        <d v="2024-04-15T00:00:00"/>
        <d v="2024-04-16T00:00:00"/>
        <d v="2024-04-18T00:00:00"/>
        <d v="2024-04-19T00:00:00"/>
        <d v="2024-04-20T00:00:00"/>
        <d v="2024-04-21T00:00:00"/>
        <d v="2024-04-24T00:00:00"/>
        <d v="2024-04-25T00:00:00"/>
        <d v="2024-04-26T00:00:00"/>
        <d v="2024-04-27T00:00:00"/>
        <d v="2024-04-28T00:00:00"/>
        <d v="2024-04-29T00:00:00"/>
        <d v="2024-04-30T00:00:00"/>
        <d v="2024-05-01T00:00:00"/>
        <d v="2024-05-02T00:00:00"/>
        <d v="2024-05-04T00:00:00"/>
        <d v="2024-05-05T00:00:00"/>
        <d v="2024-05-06T00:00:00"/>
        <d v="2024-05-08T00:00:00"/>
        <d v="2024-05-10T00:00:00"/>
        <d v="2024-05-11T00:00:00"/>
        <d v="2024-05-12T00:00:00"/>
        <d v="2024-05-13T00:00:00"/>
        <d v="2024-05-14T00:00:00"/>
        <d v="2024-05-15T00:00:00"/>
        <d v="2024-05-16T00:00:00"/>
        <d v="2024-05-17T00:00:00"/>
        <d v="2024-05-18T00:00:00"/>
        <d v="2024-05-21T00:00:00"/>
        <d v="2024-05-23T00:00:00"/>
        <d v="2024-05-24T00:00:00"/>
        <d v="2024-05-25T00:00:00"/>
        <d v="2024-05-26T00:00:00"/>
        <d v="2024-05-27T00:00:00"/>
        <d v="2024-05-30T00:00:00"/>
        <d v="2024-05-31T00:00:00"/>
        <d v="2024-06-03T00:00:00"/>
        <d v="2024-06-04T00:00:00"/>
        <d v="2024-06-05T00:00:00"/>
        <d v="2024-06-07T00:00:00"/>
        <d v="2024-06-08T00:00:00"/>
        <d v="2024-06-09T00:00:00"/>
        <d v="2024-06-11T00:00:00"/>
        <d v="2024-06-12T00:00:00"/>
        <d v="2024-06-13T00:00:00"/>
        <d v="2024-06-15T00:00:00"/>
        <d v="2024-06-17T00:00:00"/>
        <d v="2024-06-19T00:00:00"/>
        <d v="2024-06-20T00:00:00"/>
        <d v="2024-06-21T00:00:00"/>
        <d v="2024-06-22T00:00:00"/>
        <d v="2024-06-23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8T00:00:00"/>
        <d v="2024-07-19T00:00:00"/>
        <d v="2024-07-20T00:00:00"/>
        <d v="2024-07-21T00:00:00"/>
        <d v="2024-07-22T00:00:00"/>
        <d v="2024-07-23T00:00:00"/>
        <d v="2024-07-24T00:00:00"/>
        <d v="2024-07-25T00:00:00"/>
        <d v="2024-07-26T00:00:00"/>
        <d v="2024-07-28T00:00:00"/>
        <d v="2024-07-29T00:00:00"/>
        <d v="2024-07-30T00:00:00"/>
        <d v="2024-07-31T00:00:00"/>
        <d v="2024-08-02T00:00:00"/>
        <d v="2024-08-03T00:00:00"/>
        <d v="2024-08-04T00:00:00"/>
        <d v="2024-08-05T00:00:00"/>
        <d v="2024-08-06T00:00:00"/>
        <d v="2024-08-07T00:00:00"/>
        <d v="2024-08-08T00:00:00"/>
        <d v="2024-08-10T00:00:00"/>
        <d v="2024-08-11T00:00:00"/>
        <d v="2024-08-12T00:00:00"/>
        <d v="2024-08-13T00:00:00"/>
        <d v="2024-08-15T00:00:00"/>
        <d v="2024-08-19T00:00:00"/>
        <d v="2024-08-21T00:00:00"/>
        <d v="2024-08-23T00:00:00"/>
        <d v="2024-08-24T00:00:00"/>
        <d v="2024-08-25T00:00:00"/>
        <d v="2024-08-26T00:00:00"/>
        <d v="2024-08-29T00:00:00"/>
        <d v="2024-08-31T00:00:00"/>
        <d v="2024-09-02T00:00:00"/>
        <d v="2024-09-03T00:00:00"/>
        <d v="2024-09-04T00:00:00"/>
        <d v="2024-09-05T00:00:00"/>
        <d v="2024-09-06T00:00:00"/>
        <d v="2024-09-08T00:00:00"/>
        <d v="2024-09-09T00:00:00"/>
        <d v="2024-09-10T00:00:00"/>
        <d v="2024-09-11T00:00:00"/>
        <d v="2024-09-12T00:00:00"/>
        <d v="2024-09-14T00:00:00"/>
        <d v="2024-09-15T00:00:00"/>
        <d v="2024-09-16T00:00:00"/>
        <d v="2024-09-18T00:00:00"/>
        <d v="2024-09-19T00:00:00"/>
        <d v="2024-09-20T00:00:00"/>
        <d v="2024-09-21T00:00:00"/>
        <d v="2024-09-22T00:00:00"/>
        <d v="2024-09-23T00:00:00"/>
        <d v="2024-09-25T00:00:00"/>
        <d v="2024-09-27T00:00:00"/>
        <d v="2024-09-28T00:00:00"/>
        <d v="2024-09-30T00:00:00"/>
        <d v="2024-10-02T00:00:00"/>
        <d v="2024-10-03T00:00:00"/>
        <d v="2024-10-05T00:00:00"/>
        <d v="2024-10-08T00:00:00"/>
        <d v="2024-10-09T00:00:00"/>
        <d v="2024-10-11T00:00:00"/>
        <d v="2024-10-12T00:00:00"/>
        <d v="2024-10-13T00:00:00"/>
        <d v="2024-10-14T00:00:00"/>
        <d v="2024-10-15T00:00:00"/>
        <d v="2024-10-16T00:00:00"/>
        <d v="2024-10-18T00:00:00"/>
        <d v="2024-10-19T00:00:00"/>
        <d v="2024-10-20T00:00:00"/>
        <d v="2024-10-21T00:00:00"/>
        <d v="2024-10-22T00:00:00"/>
        <d v="2024-10-23T00:00:00"/>
        <d v="2024-10-25T00:00:00"/>
        <d v="2024-10-26T00:00:00"/>
        <d v="2024-10-27T00:00:00"/>
        <d v="2024-10-28T00:00:00"/>
        <d v="2024-10-29T00:00:00"/>
        <d v="2024-10-30T00:00:00"/>
        <d v="2024-10-31T00:00:00"/>
        <d v="2024-11-01T00:00:00"/>
        <d v="2024-11-02T00:00:00"/>
        <d v="2024-11-03T00:00:00"/>
        <d v="2024-11-04T00:00:00"/>
        <d v="2024-11-05T00:00:00"/>
        <d v="2024-11-07T00:00:00"/>
        <d v="2024-11-08T00:00:00"/>
        <d v="2024-11-09T00:00:00"/>
        <d v="2024-11-12T00:00:00"/>
        <d v="2024-11-15T00:00:00"/>
        <d v="2024-11-16T00:00:00"/>
        <d v="2024-11-17T00:00:00"/>
        <d v="2024-11-18T00:00:00"/>
        <d v="2024-11-19T00:00:00"/>
        <d v="2024-11-20T00:00:00"/>
        <d v="2024-11-21T00:00:00"/>
        <d v="2024-11-22T00:00:00"/>
        <d v="2024-11-24T00:00:00"/>
        <d v="2024-11-25T00:00:00"/>
        <d v="2024-11-27T00:00:00"/>
        <d v="2024-11-28T00:00:00"/>
        <d v="2024-11-29T00:00:00"/>
        <d v="2024-12-01T00:00:00"/>
        <d v="2024-12-02T00:00:00"/>
        <d v="2024-12-03T00:00:00"/>
        <d v="2024-12-04T00:00:00"/>
        <d v="2024-12-05T00:00:00"/>
        <d v="2024-12-07T00:00:00"/>
        <d v="2024-12-08T00:00:00"/>
        <d v="2024-12-09T00:00:00"/>
        <d v="2024-12-10T00:00:00"/>
        <d v="2024-12-11T00:00:00"/>
        <d v="2024-12-13T00:00:00"/>
        <d v="2024-12-14T00:00:00"/>
        <d v="2024-12-15T00:00:00"/>
        <d v="2024-12-18T00:00:00"/>
        <d v="2024-12-19T00:00:00"/>
        <d v="2024-12-20T00:00:00"/>
        <d v="2024-12-22T00:00:00"/>
        <d v="2024-12-23T00:00:00"/>
        <d v="2024-12-24T00:00:00"/>
        <d v="2024-12-26T00:00:00"/>
        <d v="2024-12-29T00:00:00"/>
        <d v="2024-12-30T00:00:00"/>
        <d v="2024-12-31T00:00:00"/>
      </sharedItems>
      <fieldGroup par="21"/>
    </cacheField>
    <cacheField name="CustomerName" numFmtId="0">
      <sharedItems count="223">
        <s v="Aisha Ndlovu"/>
        <s v="Mary Okafor"/>
        <s v="Zainab Mensah"/>
        <s v="Mary Ola"/>
        <s v="Aisha Balogun"/>
        <s v="Ahmed Eze"/>
        <s v="Ngozi Otieno"/>
        <s v="Blessing Okafor"/>
        <s v="John Yakubu"/>
        <s v="Zainab Ali"/>
        <s v="David Ifeanyi"/>
        <s v="Ibrahim Ndlovu"/>
        <s v="Grace Yakubu"/>
        <s v="Ahmed Ali"/>
        <s v="Samuel Yakubu"/>
        <s v="Fatima Mensah"/>
        <s v="Sadiq Otieno"/>
        <s v="Ahmed Khan"/>
        <s v="David Eze"/>
        <s v="Blessing Yakubu"/>
        <s v="Peter Mensah"/>
        <s v="John Ola"/>
        <s v="Ngozi Khan"/>
        <s v="Mary Ndlovu"/>
        <s v="David Okafor"/>
        <s v="Ibrahim Okafor"/>
        <s v="Aisha Ifeanyi"/>
        <s v="Mary Otieno"/>
        <s v="Chinedu Ade"/>
        <s v="Grace Lawal"/>
        <s v="Peter Yakubu"/>
        <s v="Aisha Okafor"/>
        <s v="Samuel Ndlovu"/>
        <s v="Aisha Yakubu"/>
        <s v="Mary Abdullahi"/>
        <s v="Fatima Yakubu"/>
        <s v="Chinedu Otieno"/>
        <s v="Chinedu Ola"/>
        <s v="John Ifeanyi"/>
        <s v="Sadiq Abdullahi"/>
        <s v="Ahmed Okafor"/>
        <s v="Ibrahim Eze"/>
        <s v="Ibrahim Balogun"/>
        <s v="Blessing Ade"/>
        <s v="David Balogun"/>
        <s v="David Otieno"/>
        <s v="Mary Ifeanyi"/>
        <s v="Ngozi Bello"/>
        <s v="David Khan"/>
        <s v="Chinedu Abdullahi"/>
        <s v="Chinedu Okafor"/>
        <s v="Ngozi Ade"/>
        <s v="Samuel Abdullahi"/>
        <s v="Sadiq Ifeanyi"/>
        <s v="Ngozi Okafor"/>
        <s v="David Ali"/>
        <s v="Zainab Lawal"/>
        <s v="Samuel Khan"/>
        <s v="Aisha Bello"/>
        <s v="Chinedu Lawal"/>
        <s v="David Lawal"/>
        <s v="Ahmed Ade"/>
        <s v="Aisha Ali"/>
        <s v="David Bello"/>
        <s v="David Yakubu"/>
        <s v="Mary Khan"/>
        <s v="Ibrahim Ali"/>
        <s v="Ibrahim Abdullahi"/>
        <s v="Sadiq Lawal"/>
        <s v="David Ndlovu"/>
        <s v="Fatima Ndlovu"/>
        <s v="David Mensah"/>
        <s v="Sadiq Yakubu"/>
        <s v="John Eze"/>
        <s v="Mary Eze"/>
        <s v="Chinedu Khan"/>
        <s v="Fatima Ade"/>
        <s v="Zainab Khan"/>
        <s v="Peter Lawal"/>
        <s v="John Lawal"/>
        <s v="Peter Ali"/>
        <s v="Ngozi Eze"/>
        <s v="Peter Abdullahi"/>
        <s v="Ahmed Abdullahi"/>
        <s v="John Bello"/>
        <s v="Grace Ndlovu"/>
        <s v="Blessing Balogun"/>
        <s v="Aisha Eze"/>
        <s v="Grace Balogun"/>
        <s v="Ahmed Mensah"/>
        <s v="Ngozi Yakubu"/>
        <s v="Ibrahim Yakubu"/>
        <s v="Mary Lawal"/>
        <s v="Grace Bello"/>
        <s v="Ngozi Mensah"/>
        <s v="Zainab Balogun"/>
        <s v="Aisha Abdullahi"/>
        <s v="Peter Ndlovu"/>
        <s v="Chinedu Yakubu"/>
        <s v="Grace Mensah"/>
        <s v="John Abdullahi"/>
        <s v="Grace Abdullahi"/>
        <s v="Sadiq Bello"/>
        <s v="Blessing Ola"/>
        <s v="Grace Ola"/>
        <s v="Ibrahim Ifeanyi"/>
        <s v="Blessing Ali"/>
        <s v="John Mensah"/>
        <s v="Samuel Eze"/>
        <s v="Samuel Ade"/>
        <s v="Blessing Bello"/>
        <s v="Mary Balogun"/>
        <s v="Grace Otieno"/>
        <s v="Sadiq Ade"/>
        <s v="Ngozi Abdullahi"/>
        <s v="Zainab Bello"/>
        <s v="John Otieno"/>
        <s v="Zainab Ola"/>
        <s v="Fatima Lawal"/>
        <s v="Zainab Ade"/>
        <s v="Grace Eze"/>
        <s v="John Ade"/>
        <s v="Fatima Okafor"/>
        <s v="Fatima Abdullahi"/>
        <s v="Ibrahim Ola"/>
        <s v="Fatima Ifeanyi"/>
        <s v="Mary Yakubu"/>
        <s v="Fatima Otieno"/>
        <s v="Samuel Ola"/>
        <s v="Sadiq Okafor"/>
        <s v="Ngozi Ali"/>
        <s v="Chinedu Mensah"/>
        <s v="Sadiq Ali"/>
        <s v="Mary Ade"/>
        <s v="Mary Bello"/>
        <s v="Ibrahim Ade"/>
        <s v="Samuel Mensah"/>
        <s v="Sadiq Khan"/>
        <s v="Ngozi Lawal"/>
        <s v="Aisha Lawal"/>
        <s v="Grace Ade"/>
        <s v="Sadiq Mensah"/>
        <s v="Chinedu Balogun"/>
        <s v="Ibrahim Mensah"/>
        <s v="Aisha Otieno"/>
        <s v="Fatima Ola"/>
        <s v="Zainab Yakubu"/>
        <s v="Blessing Ifeanyi"/>
        <s v="Samuel Lawal"/>
        <s v="David Abdullahi"/>
        <s v="Ahmed Ola"/>
        <s v="Fatima Bello"/>
        <s v="Peter Ifeanyi"/>
        <s v="Samuel Ali"/>
        <s v="David Ade"/>
        <s v="Grace Ifeanyi"/>
        <s v="Samuel Ifeanyi"/>
        <s v="John Ali"/>
        <s v="John Okafor"/>
        <s v="Ngozi Ifeanyi"/>
        <s v="Sadiq Ola"/>
        <s v="Peter Otieno"/>
        <s v="Sadiq Ndlovu"/>
        <s v="Blessing Lawal"/>
        <s v="Chinedu Ifeanyi"/>
        <s v="Samuel Okafor"/>
        <s v="Blessing Abdullahi"/>
        <s v="Aisha Ola"/>
        <s v="Aisha Mensah"/>
        <s v="Peter Khan"/>
        <s v="Zainab Eze"/>
        <s v="Peter Ola"/>
        <s v="Samuel Otieno"/>
        <s v="Peter Eze"/>
        <s v="Samuel Balogun"/>
        <s v="Mary Mensah"/>
        <s v="Grace Okafor"/>
        <s v="Ibrahim Otieno"/>
        <s v="Fatima Ali"/>
        <s v="Ahmed Balogun"/>
        <s v="Zainab Ndlovu"/>
        <s v="Aisha Ade"/>
        <s v="Chinedu Ndlovu"/>
        <s v="John Ndlovu"/>
        <s v="Blessing Mensah"/>
        <s v="Chinedu Ali"/>
        <s v="Grace Khan"/>
        <s v="Fatima Khan"/>
        <s v="Ibrahim Bello"/>
        <s v="Ngozi Ola"/>
        <s v="Peter Okafor"/>
        <s v="Peter Bello"/>
        <s v="Chinedu Eze"/>
        <s v="Chinedu Bello"/>
        <s v="Grace Ali"/>
        <s v="Mary Ali"/>
        <s v="Ahmed Lawal"/>
        <s v="Zainab Abdullahi"/>
        <s v="Samuel Bello"/>
        <s v="Blessing Ndlovu"/>
        <s v="Ngozi Balogun"/>
        <s v="Ahmed Ifeanyi"/>
        <s v="Aisha Khan"/>
        <s v="Ibrahim Khan"/>
        <s v="Zainab Okafor"/>
        <s v="Zainab Ifeanyi"/>
        <s v="Fatima Balogun"/>
        <s v="Ahmed Yakubu"/>
        <s v="Blessing Khan"/>
        <s v="Blessing Otieno"/>
        <s v="Ahmed Otieno"/>
        <s v="Zainab Otieno"/>
        <s v="Peter Ade"/>
        <s v="John Khan"/>
        <s v="Ngozi Ndlovu"/>
        <s v="Sadiq Eze"/>
        <s v="Fatima Eze"/>
        <s v="Sadiq Balogun"/>
        <s v="Ahmed Ndlovu"/>
        <s v="John Balogun"/>
        <s v="Ahmed Bello"/>
        <s v="Ibrahim Lawal"/>
        <s v="Peter Balogun"/>
      </sharedItems>
    </cacheField>
    <cacheField name="Segment" numFmtId="0">
      <sharedItems count="3">
        <s v="Corporate"/>
        <s v="Home Office"/>
        <s v="Consumer"/>
      </sharedItems>
    </cacheField>
    <cacheField name="Region" numFmtId="0">
      <sharedItems count="4">
        <s v="West"/>
        <s v="South"/>
        <s v="East"/>
        <s v="North"/>
      </sharedItems>
    </cacheField>
    <cacheField name="Country" numFmtId="0">
      <sharedItems count="4">
        <s v="Nigeria"/>
        <s v="South Africa"/>
        <s v="Ghana"/>
        <s v="Kenya"/>
      </sharedItems>
    </cacheField>
    <cacheField name="Category" numFmtId="0">
      <sharedItems count="3">
        <s v="Furniture"/>
        <s v="Office Supplies"/>
        <s v="Technology"/>
      </sharedItems>
    </cacheField>
    <cacheField name="SubCategory" numFmtId="0">
      <sharedItems count="9">
        <s v="Tables"/>
        <s v="Binders"/>
        <s v="Chairs"/>
        <s v="Art"/>
        <s v="Computers"/>
        <s v="Paper"/>
        <s v="Accessories"/>
        <s v="Storage"/>
        <s v="Phones"/>
      </sharedItems>
    </cacheField>
    <cacheField name="Product" numFmtId="0">
      <sharedItems count="29">
        <s v="Desk"/>
        <s v="Clip Board"/>
        <s v="Gaming Chair"/>
        <s v="Coffee Table"/>
        <s v="Pencils"/>
        <s v="Office Chair"/>
        <s v="Markers"/>
        <s v="Dining Table"/>
        <s v="Tablet"/>
        <s v="File Folder"/>
        <s v="A4 Paper Pack"/>
        <s v="Headphones"/>
        <s v="Cabinet"/>
        <s v="Power Bank"/>
        <s v="Drawer"/>
        <s v="Pens"/>
        <s v="Plastic Chair"/>
        <s v="USB Cable"/>
        <s v="Infinix Note"/>
        <s v="Tecno Camon"/>
        <s v="Samsung S21"/>
        <s v="Desktop"/>
        <s v="Sticky Notes"/>
        <s v="Ring Binder"/>
        <s v="iPhone 13"/>
        <s v="Shelf"/>
        <s v="Notebook"/>
        <s v="Charger"/>
        <s v="Laptop"/>
      </sharedItems>
    </cacheField>
    <cacheField name="Quantity" numFmtId="0">
      <sharedItems containsSemiMixedTypes="0" containsString="0" containsNumber="1" containsInteger="1" minValue="1" maxValue="10"/>
    </cacheField>
    <cacheField name="UnitPrice" numFmtId="165">
      <sharedItems containsSemiMixedTypes="0" containsString="0" containsNumber="1" minValue="5.17" maxValue="998.13"/>
    </cacheField>
    <cacheField name="CostPrice" numFmtId="164">
      <sharedItems containsSemiMixedTypes="0" containsString="0" containsNumber="1" minValue="2.75" maxValue="830.85"/>
    </cacheField>
    <cacheField name="Revenue" numFmtId="164">
      <sharedItems containsSemiMixedTypes="0" containsString="0" containsNumber="1" minValue="11.67" maxValue="9338.3799999999992"/>
    </cacheField>
    <cacheField name="total Cost" numFmtId="164">
      <sharedItems containsSemiMixedTypes="0" containsString="0" containsNumber="1" minValue="8.1" maxValue="8007.2"/>
    </cacheField>
    <cacheField name="Profit" numFmtId="164">
      <sharedItems containsSemiMixedTypes="0" containsString="0" containsNumber="1" minValue="-897.37" maxValue="3630.28"/>
    </cacheField>
    <cacheField name="Discount" numFmtId="9">
      <sharedItems containsSemiMixedTypes="0" containsString="0" containsNumber="1" minValue="0" maxValue="0.3" count="31">
        <n v="0.02"/>
        <n v="0.21"/>
        <n v="0.12"/>
        <n v="0.23"/>
        <n v="7.0000000000000007E-2"/>
        <n v="0.09"/>
        <n v="0.13"/>
        <n v="0.25"/>
        <n v="0.3"/>
        <n v="0.14000000000000001"/>
        <n v="0.05"/>
        <n v="0.28000000000000003"/>
        <n v="0.11"/>
        <n v="0.22"/>
        <n v="0.08"/>
        <n v="0.06"/>
        <n v="0.04"/>
        <n v="0.24"/>
        <n v="0"/>
        <n v="0.28999999999999998"/>
        <n v="0.2"/>
        <n v="0.19"/>
        <n v="0.1"/>
        <n v="0.18"/>
        <n v="0.27"/>
        <n v="0.15"/>
        <n v="0.26"/>
        <n v="0.01"/>
        <n v="0.03"/>
        <n v="0.16"/>
        <n v="0.17"/>
      </sharedItems>
    </cacheField>
    <cacheField name="SalesRep" numFmtId="0">
      <sharedItems count="10">
        <s v="Uche"/>
        <s v="Amina"/>
        <s v="Chioma"/>
        <s v="Sola"/>
        <s v="Bola"/>
        <s v="Kemi"/>
        <s v="Yemi"/>
        <s v="Tunde"/>
        <s v="Emeka"/>
        <s v="Ife"/>
      </sharedItems>
    </cacheField>
    <cacheField name="profit margin" numFmtId="9">
      <sharedItems containsSemiMixedTypes="0" containsString="0" containsNumber="1" minValue="-0.19322956737882463" maxValue="0.49851000425713066"/>
    </cacheField>
    <cacheField name="growth rate" numFmtId="9">
      <sharedItems containsSemiMixedTypes="0" containsString="0" containsNumber="1" minValue="-1" maxValue="181.98820445609439"/>
    </cacheField>
    <cacheField name="Months (Order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OrderDate)" numFmtId="0" databaseField="0">
      <fieldGroup base="1">
        <rangePr groupBy="quarters" startDate="2023-01-01T00:00:00" endDate="2025-01-01T00:00:00"/>
        <groupItems count="6">
          <s v="&lt;1/1/2023"/>
          <s v="Qtr1"/>
          <s v="Qtr2"/>
          <s v="Qtr3"/>
          <s v="Qtr4"/>
          <s v="&gt;1/1/2025"/>
        </groupItems>
      </fieldGroup>
    </cacheField>
    <cacheField name="Years (Order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056309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11"/>
    <x v="0"/>
    <x v="0"/>
    <x v="0"/>
    <x v="0"/>
    <x v="0"/>
    <x v="0"/>
    <x v="0"/>
    <x v="0"/>
    <n v="1"/>
    <n v="244.67"/>
    <n v="170.92"/>
    <n v="239.78"/>
    <n v="170.92"/>
    <n v="68.86"/>
    <x v="0"/>
    <x v="0"/>
    <n v="0.28717991492201184"/>
    <n v="3.0309033280507132"/>
  </r>
  <r>
    <n v="1718"/>
    <x v="1"/>
    <x v="1"/>
    <x v="1"/>
    <x v="1"/>
    <x v="1"/>
    <x v="1"/>
    <x v="1"/>
    <x v="1"/>
    <n v="7"/>
    <n v="174.78"/>
    <n v="110.31"/>
    <n v="966.53"/>
    <n v="772.17"/>
    <n v="194.36"/>
    <x v="1"/>
    <x v="1"/>
    <n v="0.20109049900158299"/>
    <n v="4.5906490227928781E-2"/>
  </r>
  <r>
    <n v="1790"/>
    <x v="1"/>
    <x v="2"/>
    <x v="2"/>
    <x v="2"/>
    <x v="1"/>
    <x v="0"/>
    <x v="2"/>
    <x v="2"/>
    <n v="5"/>
    <n v="229.75"/>
    <n v="185.56"/>
    <n v="1010.9"/>
    <n v="927.8"/>
    <n v="83.1"/>
    <x v="2"/>
    <x v="2"/>
    <n v="8.2203976654466313E-2"/>
    <n v="1.1629933722425563"/>
  </r>
  <r>
    <n v="1634"/>
    <x v="2"/>
    <x v="3"/>
    <x v="0"/>
    <x v="0"/>
    <x v="0"/>
    <x v="0"/>
    <x v="0"/>
    <x v="3"/>
    <n v="5"/>
    <n v="567.94000000000005"/>
    <n v="462.93"/>
    <n v="2186.5700000000002"/>
    <n v="2314.65"/>
    <n v="-128.08000000000001"/>
    <x v="3"/>
    <x v="0"/>
    <n v="-5.8575760208911677E-2"/>
    <n v="-0.74057999515222472"/>
  </r>
  <r>
    <n v="1442"/>
    <x v="3"/>
    <x v="4"/>
    <x v="0"/>
    <x v="0"/>
    <x v="1"/>
    <x v="0"/>
    <x v="0"/>
    <x v="3"/>
    <n v="1"/>
    <n v="609.94000000000005"/>
    <n v="410.31"/>
    <n v="567.24"/>
    <n v="410.31"/>
    <n v="156.93"/>
    <x v="4"/>
    <x v="0"/>
    <n v="0.27665538396445949"/>
    <n v="2.7906353571680413"/>
  </r>
  <r>
    <n v="1779"/>
    <x v="3"/>
    <x v="5"/>
    <x v="2"/>
    <x v="0"/>
    <x v="1"/>
    <x v="1"/>
    <x v="3"/>
    <x v="4"/>
    <n v="9"/>
    <n v="262.54000000000002"/>
    <n v="209.6"/>
    <n v="2150.1999999999998"/>
    <n v="1886.4"/>
    <n v="263.8"/>
    <x v="5"/>
    <x v="3"/>
    <n v="0.12268626174309367"/>
    <n v="0.7663008092270488"/>
  </r>
  <r>
    <n v="1297"/>
    <x v="4"/>
    <x v="6"/>
    <x v="2"/>
    <x v="2"/>
    <x v="2"/>
    <x v="0"/>
    <x v="2"/>
    <x v="5"/>
    <n v="10"/>
    <n v="436.54"/>
    <n v="283.88"/>
    <n v="3797.9"/>
    <n v="2838.8"/>
    <n v="959.1"/>
    <x v="6"/>
    <x v="0"/>
    <n v="0.25253429526843785"/>
    <n v="6.6631559546064908E-2"/>
  </r>
  <r>
    <n v="1547"/>
    <x v="4"/>
    <x v="7"/>
    <x v="2"/>
    <x v="1"/>
    <x v="3"/>
    <x v="1"/>
    <x v="3"/>
    <x v="6"/>
    <n v="8"/>
    <n v="675.16"/>
    <n v="362.94"/>
    <n v="4050.96"/>
    <n v="2903.52"/>
    <n v="1147.44"/>
    <x v="7"/>
    <x v="4"/>
    <n v="0.28325137745127082"/>
    <n v="-0.59863834745344313"/>
  </r>
  <r>
    <n v="1712"/>
    <x v="4"/>
    <x v="8"/>
    <x v="1"/>
    <x v="3"/>
    <x v="1"/>
    <x v="0"/>
    <x v="0"/>
    <x v="7"/>
    <n v="6"/>
    <n v="387.12"/>
    <n v="235.27"/>
    <n v="1625.9"/>
    <n v="1411.62"/>
    <n v="214.28"/>
    <x v="8"/>
    <x v="2"/>
    <n v="0.13179162310105172"/>
    <n v="-0.81979211513623229"/>
  </r>
  <r>
    <n v="1848"/>
    <x v="4"/>
    <x v="9"/>
    <x v="0"/>
    <x v="2"/>
    <x v="1"/>
    <x v="2"/>
    <x v="4"/>
    <x v="8"/>
    <n v="1"/>
    <n v="340.7"/>
    <n v="172.29"/>
    <n v="293"/>
    <n v="172.29"/>
    <n v="120.71"/>
    <x v="9"/>
    <x v="4"/>
    <n v="0.41197952218430034"/>
    <n v="-0.57331058020477821"/>
  </r>
  <r>
    <n v="1960"/>
    <x v="5"/>
    <x v="10"/>
    <x v="2"/>
    <x v="2"/>
    <x v="0"/>
    <x v="1"/>
    <x v="1"/>
    <x v="9"/>
    <n v="2"/>
    <n v="65.8"/>
    <n v="43.69"/>
    <n v="125.02"/>
    <n v="87.38"/>
    <n v="37.64"/>
    <x v="10"/>
    <x v="5"/>
    <n v="0.3010718285074388"/>
    <n v="7.0880659094544871"/>
  </r>
  <r>
    <n v="1204"/>
    <x v="6"/>
    <x v="11"/>
    <x v="1"/>
    <x v="1"/>
    <x v="3"/>
    <x v="0"/>
    <x v="0"/>
    <x v="7"/>
    <n v="10"/>
    <n v="140.44"/>
    <n v="85.98"/>
    <n v="1011.17"/>
    <n v="859.8"/>
    <n v="151.37"/>
    <x v="11"/>
    <x v="1"/>
    <n v="0.14969787473916354"/>
    <n v="0.65282791222049708"/>
  </r>
  <r>
    <n v="1619"/>
    <x v="6"/>
    <x v="12"/>
    <x v="0"/>
    <x v="3"/>
    <x v="3"/>
    <x v="1"/>
    <x v="5"/>
    <x v="10"/>
    <n v="5"/>
    <n v="375.57"/>
    <n v="287.01"/>
    <n v="1671.29"/>
    <n v="1435.05"/>
    <n v="236.24"/>
    <x v="12"/>
    <x v="1"/>
    <n v="0.14135188985753522"/>
    <n v="0.72830568004355922"/>
  </r>
  <r>
    <n v="1689"/>
    <x v="7"/>
    <x v="13"/>
    <x v="2"/>
    <x v="1"/>
    <x v="2"/>
    <x v="1"/>
    <x v="1"/>
    <x v="1"/>
    <n v="8"/>
    <n v="462.9"/>
    <n v="324.79000000000002"/>
    <n v="2888.5"/>
    <n v="2598.3200000000002"/>
    <n v="290.18"/>
    <x v="13"/>
    <x v="3"/>
    <n v="0.10046044659858058"/>
    <n v="-0.5262558421325948"/>
  </r>
  <r>
    <n v="1024"/>
    <x v="8"/>
    <x v="14"/>
    <x v="1"/>
    <x v="3"/>
    <x v="0"/>
    <x v="2"/>
    <x v="6"/>
    <x v="11"/>
    <n v="2"/>
    <n v="743.7"/>
    <n v="412.31"/>
    <n v="1368.41"/>
    <n v="824.62"/>
    <n v="543.79"/>
    <x v="14"/>
    <x v="1"/>
    <n v="0.39738820967400118"/>
    <n v="3.5500032884880994"/>
  </r>
  <r>
    <n v="1246"/>
    <x v="8"/>
    <x v="15"/>
    <x v="0"/>
    <x v="3"/>
    <x v="2"/>
    <x v="0"/>
    <x v="0"/>
    <x v="3"/>
    <n v="8"/>
    <n v="997.8"/>
    <n v="769.86"/>
    <n v="6226.27"/>
    <n v="6158.88"/>
    <n v="67.39"/>
    <x v="13"/>
    <x v="6"/>
    <n v="1.0823494644466108E-2"/>
    <n v="-0.21245625390482589"/>
  </r>
  <r>
    <n v="1623"/>
    <x v="8"/>
    <x v="16"/>
    <x v="1"/>
    <x v="2"/>
    <x v="1"/>
    <x v="0"/>
    <x v="7"/>
    <x v="12"/>
    <n v="9"/>
    <n v="626.24"/>
    <n v="448.62"/>
    <n v="4903.46"/>
    <n v="4037.58"/>
    <n v="865.88"/>
    <x v="6"/>
    <x v="5"/>
    <n v="0.17658551308667758"/>
    <n v="-0.64373524001419402"/>
  </r>
  <r>
    <n v="1981"/>
    <x v="8"/>
    <x v="17"/>
    <x v="0"/>
    <x v="3"/>
    <x v="3"/>
    <x v="1"/>
    <x v="5"/>
    <x v="10"/>
    <n v="6"/>
    <n v="309.74"/>
    <n v="205.48"/>
    <n v="1746.93"/>
    <n v="1232.8800000000001"/>
    <n v="514.04999999999995"/>
    <x v="15"/>
    <x v="7"/>
    <n v="0.294259071628514"/>
    <n v="1.6049641370862022"/>
  </r>
  <r>
    <n v="1165"/>
    <x v="9"/>
    <x v="18"/>
    <x v="1"/>
    <x v="0"/>
    <x v="3"/>
    <x v="0"/>
    <x v="0"/>
    <x v="3"/>
    <n v="9"/>
    <n v="526.70000000000005"/>
    <n v="427.28"/>
    <n v="4550.6899999999996"/>
    <n v="3845.52"/>
    <n v="705.17"/>
    <x v="16"/>
    <x v="6"/>
    <n v="0.15495891831788147"/>
    <n v="-0.77732168088795317"/>
  </r>
  <r>
    <n v="1372"/>
    <x v="9"/>
    <x v="19"/>
    <x v="0"/>
    <x v="2"/>
    <x v="3"/>
    <x v="2"/>
    <x v="6"/>
    <x v="13"/>
    <n v="2"/>
    <n v="556.78"/>
    <n v="313.17"/>
    <n v="1013.34"/>
    <n v="626.34"/>
    <n v="387"/>
    <x v="5"/>
    <x v="1"/>
    <n v="0.38190538220143289"/>
    <n v="2.8859908816389361"/>
  </r>
  <r>
    <n v="1053"/>
    <x v="10"/>
    <x v="20"/>
    <x v="2"/>
    <x v="2"/>
    <x v="1"/>
    <x v="0"/>
    <x v="7"/>
    <x v="12"/>
    <n v="8"/>
    <n v="647.66999999999996"/>
    <n v="435.1"/>
    <n v="3937.83"/>
    <n v="3480.8"/>
    <n v="457.03"/>
    <x v="17"/>
    <x v="2"/>
    <n v="0.11606138406178021"/>
    <n v="0.92434919740059884"/>
  </r>
  <r>
    <n v="1390"/>
    <x v="10"/>
    <x v="21"/>
    <x v="2"/>
    <x v="3"/>
    <x v="3"/>
    <x v="0"/>
    <x v="7"/>
    <x v="12"/>
    <n v="8"/>
    <n v="947.22"/>
    <n v="631.77"/>
    <n v="7577.76"/>
    <n v="5054.16"/>
    <n v="2523.6"/>
    <x v="18"/>
    <x v="4"/>
    <n v="0.33302717425730027"/>
    <n v="-0.94333417791009488"/>
  </r>
  <r>
    <n v="1661"/>
    <x v="10"/>
    <x v="22"/>
    <x v="0"/>
    <x v="1"/>
    <x v="0"/>
    <x v="0"/>
    <x v="7"/>
    <x v="14"/>
    <n v="1"/>
    <n v="456.81"/>
    <n v="280.88"/>
    <n v="429.4"/>
    <n v="280.88"/>
    <n v="148.52000000000001"/>
    <x v="15"/>
    <x v="2"/>
    <n v="0.34587796925943182"/>
    <n v="14.098649278062414"/>
  </r>
  <r>
    <n v="1668"/>
    <x v="10"/>
    <x v="23"/>
    <x v="2"/>
    <x v="0"/>
    <x v="2"/>
    <x v="0"/>
    <x v="0"/>
    <x v="0"/>
    <n v="10"/>
    <n v="913.15"/>
    <n v="571.6"/>
    <n v="6483.36"/>
    <n v="5716"/>
    <n v="767.36"/>
    <x v="19"/>
    <x v="1"/>
    <n v="0.11835838207349277"/>
    <n v="-0.5419165371042175"/>
  </r>
  <r>
    <n v="1694"/>
    <x v="10"/>
    <x v="24"/>
    <x v="1"/>
    <x v="2"/>
    <x v="3"/>
    <x v="1"/>
    <x v="3"/>
    <x v="15"/>
    <n v="8"/>
    <n v="464.05"/>
    <n v="245.43"/>
    <n v="2969.92"/>
    <n v="1963.44"/>
    <n v="1006.48"/>
    <x v="20"/>
    <x v="0"/>
    <n v="0.33889128326688933"/>
    <n v="-0.65139128326688933"/>
  </r>
  <r>
    <n v="1486"/>
    <x v="11"/>
    <x v="25"/>
    <x v="1"/>
    <x v="0"/>
    <x v="1"/>
    <x v="0"/>
    <x v="2"/>
    <x v="16"/>
    <n v="5"/>
    <n v="255.64"/>
    <n v="130.87"/>
    <n v="1035.3399999999999"/>
    <n v="654.35"/>
    <n v="380.99"/>
    <x v="21"/>
    <x v="7"/>
    <n v="0.36798539610176373"/>
    <n v="1.1372302818397826"/>
  </r>
  <r>
    <n v="1662"/>
    <x v="11"/>
    <x v="26"/>
    <x v="2"/>
    <x v="2"/>
    <x v="2"/>
    <x v="1"/>
    <x v="3"/>
    <x v="15"/>
    <n v="6"/>
    <n v="423.9"/>
    <n v="319.45999999999998"/>
    <n v="2212.7600000000002"/>
    <n v="1916.76"/>
    <n v="296"/>
    <x v="6"/>
    <x v="1"/>
    <n v="0.13376959091812937"/>
    <n v="-0.85795115602234318"/>
  </r>
  <r>
    <n v="1913"/>
    <x v="11"/>
    <x v="27"/>
    <x v="1"/>
    <x v="3"/>
    <x v="3"/>
    <x v="2"/>
    <x v="6"/>
    <x v="17"/>
    <n v="1"/>
    <n v="442.71"/>
    <n v="293.63"/>
    <n v="314.32"/>
    <n v="293.63"/>
    <n v="20.69"/>
    <x v="19"/>
    <x v="0"/>
    <n v="6.582463731229321E-2"/>
    <n v="24.851552557902775"/>
  </r>
  <r>
    <n v="1788"/>
    <x v="12"/>
    <x v="28"/>
    <x v="2"/>
    <x v="3"/>
    <x v="0"/>
    <x v="2"/>
    <x v="8"/>
    <x v="18"/>
    <n v="10"/>
    <n v="892.93"/>
    <n v="701.32"/>
    <n v="8125.66"/>
    <n v="7013.2"/>
    <n v="1112.46"/>
    <x v="5"/>
    <x v="0"/>
    <n v="0.13690703278256783"/>
    <n v="-0.82293869051867785"/>
  </r>
  <r>
    <n v="1185"/>
    <x v="13"/>
    <x v="29"/>
    <x v="2"/>
    <x v="0"/>
    <x v="1"/>
    <x v="2"/>
    <x v="4"/>
    <x v="8"/>
    <n v="4"/>
    <n v="399.65"/>
    <n v="233.3"/>
    <n v="1438.74"/>
    <n v="933.2"/>
    <n v="505.54"/>
    <x v="22"/>
    <x v="3"/>
    <n v="0.3513768992312718"/>
    <n v="1.9081974505470067"/>
  </r>
  <r>
    <n v="1502"/>
    <x v="14"/>
    <x v="9"/>
    <x v="2"/>
    <x v="0"/>
    <x v="0"/>
    <x v="2"/>
    <x v="8"/>
    <x v="19"/>
    <n v="7"/>
    <n v="695.04"/>
    <n v="540.24"/>
    <n v="4184.1400000000003"/>
    <n v="3781.68"/>
    <n v="402.46"/>
    <x v="9"/>
    <x v="8"/>
    <n v="9.6187030070695526E-2"/>
    <n v="-0.85761709694226296"/>
  </r>
  <r>
    <n v="1192"/>
    <x v="15"/>
    <x v="30"/>
    <x v="1"/>
    <x v="1"/>
    <x v="2"/>
    <x v="2"/>
    <x v="8"/>
    <x v="20"/>
    <n v="4"/>
    <n v="195.97"/>
    <n v="134.09"/>
    <n v="595.75"/>
    <n v="536.36"/>
    <n v="59.39"/>
    <x v="17"/>
    <x v="3"/>
    <n v="9.9689467058329831E-2"/>
    <n v="2.3740998741082668"/>
  </r>
  <r>
    <n v="1237"/>
    <x v="15"/>
    <x v="31"/>
    <x v="2"/>
    <x v="3"/>
    <x v="2"/>
    <x v="2"/>
    <x v="8"/>
    <x v="18"/>
    <n v="9"/>
    <n v="290.06"/>
    <n v="217.38"/>
    <n v="2010.12"/>
    <n v="1956.42"/>
    <n v="53.7"/>
    <x v="3"/>
    <x v="4"/>
    <n v="2.6714822995642054E-2"/>
    <n v="-0.52102362048036932"/>
  </r>
  <r>
    <n v="1537"/>
    <x v="15"/>
    <x v="16"/>
    <x v="2"/>
    <x v="0"/>
    <x v="2"/>
    <x v="0"/>
    <x v="0"/>
    <x v="3"/>
    <n v="3"/>
    <n v="360.6"/>
    <n v="186.98"/>
    <n v="962.8"/>
    <n v="560.94000000000005"/>
    <n v="401.86"/>
    <x v="12"/>
    <x v="5"/>
    <n v="0.41738678853344413"/>
    <n v="3.8454611549646862"/>
  </r>
  <r>
    <n v="1725"/>
    <x v="15"/>
    <x v="32"/>
    <x v="2"/>
    <x v="3"/>
    <x v="1"/>
    <x v="2"/>
    <x v="4"/>
    <x v="21"/>
    <n v="7"/>
    <n v="740.51"/>
    <n v="576.03"/>
    <n v="4665.21"/>
    <n v="4032.21"/>
    <n v="633"/>
    <x v="22"/>
    <x v="0"/>
    <n v="0.13568521031207598"/>
    <n v="0.26546071881008576"/>
  </r>
  <r>
    <n v="1404"/>
    <x v="16"/>
    <x v="33"/>
    <x v="0"/>
    <x v="2"/>
    <x v="3"/>
    <x v="1"/>
    <x v="5"/>
    <x v="22"/>
    <n v="9"/>
    <n v="819.95"/>
    <n v="464.46"/>
    <n v="5903.64"/>
    <n v="4180.1400000000003"/>
    <n v="1723.5"/>
    <x v="20"/>
    <x v="6"/>
    <n v="0.29193853283736809"/>
    <n v="-0.37911525770541565"/>
  </r>
  <r>
    <n v="1638"/>
    <x v="16"/>
    <x v="34"/>
    <x v="1"/>
    <x v="2"/>
    <x v="0"/>
    <x v="0"/>
    <x v="2"/>
    <x v="5"/>
    <n v="10"/>
    <n v="447.01"/>
    <n v="349.75"/>
    <n v="3665.48"/>
    <n v="3497.5"/>
    <n v="167.98"/>
    <x v="23"/>
    <x v="4"/>
    <n v="4.5827558737191305E-2"/>
    <n v="-0.51706461363859579"/>
  </r>
  <r>
    <n v="1282"/>
    <x v="17"/>
    <x v="35"/>
    <x v="0"/>
    <x v="3"/>
    <x v="3"/>
    <x v="0"/>
    <x v="7"/>
    <x v="14"/>
    <n v="2"/>
    <n v="972.63"/>
    <n v="563.91999999999996"/>
    <n v="1770.19"/>
    <n v="1127.8399999999999"/>
    <n v="642.35"/>
    <x v="5"/>
    <x v="0"/>
    <n v="0.36287065230286014"/>
    <n v="0.81883865573751968"/>
  </r>
  <r>
    <n v="1382"/>
    <x v="17"/>
    <x v="25"/>
    <x v="0"/>
    <x v="2"/>
    <x v="2"/>
    <x v="0"/>
    <x v="0"/>
    <x v="7"/>
    <n v="9"/>
    <n v="490.06"/>
    <n v="371.36"/>
    <n v="3219.69"/>
    <n v="3342.24"/>
    <n v="-122.55"/>
    <x v="24"/>
    <x v="4"/>
    <n v="-3.806267062978113E-2"/>
    <n v="-0.10759731526948241"/>
  </r>
  <r>
    <n v="1651"/>
    <x v="17"/>
    <x v="36"/>
    <x v="1"/>
    <x v="3"/>
    <x v="2"/>
    <x v="2"/>
    <x v="4"/>
    <x v="8"/>
    <n v="5"/>
    <n v="809.37"/>
    <n v="467.33"/>
    <n v="2873.26"/>
    <n v="2336.65"/>
    <n v="536.61"/>
    <x v="19"/>
    <x v="5"/>
    <n v="0.18675998691381915"/>
    <n v="-0.95996881590945482"/>
  </r>
  <r>
    <n v="1947"/>
    <x v="17"/>
    <x v="37"/>
    <x v="2"/>
    <x v="1"/>
    <x v="1"/>
    <x v="2"/>
    <x v="8"/>
    <x v="19"/>
    <n v="5"/>
    <n v="29.12"/>
    <n v="21"/>
    <n v="115.02"/>
    <n v="105"/>
    <n v="10.02"/>
    <x v="1"/>
    <x v="7"/>
    <n v="8.7115284298382889E-2"/>
    <n v="20.998087289167099"/>
  </r>
  <r>
    <n v="1949"/>
    <x v="17"/>
    <x v="38"/>
    <x v="1"/>
    <x v="2"/>
    <x v="0"/>
    <x v="1"/>
    <x v="3"/>
    <x v="15"/>
    <n v="4"/>
    <n v="832.31"/>
    <n v="666.48"/>
    <n v="2530.2199999999998"/>
    <n v="2665.92"/>
    <n v="-135.69999999999999"/>
    <x v="17"/>
    <x v="4"/>
    <n v="-5.3631700010275785E-2"/>
    <n v="-0.38294693742046143"/>
  </r>
  <r>
    <n v="1670"/>
    <x v="18"/>
    <x v="39"/>
    <x v="2"/>
    <x v="1"/>
    <x v="0"/>
    <x v="0"/>
    <x v="2"/>
    <x v="2"/>
    <n v="8"/>
    <n v="243.95"/>
    <n v="191.09"/>
    <n v="1561.28"/>
    <n v="1528.72"/>
    <n v="32.56"/>
    <x v="20"/>
    <x v="6"/>
    <n v="2.0854683336749336E-2"/>
    <n v="-0.87116340438614459"/>
  </r>
  <r>
    <n v="1394"/>
    <x v="19"/>
    <x v="40"/>
    <x v="0"/>
    <x v="3"/>
    <x v="2"/>
    <x v="1"/>
    <x v="1"/>
    <x v="1"/>
    <n v="1"/>
    <n v="236.65"/>
    <n v="130.81"/>
    <n v="201.15"/>
    <n v="130.81"/>
    <n v="70.34"/>
    <x v="25"/>
    <x v="5"/>
    <n v="0.3496892866020383"/>
    <n v="1.3538652746706439"/>
  </r>
  <r>
    <n v="1808"/>
    <x v="20"/>
    <x v="4"/>
    <x v="0"/>
    <x v="1"/>
    <x v="0"/>
    <x v="0"/>
    <x v="2"/>
    <x v="5"/>
    <n v="8"/>
    <n v="83.36"/>
    <n v="59.94"/>
    <n v="473.48"/>
    <n v="479.52"/>
    <n v="-6.04"/>
    <x v="19"/>
    <x v="1"/>
    <n v="-1.2756610627692826E-2"/>
    <n v="11.631832389963673"/>
  </r>
  <r>
    <n v="1528"/>
    <x v="21"/>
    <x v="41"/>
    <x v="2"/>
    <x v="1"/>
    <x v="3"/>
    <x v="2"/>
    <x v="6"/>
    <x v="11"/>
    <n v="10"/>
    <n v="643.11"/>
    <n v="452.88"/>
    <n v="5980.92"/>
    <n v="4528.8"/>
    <n v="1452.12"/>
    <x v="4"/>
    <x v="3"/>
    <n v="0.24279207881061773"/>
    <n v="-0.80070290189469184"/>
  </r>
  <r>
    <n v="1952"/>
    <x v="21"/>
    <x v="42"/>
    <x v="2"/>
    <x v="1"/>
    <x v="3"/>
    <x v="0"/>
    <x v="7"/>
    <x v="12"/>
    <n v="5"/>
    <n v="335.77"/>
    <n v="263.04000000000002"/>
    <n v="1191.98"/>
    <n v="1315.2"/>
    <n v="-123.22"/>
    <x v="19"/>
    <x v="2"/>
    <n v="-0.10337421768821624"/>
    <n v="2.4721387942750721"/>
  </r>
  <r>
    <n v="1724"/>
    <x v="22"/>
    <x v="31"/>
    <x v="1"/>
    <x v="3"/>
    <x v="2"/>
    <x v="0"/>
    <x v="0"/>
    <x v="3"/>
    <n v="8"/>
    <n v="517.34"/>
    <n v="378.22"/>
    <n v="4138.72"/>
    <n v="3025.76"/>
    <n v="1112.96"/>
    <x v="18"/>
    <x v="5"/>
    <n v="0.26891406038581978"/>
    <n v="-0.72310762747902735"/>
  </r>
  <r>
    <n v="1641"/>
    <x v="23"/>
    <x v="43"/>
    <x v="0"/>
    <x v="1"/>
    <x v="0"/>
    <x v="0"/>
    <x v="2"/>
    <x v="2"/>
    <n v="6"/>
    <n v="261.64"/>
    <n v="217.04"/>
    <n v="1145.98"/>
    <n v="1302.24"/>
    <n v="-156.26"/>
    <x v="24"/>
    <x v="7"/>
    <n v="-0.13635491020785703"/>
    <n v="-0.38442206670273477"/>
  </r>
  <r>
    <n v="1570"/>
    <x v="24"/>
    <x v="44"/>
    <x v="0"/>
    <x v="2"/>
    <x v="0"/>
    <x v="1"/>
    <x v="1"/>
    <x v="23"/>
    <n v="1"/>
    <n v="860.29"/>
    <n v="455.42"/>
    <n v="705.44"/>
    <n v="455.42"/>
    <n v="250.02"/>
    <x v="23"/>
    <x v="2"/>
    <n v="0.35441710138353366"/>
    <n v="-0.2421183941936948"/>
  </r>
  <r>
    <n v="1585"/>
    <x v="24"/>
    <x v="45"/>
    <x v="2"/>
    <x v="1"/>
    <x v="2"/>
    <x v="0"/>
    <x v="7"/>
    <x v="14"/>
    <n v="8"/>
    <n v="90.31"/>
    <n v="59.98"/>
    <n v="534.64"/>
    <n v="479.84"/>
    <n v="54.8"/>
    <x v="26"/>
    <x v="4"/>
    <n v="0.10249887774951369"/>
    <n v="6.2269003441568165"/>
  </r>
  <r>
    <n v="1554"/>
    <x v="25"/>
    <x v="46"/>
    <x v="2"/>
    <x v="0"/>
    <x v="1"/>
    <x v="1"/>
    <x v="5"/>
    <x v="10"/>
    <n v="7"/>
    <n v="606.55999999999995"/>
    <n v="372.69"/>
    <n v="3863.79"/>
    <n v="2608.83"/>
    <n v="1254.96"/>
    <x v="5"/>
    <x v="9"/>
    <n v="0.3248002608837437"/>
    <n v="-0.66416653078971677"/>
  </r>
  <r>
    <n v="1621"/>
    <x v="25"/>
    <x v="47"/>
    <x v="2"/>
    <x v="0"/>
    <x v="0"/>
    <x v="0"/>
    <x v="0"/>
    <x v="7"/>
    <n v="3"/>
    <n v="436.9"/>
    <n v="278.58999999999997"/>
    <n v="1297.5899999999999"/>
    <n v="835.77"/>
    <n v="461.82"/>
    <x v="27"/>
    <x v="8"/>
    <n v="0.35590594872032"/>
    <n v="0.6346534729768265"/>
  </r>
  <r>
    <n v="1175"/>
    <x v="26"/>
    <x v="48"/>
    <x v="2"/>
    <x v="2"/>
    <x v="1"/>
    <x v="0"/>
    <x v="0"/>
    <x v="7"/>
    <n v="7"/>
    <n v="378.77"/>
    <n v="279.89"/>
    <n v="2121.11"/>
    <n v="1959.23"/>
    <n v="161.88"/>
    <x v="20"/>
    <x v="6"/>
    <n v="7.6318531335008544E-2"/>
    <n v="-0.85694282710467629"/>
  </r>
  <r>
    <n v="1178"/>
    <x v="26"/>
    <x v="49"/>
    <x v="0"/>
    <x v="0"/>
    <x v="2"/>
    <x v="2"/>
    <x v="8"/>
    <x v="24"/>
    <n v="10"/>
    <n v="38.409999999999997"/>
    <n v="27.24"/>
    <n v="303.44"/>
    <n v="272.39999999999998"/>
    <n v="31.04"/>
    <x v="1"/>
    <x v="7"/>
    <n v="0.10229369891906143"/>
    <n v="5.0856841550224097"/>
  </r>
  <r>
    <n v="1615"/>
    <x v="26"/>
    <x v="50"/>
    <x v="0"/>
    <x v="1"/>
    <x v="0"/>
    <x v="1"/>
    <x v="5"/>
    <x v="10"/>
    <n v="9"/>
    <n v="227.98"/>
    <n v="134.56"/>
    <n v="1846.64"/>
    <n v="1211.04"/>
    <n v="635.6"/>
    <x v="22"/>
    <x v="5"/>
    <n v="0.34419269592340684"/>
    <n v="1.7053242646103191"/>
  </r>
  <r>
    <n v="1727"/>
    <x v="26"/>
    <x v="13"/>
    <x v="2"/>
    <x v="3"/>
    <x v="1"/>
    <x v="2"/>
    <x v="6"/>
    <x v="11"/>
    <n v="8"/>
    <n v="664.33"/>
    <n v="388.18"/>
    <n v="4995.76"/>
    <n v="3105.44"/>
    <n v="1890.32"/>
    <x v="15"/>
    <x v="2"/>
    <n v="0.37838487037007379"/>
    <n v="-0.11605041074831461"/>
  </r>
  <r>
    <n v="1285"/>
    <x v="27"/>
    <x v="51"/>
    <x v="0"/>
    <x v="2"/>
    <x v="3"/>
    <x v="0"/>
    <x v="0"/>
    <x v="3"/>
    <n v="7"/>
    <n v="637.23"/>
    <n v="346.24"/>
    <n v="4416"/>
    <n v="2423.6799999999998"/>
    <n v="1992.32"/>
    <x v="27"/>
    <x v="5"/>
    <n v="0.45115942028985506"/>
    <n v="-0.86594882246376803"/>
  </r>
  <r>
    <n v="1544"/>
    <x v="27"/>
    <x v="49"/>
    <x v="1"/>
    <x v="0"/>
    <x v="1"/>
    <x v="2"/>
    <x v="6"/>
    <x v="11"/>
    <n v="2"/>
    <n v="305.14"/>
    <n v="153.66999999999999"/>
    <n v="591.97"/>
    <n v="307.33999999999997"/>
    <n v="284.63"/>
    <x v="28"/>
    <x v="2"/>
    <n v="0.4808182847103738"/>
    <n v="2.3739885467168942"/>
  </r>
  <r>
    <n v="1885"/>
    <x v="28"/>
    <x v="52"/>
    <x v="1"/>
    <x v="1"/>
    <x v="0"/>
    <x v="0"/>
    <x v="2"/>
    <x v="2"/>
    <n v="8"/>
    <n v="280.52"/>
    <n v="236.65"/>
    <n v="1997.3"/>
    <n v="1893.2"/>
    <n v="104.1"/>
    <x v="12"/>
    <x v="6"/>
    <n v="5.2120362489360632E-2"/>
    <n v="-0.29742151905071845"/>
  </r>
  <r>
    <n v="1135"/>
    <x v="29"/>
    <x v="40"/>
    <x v="2"/>
    <x v="3"/>
    <x v="3"/>
    <x v="0"/>
    <x v="7"/>
    <x v="12"/>
    <n v="10"/>
    <n v="157.66999999999999"/>
    <n v="103.66"/>
    <n v="1403.26"/>
    <n v="1036.5999999999999"/>
    <n v="366.66"/>
    <x v="12"/>
    <x v="0"/>
    <n v="0.26129156392970654"/>
    <n v="0.66664766329831948"/>
  </r>
  <r>
    <n v="1575"/>
    <x v="29"/>
    <x v="53"/>
    <x v="1"/>
    <x v="0"/>
    <x v="2"/>
    <x v="0"/>
    <x v="7"/>
    <x v="25"/>
    <n v="5"/>
    <n v="640.75"/>
    <n v="477.5"/>
    <n v="2338.7399999999998"/>
    <n v="2387.5"/>
    <n v="-48.76"/>
    <x v="24"/>
    <x v="2"/>
    <n v="-2.0848833132370424E-2"/>
    <n v="-0.36827094931458809"/>
  </r>
  <r>
    <n v="1076"/>
    <x v="30"/>
    <x v="31"/>
    <x v="2"/>
    <x v="3"/>
    <x v="2"/>
    <x v="1"/>
    <x v="5"/>
    <x v="26"/>
    <n v="2"/>
    <n v="761.57"/>
    <n v="568.41"/>
    <n v="1477.45"/>
    <n v="1136.82"/>
    <n v="340.63"/>
    <x v="28"/>
    <x v="8"/>
    <n v="0.23055264137534265"/>
    <n v="1.3776845240109648"/>
  </r>
  <r>
    <n v="1067"/>
    <x v="31"/>
    <x v="54"/>
    <x v="0"/>
    <x v="3"/>
    <x v="3"/>
    <x v="2"/>
    <x v="6"/>
    <x v="11"/>
    <n v="9"/>
    <n v="464.67"/>
    <n v="241.15"/>
    <n v="3512.91"/>
    <n v="2170.35"/>
    <n v="1342.56"/>
    <x v="29"/>
    <x v="9"/>
    <n v="0.38217887734100786"/>
    <n v="-0.5787054037820496"/>
  </r>
  <r>
    <n v="1652"/>
    <x v="31"/>
    <x v="55"/>
    <x v="1"/>
    <x v="2"/>
    <x v="0"/>
    <x v="2"/>
    <x v="4"/>
    <x v="21"/>
    <n v="2"/>
    <n v="870.57"/>
    <n v="608.69000000000005"/>
    <n v="1479.97"/>
    <n v="1217.3800000000001"/>
    <n v="262.58999999999997"/>
    <x v="25"/>
    <x v="6"/>
    <n v="0.17742927221497731"/>
    <n v="3.7615830050609134"/>
  </r>
  <r>
    <n v="1118"/>
    <x v="32"/>
    <x v="32"/>
    <x v="1"/>
    <x v="2"/>
    <x v="1"/>
    <x v="2"/>
    <x v="8"/>
    <x v="20"/>
    <n v="10"/>
    <n v="810"/>
    <n v="451.93"/>
    <n v="7047"/>
    <n v="4519.3"/>
    <n v="2527.6999999999998"/>
    <x v="6"/>
    <x v="4"/>
    <n v="0.35869164183340424"/>
    <n v="-0.71281822051936983"/>
  </r>
  <r>
    <n v="1164"/>
    <x v="32"/>
    <x v="56"/>
    <x v="2"/>
    <x v="1"/>
    <x v="2"/>
    <x v="2"/>
    <x v="6"/>
    <x v="17"/>
    <n v="3"/>
    <n v="936.93"/>
    <n v="783.97"/>
    <n v="2023.77"/>
    <n v="2351.91"/>
    <n v="-328.14"/>
    <x v="11"/>
    <x v="7"/>
    <n v="-0.1621429312619517"/>
    <n v="0.54924719706290748"/>
  </r>
  <r>
    <n v="1336"/>
    <x v="32"/>
    <x v="1"/>
    <x v="2"/>
    <x v="2"/>
    <x v="3"/>
    <x v="1"/>
    <x v="5"/>
    <x v="22"/>
    <n v="4"/>
    <n v="911.43"/>
    <n v="585.75"/>
    <n v="3135.32"/>
    <n v="2343"/>
    <n v="792.32"/>
    <x v="9"/>
    <x v="4"/>
    <n v="0.25270785757115699"/>
    <n v="0.75044333592743306"/>
  </r>
  <r>
    <n v="1492"/>
    <x v="32"/>
    <x v="57"/>
    <x v="0"/>
    <x v="2"/>
    <x v="3"/>
    <x v="0"/>
    <x v="7"/>
    <x v="12"/>
    <n v="9"/>
    <n v="709.07"/>
    <n v="545.88"/>
    <n v="5488.2"/>
    <n v="4912.92"/>
    <n v="575.28"/>
    <x v="9"/>
    <x v="4"/>
    <n v="0.10482125286979338"/>
    <n v="-0.98867388214715213"/>
  </r>
  <r>
    <n v="1426"/>
    <x v="33"/>
    <x v="29"/>
    <x v="1"/>
    <x v="3"/>
    <x v="3"/>
    <x v="0"/>
    <x v="0"/>
    <x v="3"/>
    <n v="3"/>
    <n v="23.28"/>
    <n v="17.22"/>
    <n v="62.16"/>
    <n v="51.66"/>
    <n v="10.5"/>
    <x v="12"/>
    <x v="3"/>
    <n v="0.16891891891891891"/>
    <n v="8.9066924066924074"/>
  </r>
  <r>
    <n v="1588"/>
    <x v="34"/>
    <x v="58"/>
    <x v="0"/>
    <x v="2"/>
    <x v="1"/>
    <x v="0"/>
    <x v="0"/>
    <x v="0"/>
    <n v="2"/>
    <n v="320.73"/>
    <n v="219.91"/>
    <n v="615.79999999999995"/>
    <n v="439.82"/>
    <n v="175.98"/>
    <x v="16"/>
    <x v="2"/>
    <n v="0.2857746021435531"/>
    <n v="3.334962650211108"/>
  </r>
  <r>
    <n v="1645"/>
    <x v="34"/>
    <x v="8"/>
    <x v="0"/>
    <x v="3"/>
    <x v="2"/>
    <x v="2"/>
    <x v="8"/>
    <x v="18"/>
    <n v="5"/>
    <n v="599.88"/>
    <n v="476.2"/>
    <n v="2669.47"/>
    <n v="2381"/>
    <n v="288.47000000000003"/>
    <x v="12"/>
    <x v="5"/>
    <n v="0.10806264914009149"/>
    <n v="0.92868247255073133"/>
  </r>
  <r>
    <n v="1311"/>
    <x v="35"/>
    <x v="27"/>
    <x v="1"/>
    <x v="3"/>
    <x v="0"/>
    <x v="1"/>
    <x v="3"/>
    <x v="4"/>
    <n v="10"/>
    <n v="725.15"/>
    <n v="419.42"/>
    <n v="5148.5600000000004"/>
    <n v="4194.2"/>
    <n v="954.36"/>
    <x v="19"/>
    <x v="5"/>
    <n v="0.18536445141942601"/>
    <n v="-0.76077000170921583"/>
  </r>
  <r>
    <n v="1616"/>
    <x v="35"/>
    <x v="59"/>
    <x v="1"/>
    <x v="3"/>
    <x v="2"/>
    <x v="1"/>
    <x v="3"/>
    <x v="4"/>
    <n v="2"/>
    <n v="707.87"/>
    <n v="583.51"/>
    <n v="1231.69"/>
    <n v="1167.02"/>
    <n v="64.67"/>
    <x v="6"/>
    <x v="0"/>
    <n v="5.2505094626082861E-2"/>
    <n v="-0.58332047836712164"/>
  </r>
  <r>
    <n v="1656"/>
    <x v="36"/>
    <x v="60"/>
    <x v="0"/>
    <x v="1"/>
    <x v="3"/>
    <x v="2"/>
    <x v="6"/>
    <x v="27"/>
    <n v="6"/>
    <n v="86.4"/>
    <n v="60.49"/>
    <n v="513.22"/>
    <n v="362.94"/>
    <n v="150.28"/>
    <x v="27"/>
    <x v="1"/>
    <n v="0.29281789485990412"/>
    <n v="7.3239546393359571"/>
  </r>
  <r>
    <n v="1772"/>
    <x v="36"/>
    <x v="61"/>
    <x v="2"/>
    <x v="0"/>
    <x v="3"/>
    <x v="2"/>
    <x v="6"/>
    <x v="17"/>
    <n v="5"/>
    <n v="908.94"/>
    <n v="486.53"/>
    <n v="4272.0200000000004"/>
    <n v="2432.65"/>
    <n v="1839.37"/>
    <x v="15"/>
    <x v="0"/>
    <n v="0.43056212283650352"/>
    <n v="0.30585530966615321"/>
  </r>
  <r>
    <n v="1538"/>
    <x v="37"/>
    <x v="45"/>
    <x v="1"/>
    <x v="0"/>
    <x v="2"/>
    <x v="1"/>
    <x v="5"/>
    <x v="10"/>
    <n v="10"/>
    <n v="753.87"/>
    <n v="520.4"/>
    <n v="5578.64"/>
    <n v="5204"/>
    <n v="374.64"/>
    <x v="26"/>
    <x v="3"/>
    <n v="6.7156152754076257E-2"/>
    <n v="-0.8009317683162922"/>
  </r>
  <r>
    <n v="1020"/>
    <x v="38"/>
    <x v="62"/>
    <x v="1"/>
    <x v="2"/>
    <x v="0"/>
    <x v="1"/>
    <x v="5"/>
    <x v="10"/>
    <n v="2"/>
    <n v="597.05999999999995"/>
    <n v="439.63"/>
    <n v="1110.53"/>
    <n v="879.26"/>
    <n v="231.27"/>
    <x v="4"/>
    <x v="2"/>
    <n v="0.20825191575193827"/>
    <n v="2.1200868053992239"/>
  </r>
  <r>
    <n v="1045"/>
    <x v="38"/>
    <x v="48"/>
    <x v="0"/>
    <x v="2"/>
    <x v="1"/>
    <x v="0"/>
    <x v="0"/>
    <x v="7"/>
    <n v="5"/>
    <n v="753.25"/>
    <n v="595.95000000000005"/>
    <n v="3464.95"/>
    <n v="2979.75"/>
    <n v="485.2"/>
    <x v="14"/>
    <x v="2"/>
    <n v="0.14003088067648883"/>
    <n v="-0.29292197578608642"/>
  </r>
  <r>
    <n v="1872"/>
    <x v="38"/>
    <x v="63"/>
    <x v="0"/>
    <x v="3"/>
    <x v="2"/>
    <x v="2"/>
    <x v="4"/>
    <x v="21"/>
    <n v="3"/>
    <n v="995.93"/>
    <n v="566.54"/>
    <n v="2449.9899999999998"/>
    <n v="1699.62"/>
    <n v="750.37"/>
    <x v="23"/>
    <x v="2"/>
    <n v="0.30627471948865098"/>
    <n v="1.473675402756746"/>
  </r>
  <r>
    <n v="1058"/>
    <x v="39"/>
    <x v="64"/>
    <x v="0"/>
    <x v="0"/>
    <x v="0"/>
    <x v="0"/>
    <x v="0"/>
    <x v="0"/>
    <n v="10"/>
    <n v="631.29999999999995"/>
    <n v="327.5"/>
    <n v="6060.48"/>
    <n v="3275"/>
    <n v="2785.48"/>
    <x v="16"/>
    <x v="9"/>
    <n v="0.45961375996620735"/>
    <n v="-0.76049586831406091"/>
  </r>
  <r>
    <n v="1184"/>
    <x v="39"/>
    <x v="48"/>
    <x v="1"/>
    <x v="0"/>
    <x v="0"/>
    <x v="2"/>
    <x v="4"/>
    <x v="8"/>
    <n v="9"/>
    <n v="220.93"/>
    <n v="126.62"/>
    <n v="1451.51"/>
    <n v="1139.58"/>
    <n v="311.93"/>
    <x v="24"/>
    <x v="3"/>
    <n v="0.21490034515780118"/>
    <n v="2.3723570626451074"/>
  </r>
  <r>
    <n v="1517"/>
    <x v="39"/>
    <x v="65"/>
    <x v="0"/>
    <x v="1"/>
    <x v="0"/>
    <x v="0"/>
    <x v="0"/>
    <x v="0"/>
    <n v="9"/>
    <n v="706.35"/>
    <n v="491.81"/>
    <n v="4895.01"/>
    <n v="4426.29"/>
    <n v="468.72"/>
    <x v="3"/>
    <x v="8"/>
    <n v="9.575465627240802E-2"/>
    <n v="0.42470597608585059"/>
  </r>
  <r>
    <n v="1760"/>
    <x v="39"/>
    <x v="66"/>
    <x v="0"/>
    <x v="2"/>
    <x v="3"/>
    <x v="2"/>
    <x v="6"/>
    <x v="27"/>
    <n v="9"/>
    <n v="851.52"/>
    <n v="681.41"/>
    <n v="6973.95"/>
    <n v="6132.69"/>
    <n v="841.26"/>
    <x v="5"/>
    <x v="0"/>
    <n v="0.12062891187920763"/>
    <n v="-0.99832662981524101"/>
  </r>
  <r>
    <n v="1230"/>
    <x v="40"/>
    <x v="67"/>
    <x v="0"/>
    <x v="2"/>
    <x v="1"/>
    <x v="1"/>
    <x v="5"/>
    <x v="22"/>
    <n v="2"/>
    <n v="6.08"/>
    <n v="4.05"/>
    <n v="11.67"/>
    <n v="8.1"/>
    <n v="3.57"/>
    <x v="16"/>
    <x v="1"/>
    <n v="0.30591259640102825"/>
    <n v="36.634104541559552"/>
  </r>
  <r>
    <n v="1016"/>
    <x v="41"/>
    <x v="52"/>
    <x v="1"/>
    <x v="0"/>
    <x v="0"/>
    <x v="0"/>
    <x v="7"/>
    <x v="25"/>
    <n v="2"/>
    <n v="252.41"/>
    <n v="143.01"/>
    <n v="439.19"/>
    <n v="286.02"/>
    <n v="153.16999999999999"/>
    <x v="6"/>
    <x v="4"/>
    <n v="0.3487556638356975"/>
    <n v="1.217331906464173"/>
  </r>
  <r>
    <n v="1737"/>
    <x v="41"/>
    <x v="68"/>
    <x v="1"/>
    <x v="3"/>
    <x v="1"/>
    <x v="1"/>
    <x v="5"/>
    <x v="22"/>
    <n v="3"/>
    <n v="444.67"/>
    <n v="297.42"/>
    <n v="973.83"/>
    <n v="892.26"/>
    <n v="81.569999999999993"/>
    <x v="24"/>
    <x v="1"/>
    <n v="8.3762052925048514E-2"/>
    <n v="0.11225778626659688"/>
  </r>
  <r>
    <n v="1799"/>
    <x v="41"/>
    <x v="7"/>
    <x v="1"/>
    <x v="0"/>
    <x v="1"/>
    <x v="1"/>
    <x v="5"/>
    <x v="10"/>
    <n v="3"/>
    <n v="368.42"/>
    <n v="194.4"/>
    <n v="1083.1500000000001"/>
    <n v="583.20000000000005"/>
    <n v="499.95"/>
    <x v="0"/>
    <x v="9"/>
    <n v="0.46157041960947232"/>
    <n v="2.4575543553524439"/>
  </r>
  <r>
    <n v="1596"/>
    <x v="42"/>
    <x v="7"/>
    <x v="1"/>
    <x v="1"/>
    <x v="0"/>
    <x v="0"/>
    <x v="0"/>
    <x v="0"/>
    <n v="4"/>
    <n v="965.22"/>
    <n v="775"/>
    <n v="3745.05"/>
    <n v="3100"/>
    <n v="645.04999999999995"/>
    <x v="28"/>
    <x v="1"/>
    <n v="0.1722406910455134"/>
    <n v="-0.22730270623890206"/>
  </r>
  <r>
    <n v="1739"/>
    <x v="43"/>
    <x v="23"/>
    <x v="0"/>
    <x v="2"/>
    <x v="0"/>
    <x v="2"/>
    <x v="4"/>
    <x v="8"/>
    <n v="6"/>
    <n v="595.42999999999995"/>
    <n v="499.81"/>
    <n v="2893.79"/>
    <n v="2998.86"/>
    <n v="-105.07"/>
    <x v="21"/>
    <x v="4"/>
    <n v="-3.6308785364521957E-2"/>
    <n v="-0.87217109741895582"/>
  </r>
  <r>
    <n v="1908"/>
    <x v="44"/>
    <x v="64"/>
    <x v="1"/>
    <x v="1"/>
    <x v="1"/>
    <x v="2"/>
    <x v="6"/>
    <x v="17"/>
    <n v="8"/>
    <n v="49.19"/>
    <n v="28.14"/>
    <n v="369.91"/>
    <n v="225.12"/>
    <n v="144.79"/>
    <x v="15"/>
    <x v="4"/>
    <n v="0.3914195344813603"/>
    <n v="1.2434375929280095"/>
  </r>
  <r>
    <n v="1042"/>
    <x v="45"/>
    <x v="12"/>
    <x v="0"/>
    <x v="1"/>
    <x v="0"/>
    <x v="1"/>
    <x v="1"/>
    <x v="9"/>
    <n v="1"/>
    <n v="943.03"/>
    <n v="570.08000000000004"/>
    <n v="829.87"/>
    <n v="570.08000000000004"/>
    <n v="259.79000000000002"/>
    <x v="2"/>
    <x v="4"/>
    <n v="0.31304903177606136"/>
    <n v="7.7640473809150841"/>
  </r>
  <r>
    <n v="1349"/>
    <x v="46"/>
    <x v="69"/>
    <x v="2"/>
    <x v="0"/>
    <x v="2"/>
    <x v="1"/>
    <x v="1"/>
    <x v="9"/>
    <n v="8"/>
    <n v="918.31"/>
    <n v="742.49"/>
    <n v="7273.02"/>
    <n v="5939.92"/>
    <n v="1333.1"/>
    <x v="27"/>
    <x v="5"/>
    <n v="0.183293872421635"/>
    <n v="-8.8573934899120414E-3"/>
  </r>
  <r>
    <n v="1519"/>
    <x v="46"/>
    <x v="70"/>
    <x v="0"/>
    <x v="1"/>
    <x v="0"/>
    <x v="0"/>
    <x v="7"/>
    <x v="14"/>
    <n v="9"/>
    <n v="899.95"/>
    <n v="592.34"/>
    <n v="7208.6"/>
    <n v="5331.06"/>
    <n v="1877.54"/>
    <x v="12"/>
    <x v="2"/>
    <n v="0.26045834142551949"/>
    <n v="-0.35202119690369832"/>
  </r>
  <r>
    <n v="1365"/>
    <x v="47"/>
    <x v="71"/>
    <x v="0"/>
    <x v="0"/>
    <x v="0"/>
    <x v="1"/>
    <x v="1"/>
    <x v="9"/>
    <n v="10"/>
    <n v="657.89"/>
    <n v="394.91"/>
    <n v="4671.0200000000004"/>
    <n v="3949.1"/>
    <n v="721.92"/>
    <x v="19"/>
    <x v="7"/>
    <n v="0.15455296701791041"/>
    <n v="-0.73790521128147601"/>
  </r>
  <r>
    <n v="1499"/>
    <x v="47"/>
    <x v="72"/>
    <x v="2"/>
    <x v="0"/>
    <x v="1"/>
    <x v="1"/>
    <x v="3"/>
    <x v="6"/>
    <n v="2"/>
    <n v="805.43"/>
    <n v="522.86"/>
    <n v="1224.25"/>
    <n v="1045.72"/>
    <n v="178.53"/>
    <x v="17"/>
    <x v="4"/>
    <n v="0.14582805799469062"/>
    <n v="1.1472084949969368"/>
  </r>
  <r>
    <n v="1890"/>
    <x v="47"/>
    <x v="73"/>
    <x v="0"/>
    <x v="0"/>
    <x v="0"/>
    <x v="1"/>
    <x v="5"/>
    <x v="26"/>
    <n v="6"/>
    <n v="608.5"/>
    <n v="483.29"/>
    <n v="2628.72"/>
    <n v="2899.74"/>
    <n v="-271.02"/>
    <x v="11"/>
    <x v="5"/>
    <n v="-0.10309960741349403"/>
    <n v="-0.7418325268571776"/>
  </r>
  <r>
    <n v="1255"/>
    <x v="48"/>
    <x v="29"/>
    <x v="1"/>
    <x v="1"/>
    <x v="2"/>
    <x v="2"/>
    <x v="6"/>
    <x v="11"/>
    <n v="1"/>
    <n v="942.57"/>
    <n v="487.99"/>
    <n v="678.65"/>
    <n v="487.99"/>
    <n v="190.66"/>
    <x v="11"/>
    <x v="4"/>
    <n v="0.28094010167243794"/>
    <n v="1.7603919546157816"/>
  </r>
  <r>
    <n v="1552"/>
    <x v="48"/>
    <x v="15"/>
    <x v="0"/>
    <x v="2"/>
    <x v="1"/>
    <x v="2"/>
    <x v="8"/>
    <x v="18"/>
    <n v="8"/>
    <n v="282.13"/>
    <n v="211.52"/>
    <n v="1873.34"/>
    <n v="1692.16"/>
    <n v="181.18"/>
    <x v="30"/>
    <x v="3"/>
    <n v="9.6714958309756918E-2"/>
    <n v="-0.76676951327575338"/>
  </r>
  <r>
    <n v="1871"/>
    <x v="48"/>
    <x v="36"/>
    <x v="2"/>
    <x v="1"/>
    <x v="0"/>
    <x v="2"/>
    <x v="6"/>
    <x v="11"/>
    <n v="1"/>
    <n v="490.92"/>
    <n v="246.33"/>
    <n v="436.92"/>
    <n v="246.33"/>
    <n v="190.59"/>
    <x v="12"/>
    <x v="7"/>
    <n v="0.43621257896182369"/>
    <n v="-0.45692575299826055"/>
  </r>
  <r>
    <n v="1973"/>
    <x v="48"/>
    <x v="12"/>
    <x v="1"/>
    <x v="2"/>
    <x v="3"/>
    <x v="2"/>
    <x v="8"/>
    <x v="18"/>
    <n v="1"/>
    <n v="279.14999999999998"/>
    <n v="158.99"/>
    <n v="237.28"/>
    <n v="158.99"/>
    <n v="78.290000000000006"/>
    <x v="25"/>
    <x v="8"/>
    <n v="0.32994774106540797"/>
    <n v="7.2610839514497645"/>
  </r>
  <r>
    <n v="1794"/>
    <x v="49"/>
    <x v="74"/>
    <x v="0"/>
    <x v="3"/>
    <x v="2"/>
    <x v="2"/>
    <x v="6"/>
    <x v="27"/>
    <n v="3"/>
    <n v="768.7"/>
    <n v="479.22"/>
    <n v="1960.19"/>
    <n v="1437.66"/>
    <n v="522.53"/>
    <x v="25"/>
    <x v="0"/>
    <n v="0.26657109769971277"/>
    <n v="-0.20261301200393844"/>
  </r>
  <r>
    <n v="1446"/>
    <x v="50"/>
    <x v="75"/>
    <x v="1"/>
    <x v="0"/>
    <x v="3"/>
    <x v="0"/>
    <x v="2"/>
    <x v="5"/>
    <n v="5"/>
    <n v="332.56"/>
    <n v="214.44"/>
    <n v="1563.03"/>
    <n v="1072.2"/>
    <n v="490.83"/>
    <x v="15"/>
    <x v="1"/>
    <n v="0.31402468282758489"/>
    <n v="0.29466484968298751"/>
  </r>
  <r>
    <n v="1703"/>
    <x v="50"/>
    <x v="76"/>
    <x v="1"/>
    <x v="1"/>
    <x v="1"/>
    <x v="1"/>
    <x v="3"/>
    <x v="4"/>
    <n v="4"/>
    <n v="505.9"/>
    <n v="377.72"/>
    <n v="2023.6"/>
    <n v="1510.88"/>
    <n v="512.72"/>
    <x v="18"/>
    <x v="7"/>
    <n v="0.25337023127100222"/>
    <n v="0.87631448902945253"/>
  </r>
  <r>
    <n v="1812"/>
    <x v="50"/>
    <x v="18"/>
    <x v="0"/>
    <x v="3"/>
    <x v="0"/>
    <x v="2"/>
    <x v="8"/>
    <x v="18"/>
    <n v="5"/>
    <n v="986.21"/>
    <n v="830.85"/>
    <n v="3796.91"/>
    <n v="4154.25"/>
    <n v="-357.34"/>
    <x v="3"/>
    <x v="0"/>
    <n v="-9.4113371136002696E-2"/>
    <n v="0.9453107921968128"/>
  </r>
  <r>
    <n v="1012"/>
    <x v="51"/>
    <x v="37"/>
    <x v="2"/>
    <x v="2"/>
    <x v="1"/>
    <x v="1"/>
    <x v="5"/>
    <x v="26"/>
    <n v="9"/>
    <n v="873.07"/>
    <n v="565.84"/>
    <n v="7386.17"/>
    <n v="5092.5600000000004"/>
    <n v="2293.61"/>
    <x v="15"/>
    <x v="6"/>
    <n v="0.31052764829404145"/>
    <n v="-0.41688994431484794"/>
  </r>
  <r>
    <n v="1071"/>
    <x v="52"/>
    <x v="44"/>
    <x v="0"/>
    <x v="3"/>
    <x v="3"/>
    <x v="2"/>
    <x v="6"/>
    <x v="13"/>
    <n v="10"/>
    <n v="582.02"/>
    <n v="425.44"/>
    <n v="4306.95"/>
    <n v="4254.3999999999996"/>
    <n v="52.55"/>
    <x v="26"/>
    <x v="0"/>
    <n v="1.2201209672738248E-2"/>
    <n v="-0.54022916448995228"/>
  </r>
  <r>
    <n v="1493"/>
    <x v="52"/>
    <x v="20"/>
    <x v="2"/>
    <x v="1"/>
    <x v="1"/>
    <x v="2"/>
    <x v="4"/>
    <x v="8"/>
    <n v="6"/>
    <n v="336.77"/>
    <n v="204.08"/>
    <n v="1980.21"/>
    <n v="1224.48"/>
    <n v="755.73"/>
    <x v="0"/>
    <x v="2"/>
    <n v="0.38164134106988651"/>
    <n v="-0.53803889486468615"/>
  </r>
  <r>
    <n v="1686"/>
    <x v="52"/>
    <x v="77"/>
    <x v="0"/>
    <x v="2"/>
    <x v="2"/>
    <x v="0"/>
    <x v="7"/>
    <x v="14"/>
    <n v="2"/>
    <n v="457.39"/>
    <n v="287.70999999999998"/>
    <n v="914.78"/>
    <n v="575.41999999999996"/>
    <n v="339.36"/>
    <x v="18"/>
    <x v="5"/>
    <n v="0.37097444194232498"/>
    <n v="2.0946019808041281"/>
  </r>
  <r>
    <n v="1236"/>
    <x v="53"/>
    <x v="78"/>
    <x v="2"/>
    <x v="3"/>
    <x v="3"/>
    <x v="2"/>
    <x v="6"/>
    <x v="17"/>
    <n v="6"/>
    <n v="548.62"/>
    <n v="307.48"/>
    <n v="2830.88"/>
    <n v="1844.88"/>
    <n v="986"/>
    <x v="9"/>
    <x v="2"/>
    <n v="0.34830158819872264"/>
    <n v="4.4908297066636557E-2"/>
  </r>
  <r>
    <n v="1407"/>
    <x v="53"/>
    <x v="79"/>
    <x v="2"/>
    <x v="1"/>
    <x v="0"/>
    <x v="0"/>
    <x v="7"/>
    <x v="12"/>
    <n v="6"/>
    <n v="560.23"/>
    <n v="464.09"/>
    <n v="2958.01"/>
    <n v="2784.54"/>
    <n v="173.47"/>
    <x v="2"/>
    <x v="5"/>
    <n v="5.8644156037335908E-2"/>
    <n v="-0.51221260239147259"/>
  </r>
  <r>
    <n v="1396"/>
    <x v="54"/>
    <x v="80"/>
    <x v="2"/>
    <x v="2"/>
    <x v="3"/>
    <x v="0"/>
    <x v="2"/>
    <x v="5"/>
    <n v="4"/>
    <n v="387.87"/>
    <n v="326.29000000000002"/>
    <n v="1442.88"/>
    <n v="1305.1600000000001"/>
    <n v="137.72"/>
    <x v="4"/>
    <x v="7"/>
    <n v="9.5447992903082715E-2"/>
    <n v="-0.36688428698159242"/>
  </r>
  <r>
    <n v="1509"/>
    <x v="55"/>
    <x v="81"/>
    <x v="0"/>
    <x v="0"/>
    <x v="1"/>
    <x v="2"/>
    <x v="8"/>
    <x v="18"/>
    <n v="3"/>
    <n v="390.39"/>
    <n v="213.83"/>
    <n v="913.51"/>
    <n v="641.49"/>
    <n v="272.02"/>
    <x v="13"/>
    <x v="5"/>
    <n v="0.29777451806767302"/>
    <n v="2.954319055073289"/>
  </r>
  <r>
    <n v="1136"/>
    <x v="56"/>
    <x v="58"/>
    <x v="1"/>
    <x v="3"/>
    <x v="1"/>
    <x v="0"/>
    <x v="7"/>
    <x v="25"/>
    <n v="4"/>
    <n v="960.72"/>
    <n v="489.07"/>
    <n v="3612.31"/>
    <n v="1956.28"/>
    <n v="1656.03"/>
    <x v="15"/>
    <x v="6"/>
    <n v="0.45844072075763154"/>
    <n v="0.8503672165456454"/>
  </r>
  <r>
    <n v="1352"/>
    <x v="56"/>
    <x v="82"/>
    <x v="0"/>
    <x v="2"/>
    <x v="2"/>
    <x v="2"/>
    <x v="8"/>
    <x v="19"/>
    <n v="10"/>
    <n v="718.72"/>
    <n v="389.13"/>
    <n v="6684.1"/>
    <n v="3891.3"/>
    <n v="2792.8"/>
    <x v="4"/>
    <x v="5"/>
    <n v="0.41782738139764514"/>
    <n v="-0.78776200236381866"/>
  </r>
  <r>
    <n v="1565"/>
    <x v="56"/>
    <x v="14"/>
    <x v="0"/>
    <x v="3"/>
    <x v="1"/>
    <x v="1"/>
    <x v="3"/>
    <x v="15"/>
    <n v="4"/>
    <n v="417.24"/>
    <n v="245.31"/>
    <n v="1418.62"/>
    <n v="981.24"/>
    <n v="437.38"/>
    <x v="25"/>
    <x v="6"/>
    <n v="0.30831371332703617"/>
    <n v="0.32652154911110803"/>
  </r>
  <r>
    <n v="1864"/>
    <x v="56"/>
    <x v="83"/>
    <x v="2"/>
    <x v="3"/>
    <x v="1"/>
    <x v="1"/>
    <x v="5"/>
    <x v="26"/>
    <n v="4"/>
    <n v="475.21"/>
    <n v="245.12"/>
    <n v="1881.83"/>
    <n v="980.48"/>
    <n v="901.35"/>
    <x v="27"/>
    <x v="3"/>
    <n v="0.47897525281242198"/>
    <n v="2.1767269094445303"/>
  </r>
  <r>
    <n v="1903"/>
    <x v="56"/>
    <x v="84"/>
    <x v="0"/>
    <x v="2"/>
    <x v="3"/>
    <x v="2"/>
    <x v="6"/>
    <x v="13"/>
    <n v="10"/>
    <n v="656.93"/>
    <n v="384.62"/>
    <n v="5978.06"/>
    <n v="3846.2"/>
    <n v="2131.86"/>
    <x v="5"/>
    <x v="9"/>
    <n v="0.35661401859466113"/>
    <n v="-0.58052445107610162"/>
  </r>
  <r>
    <n v="1267"/>
    <x v="57"/>
    <x v="85"/>
    <x v="0"/>
    <x v="2"/>
    <x v="0"/>
    <x v="1"/>
    <x v="3"/>
    <x v="4"/>
    <n v="6"/>
    <n v="449.4"/>
    <n v="266.42"/>
    <n v="2507.65"/>
    <n v="1598.52"/>
    <n v="909.13"/>
    <x v="4"/>
    <x v="2"/>
    <n v="0.36254261958407275"/>
    <n v="-0.27230674137140354"/>
  </r>
  <r>
    <n v="1935"/>
    <x v="58"/>
    <x v="86"/>
    <x v="2"/>
    <x v="0"/>
    <x v="3"/>
    <x v="2"/>
    <x v="4"/>
    <x v="21"/>
    <n v="5"/>
    <n v="456.2"/>
    <n v="345.54"/>
    <n v="1824.8"/>
    <n v="1727.7"/>
    <n v="97.1"/>
    <x v="20"/>
    <x v="2"/>
    <n v="5.3211310828583949E-2"/>
    <n v="1.0432869355545815"/>
  </r>
  <r>
    <n v="1768"/>
    <x v="59"/>
    <x v="75"/>
    <x v="2"/>
    <x v="2"/>
    <x v="2"/>
    <x v="2"/>
    <x v="6"/>
    <x v="11"/>
    <n v="5"/>
    <n v="994.29"/>
    <n v="583.22"/>
    <n v="3728.59"/>
    <n v="2916.1"/>
    <n v="812.49"/>
    <x v="7"/>
    <x v="1"/>
    <n v="0.21790811003623353"/>
    <n v="0.25298839507695936"/>
  </r>
  <r>
    <n v="1360"/>
    <x v="60"/>
    <x v="18"/>
    <x v="1"/>
    <x v="1"/>
    <x v="3"/>
    <x v="2"/>
    <x v="8"/>
    <x v="24"/>
    <n v="10"/>
    <n v="524.92999999999995"/>
    <n v="357.96"/>
    <n v="4671.88"/>
    <n v="3579.6"/>
    <n v="1092.28"/>
    <x v="12"/>
    <x v="1"/>
    <n v="0.23379881332568472"/>
    <n v="-0.98676763957978375"/>
  </r>
  <r>
    <n v="1806"/>
    <x v="61"/>
    <x v="87"/>
    <x v="2"/>
    <x v="1"/>
    <x v="0"/>
    <x v="2"/>
    <x v="6"/>
    <x v="11"/>
    <n v="5"/>
    <n v="13.44"/>
    <n v="8.4"/>
    <n v="61.82"/>
    <n v="42"/>
    <n v="19.82"/>
    <x v="14"/>
    <x v="4"/>
    <n v="0.32060821740537043"/>
    <n v="20.81818181818182"/>
  </r>
  <r>
    <n v="1875"/>
    <x v="61"/>
    <x v="18"/>
    <x v="1"/>
    <x v="1"/>
    <x v="2"/>
    <x v="0"/>
    <x v="0"/>
    <x v="0"/>
    <n v="3"/>
    <n v="528.94000000000005"/>
    <n v="392.97"/>
    <n v="1348.8"/>
    <n v="1178.9100000000001"/>
    <n v="169.89"/>
    <x v="25"/>
    <x v="5"/>
    <n v="0.12595640569395017"/>
    <n v="0.89552194543297736"/>
  </r>
  <r>
    <n v="1912"/>
    <x v="61"/>
    <x v="88"/>
    <x v="1"/>
    <x v="3"/>
    <x v="3"/>
    <x v="1"/>
    <x v="1"/>
    <x v="23"/>
    <n v="10"/>
    <n v="277.89999999999998"/>
    <n v="165.09"/>
    <n v="2556.6799999999998"/>
    <n v="1650.9"/>
    <n v="905.78"/>
    <x v="14"/>
    <x v="9"/>
    <n v="0.35427976907551983"/>
    <n v="-0.99165714911525893"/>
  </r>
  <r>
    <n v="1532"/>
    <x v="62"/>
    <x v="89"/>
    <x v="0"/>
    <x v="1"/>
    <x v="3"/>
    <x v="2"/>
    <x v="4"/>
    <x v="21"/>
    <n v="2"/>
    <n v="11.59"/>
    <n v="8.39"/>
    <n v="21.33"/>
    <n v="16.78"/>
    <n v="4.55"/>
    <x v="14"/>
    <x v="8"/>
    <n v="0.21331458040318801"/>
    <n v="109.4814814814815"/>
  </r>
  <r>
    <n v="1607"/>
    <x v="62"/>
    <x v="44"/>
    <x v="0"/>
    <x v="2"/>
    <x v="1"/>
    <x v="0"/>
    <x v="2"/>
    <x v="5"/>
    <n v="3"/>
    <n v="902.9"/>
    <n v="684.92"/>
    <n v="2356.5700000000002"/>
    <n v="2054.7600000000002"/>
    <n v="301.81"/>
    <x v="6"/>
    <x v="0"/>
    <n v="0.12807173137229108"/>
    <n v="0.9088251144672127"/>
  </r>
  <r>
    <n v="1222"/>
    <x v="63"/>
    <x v="90"/>
    <x v="2"/>
    <x v="2"/>
    <x v="2"/>
    <x v="1"/>
    <x v="3"/>
    <x v="4"/>
    <n v="6"/>
    <n v="861.74"/>
    <n v="614.92999999999995"/>
    <n v="4498.28"/>
    <n v="3689.58"/>
    <n v="808.7"/>
    <x v="6"/>
    <x v="9"/>
    <n v="0.17977982695608102"/>
    <n v="-0.84042345074117208"/>
  </r>
  <r>
    <n v="1107"/>
    <x v="64"/>
    <x v="91"/>
    <x v="2"/>
    <x v="2"/>
    <x v="1"/>
    <x v="1"/>
    <x v="1"/>
    <x v="1"/>
    <n v="2"/>
    <n v="398.79"/>
    <n v="242.7"/>
    <n v="717.82"/>
    <n v="485.4"/>
    <n v="232.42"/>
    <x v="22"/>
    <x v="5"/>
    <n v="0.32378590733052848"/>
    <n v="1.937700259117884"/>
  </r>
  <r>
    <n v="1975"/>
    <x v="64"/>
    <x v="92"/>
    <x v="2"/>
    <x v="2"/>
    <x v="0"/>
    <x v="2"/>
    <x v="6"/>
    <x v="11"/>
    <n v="3"/>
    <n v="789.79"/>
    <n v="455.02"/>
    <n v="2108.7399999999998"/>
    <n v="1365.06"/>
    <n v="743.68"/>
    <x v="12"/>
    <x v="2"/>
    <n v="0.35266557280651006"/>
    <n v="0.39768771873251346"/>
  </r>
  <r>
    <n v="1400"/>
    <x v="65"/>
    <x v="93"/>
    <x v="0"/>
    <x v="0"/>
    <x v="3"/>
    <x v="1"/>
    <x v="5"/>
    <x v="10"/>
    <n v="6"/>
    <n v="646.35"/>
    <n v="481.83"/>
    <n v="2947.36"/>
    <n v="2890.98"/>
    <n v="56.38"/>
    <x v="17"/>
    <x v="8"/>
    <n v="1.9128983225666359E-2"/>
    <n v="-0.20323611638890404"/>
  </r>
  <r>
    <n v="1582"/>
    <x v="65"/>
    <x v="94"/>
    <x v="0"/>
    <x v="2"/>
    <x v="0"/>
    <x v="0"/>
    <x v="7"/>
    <x v="25"/>
    <n v="10"/>
    <n v="263.86"/>
    <n v="140.15"/>
    <n v="2348.35"/>
    <n v="1401.5"/>
    <n v="946.85"/>
    <x v="12"/>
    <x v="9"/>
    <n v="0.40319799007814"/>
    <n v="-0.79789213703238449"/>
  </r>
  <r>
    <n v="1964"/>
    <x v="66"/>
    <x v="95"/>
    <x v="1"/>
    <x v="2"/>
    <x v="2"/>
    <x v="2"/>
    <x v="6"/>
    <x v="11"/>
    <n v="6"/>
    <n v="82.4"/>
    <n v="69.17"/>
    <n v="474.62"/>
    <n v="415.02"/>
    <n v="59.6"/>
    <x v="16"/>
    <x v="0"/>
    <n v="0.1255741435253466"/>
    <n v="6.5788630904723782"/>
  </r>
  <r>
    <n v="1308"/>
    <x v="67"/>
    <x v="35"/>
    <x v="0"/>
    <x v="2"/>
    <x v="0"/>
    <x v="0"/>
    <x v="0"/>
    <x v="7"/>
    <n v="5"/>
    <n v="836.53"/>
    <n v="620.26"/>
    <n v="3597.08"/>
    <n v="3101.3"/>
    <n v="495.78"/>
    <x v="9"/>
    <x v="4"/>
    <n v="0.13782846086269973"/>
    <n v="5.7324274133463887E-2"/>
  </r>
  <r>
    <n v="1415"/>
    <x v="68"/>
    <x v="96"/>
    <x v="0"/>
    <x v="0"/>
    <x v="1"/>
    <x v="2"/>
    <x v="8"/>
    <x v="19"/>
    <n v="6"/>
    <n v="880.39"/>
    <n v="574.02"/>
    <n v="3803.28"/>
    <n v="3444.12"/>
    <n v="359.16"/>
    <x v="11"/>
    <x v="2"/>
    <n v="9.4434277781283521E-2"/>
    <n v="-0.75914999684482865"/>
  </r>
  <r>
    <n v="1753"/>
    <x v="68"/>
    <x v="97"/>
    <x v="1"/>
    <x v="3"/>
    <x v="3"/>
    <x v="1"/>
    <x v="5"/>
    <x v="10"/>
    <n v="3"/>
    <n v="321.41000000000003"/>
    <n v="245.29"/>
    <n v="916.02"/>
    <n v="735.87"/>
    <n v="180.15"/>
    <x v="10"/>
    <x v="6"/>
    <n v="0.19666601165913408"/>
    <n v="2.3669570533394464"/>
  </r>
  <r>
    <n v="1555"/>
    <x v="69"/>
    <x v="50"/>
    <x v="1"/>
    <x v="1"/>
    <x v="1"/>
    <x v="2"/>
    <x v="6"/>
    <x v="17"/>
    <n v="8"/>
    <n v="507.27"/>
    <n v="349.94"/>
    <n v="3084.2"/>
    <n v="2799.52"/>
    <n v="284.68"/>
    <x v="17"/>
    <x v="6"/>
    <n v="9.2302704104792174E-2"/>
    <n v="-0.48618766616950909"/>
  </r>
  <r>
    <n v="1699"/>
    <x v="69"/>
    <x v="98"/>
    <x v="1"/>
    <x v="2"/>
    <x v="2"/>
    <x v="2"/>
    <x v="6"/>
    <x v="11"/>
    <n v="6"/>
    <n v="326.07"/>
    <n v="234.57"/>
    <n v="1584.7"/>
    <n v="1407.42"/>
    <n v="177.28"/>
    <x v="21"/>
    <x v="6"/>
    <n v="0.11186975452767085"/>
    <n v="1.2769988010348963"/>
  </r>
  <r>
    <n v="1087"/>
    <x v="70"/>
    <x v="29"/>
    <x v="1"/>
    <x v="2"/>
    <x v="1"/>
    <x v="0"/>
    <x v="0"/>
    <x v="3"/>
    <n v="9"/>
    <n v="422.03"/>
    <n v="320.66000000000003"/>
    <n v="3608.36"/>
    <n v="2885.94"/>
    <n v="722.42"/>
    <x v="10"/>
    <x v="4"/>
    <n v="0.2002072963894955"/>
    <n v="-0.78177066589808109"/>
  </r>
  <r>
    <n v="1881"/>
    <x v="70"/>
    <x v="99"/>
    <x v="2"/>
    <x v="1"/>
    <x v="0"/>
    <x v="1"/>
    <x v="1"/>
    <x v="9"/>
    <n v="1"/>
    <n v="926.41"/>
    <n v="560.45000000000005"/>
    <n v="787.45"/>
    <n v="560.45000000000005"/>
    <n v="227"/>
    <x v="25"/>
    <x v="8"/>
    <n v="0.28827227125531779"/>
    <n v="0.93028128770080631"/>
  </r>
  <r>
    <n v="1859"/>
    <x v="71"/>
    <x v="100"/>
    <x v="0"/>
    <x v="1"/>
    <x v="2"/>
    <x v="0"/>
    <x v="2"/>
    <x v="2"/>
    <n v="3"/>
    <n v="596.08000000000004"/>
    <n v="408.52"/>
    <n v="1520"/>
    <n v="1225.56"/>
    <n v="294.44"/>
    <x v="25"/>
    <x v="4"/>
    <n v="0.19371052631578947"/>
    <n v="2.9335789473684208"/>
  </r>
  <r>
    <n v="1074"/>
    <x v="72"/>
    <x v="72"/>
    <x v="0"/>
    <x v="0"/>
    <x v="1"/>
    <x v="2"/>
    <x v="4"/>
    <x v="28"/>
    <n v="7"/>
    <n v="871.58"/>
    <n v="731.68"/>
    <n v="5979.04"/>
    <n v="5121.76"/>
    <n v="857.28"/>
    <x v="0"/>
    <x v="3"/>
    <n v="0.14338087719767723"/>
    <n v="-0.10813107120875584"/>
  </r>
  <r>
    <n v="1260"/>
    <x v="72"/>
    <x v="101"/>
    <x v="2"/>
    <x v="3"/>
    <x v="0"/>
    <x v="2"/>
    <x v="4"/>
    <x v="21"/>
    <n v="6"/>
    <n v="935.53"/>
    <n v="792.43"/>
    <n v="5332.52"/>
    <n v="4754.58"/>
    <n v="577.94000000000005"/>
    <x v="10"/>
    <x v="1"/>
    <n v="0.10838027799239384"/>
    <n v="0.23494707942961293"/>
  </r>
  <r>
    <n v="1578"/>
    <x v="72"/>
    <x v="102"/>
    <x v="1"/>
    <x v="3"/>
    <x v="0"/>
    <x v="0"/>
    <x v="0"/>
    <x v="3"/>
    <n v="9"/>
    <n v="739.1"/>
    <n v="486.8"/>
    <n v="6585.38"/>
    <n v="4381.2"/>
    <n v="2204.1799999999998"/>
    <x v="27"/>
    <x v="7"/>
    <n v="0.33470809581223859"/>
    <n v="-0.93293325518041481"/>
  </r>
  <r>
    <n v="1049"/>
    <x v="73"/>
    <x v="86"/>
    <x v="0"/>
    <x v="0"/>
    <x v="0"/>
    <x v="0"/>
    <x v="7"/>
    <x v="25"/>
    <n v="6"/>
    <n v="73.61"/>
    <n v="53.49"/>
    <n v="441.66"/>
    <n v="320.94"/>
    <n v="120.72"/>
    <x v="18"/>
    <x v="4"/>
    <n v="0.27333242765928539"/>
    <n v="7.4868903681565007"/>
  </r>
  <r>
    <n v="1113"/>
    <x v="74"/>
    <x v="59"/>
    <x v="0"/>
    <x v="0"/>
    <x v="2"/>
    <x v="2"/>
    <x v="8"/>
    <x v="18"/>
    <n v="8"/>
    <n v="526.45000000000005"/>
    <n v="375.59"/>
    <n v="3748.32"/>
    <n v="3004.72"/>
    <n v="743.6"/>
    <x v="12"/>
    <x v="3"/>
    <n v="0.19838220856276945"/>
    <n v="-0.95204518290860973"/>
  </r>
  <r>
    <n v="1232"/>
    <x v="74"/>
    <x v="70"/>
    <x v="0"/>
    <x v="2"/>
    <x v="1"/>
    <x v="2"/>
    <x v="4"/>
    <x v="8"/>
    <n v="3"/>
    <n v="73.069999999999993"/>
    <n v="50.94"/>
    <n v="179.75"/>
    <n v="152.82"/>
    <n v="26.93"/>
    <x v="23"/>
    <x v="8"/>
    <n v="0.14981919332406118"/>
    <n v="4.1975521557719055"/>
  </r>
  <r>
    <n v="1350"/>
    <x v="74"/>
    <x v="103"/>
    <x v="1"/>
    <x v="3"/>
    <x v="3"/>
    <x v="1"/>
    <x v="3"/>
    <x v="4"/>
    <n v="3"/>
    <n v="379.78"/>
    <n v="240.2"/>
    <n v="934.26"/>
    <n v="720.6"/>
    <n v="213.66"/>
    <x v="23"/>
    <x v="2"/>
    <n v="0.2286943677348918"/>
    <n v="-0.92184188555648328"/>
  </r>
  <r>
    <n v="1248"/>
    <x v="75"/>
    <x v="104"/>
    <x v="2"/>
    <x v="1"/>
    <x v="1"/>
    <x v="2"/>
    <x v="8"/>
    <x v="19"/>
    <n v="2"/>
    <n v="48.68"/>
    <n v="28.28"/>
    <n v="73.02"/>
    <n v="56.56"/>
    <n v="16.46"/>
    <x v="7"/>
    <x v="4"/>
    <n v="0.22541769378252535"/>
    <n v="19.1147630786086"/>
  </r>
  <r>
    <n v="1507"/>
    <x v="75"/>
    <x v="43"/>
    <x v="1"/>
    <x v="2"/>
    <x v="2"/>
    <x v="2"/>
    <x v="6"/>
    <x v="11"/>
    <n v="2"/>
    <n v="895.6"/>
    <n v="673.93"/>
    <n v="1468.78"/>
    <n v="1347.86"/>
    <n v="120.92"/>
    <x v="23"/>
    <x v="5"/>
    <n v="8.2326829069023277E-2"/>
    <n v="-0.94422582006835598"/>
  </r>
  <r>
    <n v="1147"/>
    <x v="76"/>
    <x v="15"/>
    <x v="0"/>
    <x v="0"/>
    <x v="3"/>
    <x v="0"/>
    <x v="2"/>
    <x v="5"/>
    <n v="2"/>
    <n v="55.35"/>
    <n v="45.99"/>
    <n v="81.92"/>
    <n v="91.98"/>
    <n v="-10.06"/>
    <x v="26"/>
    <x v="4"/>
    <n v="-0.122802734375"/>
    <n v="31.59765625"/>
  </r>
  <r>
    <n v="1728"/>
    <x v="76"/>
    <x v="105"/>
    <x v="2"/>
    <x v="2"/>
    <x v="3"/>
    <x v="0"/>
    <x v="0"/>
    <x v="0"/>
    <n v="5"/>
    <n v="667.6"/>
    <n v="556.13"/>
    <n v="2670.4"/>
    <n v="2780.65"/>
    <n v="-110.25"/>
    <x v="20"/>
    <x v="8"/>
    <n v="-4.1285949670461355E-2"/>
    <n v="1.3423494607549431"/>
  </r>
  <r>
    <n v="1406"/>
    <x v="77"/>
    <x v="94"/>
    <x v="2"/>
    <x v="0"/>
    <x v="1"/>
    <x v="1"/>
    <x v="1"/>
    <x v="1"/>
    <n v="10"/>
    <n v="702.81"/>
    <n v="414.36"/>
    <n v="6255.01"/>
    <n v="4143.6000000000004"/>
    <n v="2111.41"/>
    <x v="12"/>
    <x v="9"/>
    <n v="0.33755501589925513"/>
    <n v="-0.32118254007587516"/>
  </r>
  <r>
    <n v="1891"/>
    <x v="78"/>
    <x v="106"/>
    <x v="0"/>
    <x v="2"/>
    <x v="2"/>
    <x v="2"/>
    <x v="6"/>
    <x v="17"/>
    <n v="8"/>
    <n v="680.45"/>
    <n v="393.93"/>
    <n v="4246.01"/>
    <n v="3151.44"/>
    <n v="1094.57"/>
    <x v="13"/>
    <x v="4"/>
    <n v="0.25778789969877602"/>
    <n v="-0.34102604562871963"/>
  </r>
  <r>
    <n v="1251"/>
    <x v="79"/>
    <x v="40"/>
    <x v="2"/>
    <x v="1"/>
    <x v="1"/>
    <x v="0"/>
    <x v="0"/>
    <x v="0"/>
    <n v="9"/>
    <n v="361.5"/>
    <n v="278.22000000000003"/>
    <n v="2798.01"/>
    <n v="2503.98"/>
    <n v="294.02999999999997"/>
    <x v="9"/>
    <x v="0"/>
    <n v="0.10508539998070054"/>
    <n v="0.90865293547914405"/>
  </r>
  <r>
    <n v="1357"/>
    <x v="79"/>
    <x v="107"/>
    <x v="1"/>
    <x v="1"/>
    <x v="2"/>
    <x v="1"/>
    <x v="5"/>
    <x v="10"/>
    <n v="8"/>
    <n v="902.1"/>
    <n v="640.42999999999995"/>
    <n v="5340.43"/>
    <n v="5123.4399999999996"/>
    <n v="216.99"/>
    <x v="26"/>
    <x v="6"/>
    <n v="4.0631559630966048E-2"/>
    <n v="-0.12771256247156126"/>
  </r>
  <r>
    <n v="1717"/>
    <x v="79"/>
    <x v="108"/>
    <x v="0"/>
    <x v="2"/>
    <x v="3"/>
    <x v="1"/>
    <x v="5"/>
    <x v="22"/>
    <n v="7"/>
    <n v="700.51"/>
    <n v="351.83"/>
    <n v="4658.3900000000003"/>
    <n v="2462.81"/>
    <n v="2195.58"/>
    <x v="10"/>
    <x v="0"/>
    <n v="0.4713173435457314"/>
    <n v="-0.89589321632581209"/>
  </r>
  <r>
    <n v="1860"/>
    <x v="79"/>
    <x v="109"/>
    <x v="1"/>
    <x v="2"/>
    <x v="0"/>
    <x v="2"/>
    <x v="8"/>
    <x v="24"/>
    <n v="1"/>
    <n v="577.35"/>
    <n v="336.92"/>
    <n v="484.97"/>
    <n v="336.92"/>
    <n v="148.05000000000001"/>
    <x v="29"/>
    <x v="3"/>
    <n v="0.30527661504835352"/>
    <n v="5.4876177907911821"/>
  </r>
  <r>
    <n v="1008"/>
    <x v="80"/>
    <x v="83"/>
    <x v="2"/>
    <x v="1"/>
    <x v="0"/>
    <x v="0"/>
    <x v="0"/>
    <x v="3"/>
    <n v="8"/>
    <n v="531.47"/>
    <n v="446.37"/>
    <n v="3146.3"/>
    <n v="3570.96"/>
    <n v="-424.66"/>
    <x v="26"/>
    <x v="7"/>
    <n v="-0.13497123605504879"/>
    <n v="0.18328195022725099"/>
  </r>
  <r>
    <n v="1471"/>
    <x v="80"/>
    <x v="16"/>
    <x v="2"/>
    <x v="2"/>
    <x v="1"/>
    <x v="1"/>
    <x v="3"/>
    <x v="15"/>
    <n v="6"/>
    <n v="713.21"/>
    <n v="457.96"/>
    <n v="3722.96"/>
    <n v="2747.76"/>
    <n v="975.2"/>
    <x v="6"/>
    <x v="1"/>
    <n v="0.26194211057867933"/>
    <n v="0.72568064121021991"/>
  </r>
  <r>
    <n v="1488"/>
    <x v="81"/>
    <x v="110"/>
    <x v="0"/>
    <x v="3"/>
    <x v="1"/>
    <x v="1"/>
    <x v="5"/>
    <x v="22"/>
    <n v="8"/>
    <n v="923.08"/>
    <n v="550.83000000000004"/>
    <n v="6424.64"/>
    <n v="4406.6400000000003"/>
    <n v="2018"/>
    <x v="6"/>
    <x v="5"/>
    <n v="0.31410320266972158"/>
    <n v="-0.74225948846939283"/>
  </r>
  <r>
    <n v="1617"/>
    <x v="81"/>
    <x v="111"/>
    <x v="1"/>
    <x v="0"/>
    <x v="0"/>
    <x v="1"/>
    <x v="5"/>
    <x v="10"/>
    <n v="2"/>
    <n v="871.52"/>
    <n v="713.64"/>
    <n v="1655.89"/>
    <n v="1427.28"/>
    <n v="228.61"/>
    <x v="10"/>
    <x v="3"/>
    <n v="0.13805868747320171"/>
    <n v="-0.91455954199856271"/>
  </r>
  <r>
    <n v="1765"/>
    <x v="81"/>
    <x v="112"/>
    <x v="2"/>
    <x v="2"/>
    <x v="1"/>
    <x v="0"/>
    <x v="7"/>
    <x v="25"/>
    <n v="1"/>
    <n v="164.51"/>
    <n v="93.71"/>
    <n v="141.47999999999999"/>
    <n v="93.71"/>
    <n v="47.77"/>
    <x v="9"/>
    <x v="3"/>
    <n v="0.33764489680520221"/>
    <n v="7.1934549052869672"/>
  </r>
  <r>
    <n v="1172"/>
    <x v="82"/>
    <x v="8"/>
    <x v="1"/>
    <x v="2"/>
    <x v="2"/>
    <x v="2"/>
    <x v="6"/>
    <x v="17"/>
    <n v="2"/>
    <n v="681.89"/>
    <n v="512.04999999999995"/>
    <n v="1159.21"/>
    <n v="1024.0999999999999"/>
    <n v="135.11000000000001"/>
    <x v="25"/>
    <x v="6"/>
    <n v="0.11655351489376387"/>
    <n v="0.15024024982531192"/>
  </r>
  <r>
    <n v="1606"/>
    <x v="82"/>
    <x v="113"/>
    <x v="1"/>
    <x v="2"/>
    <x v="0"/>
    <x v="2"/>
    <x v="6"/>
    <x v="27"/>
    <n v="4"/>
    <n v="438.61"/>
    <n v="315.41000000000003"/>
    <n v="1333.37"/>
    <n v="1261.6400000000001"/>
    <n v="71.73"/>
    <x v="17"/>
    <x v="1"/>
    <n v="5.3796020609433247E-2"/>
    <n v="-0.88091077495368875"/>
  </r>
  <r>
    <n v="1353"/>
    <x v="83"/>
    <x v="114"/>
    <x v="0"/>
    <x v="1"/>
    <x v="2"/>
    <x v="1"/>
    <x v="5"/>
    <x v="22"/>
    <n v="7"/>
    <n v="27.33"/>
    <n v="14.08"/>
    <n v="158.79"/>
    <n v="98.56"/>
    <n v="60.23"/>
    <x v="30"/>
    <x v="8"/>
    <n v="0.37930600163738271"/>
    <n v="6.7231563700484918"/>
  </r>
  <r>
    <n v="1826"/>
    <x v="83"/>
    <x v="115"/>
    <x v="0"/>
    <x v="1"/>
    <x v="3"/>
    <x v="2"/>
    <x v="4"/>
    <x v="8"/>
    <n v="3"/>
    <n v="545.04999999999995"/>
    <n v="345.31"/>
    <n v="1226.3599999999999"/>
    <n v="1035.93"/>
    <n v="190.43"/>
    <x v="7"/>
    <x v="4"/>
    <n v="0.15528066799308524"/>
    <n v="4.5751084510258009"/>
  </r>
  <r>
    <n v="1457"/>
    <x v="84"/>
    <x v="116"/>
    <x v="2"/>
    <x v="0"/>
    <x v="3"/>
    <x v="0"/>
    <x v="2"/>
    <x v="5"/>
    <n v="9"/>
    <n v="767.35"/>
    <n v="583.91"/>
    <n v="6837.09"/>
    <n v="5255.19"/>
    <n v="1581.9"/>
    <x v="27"/>
    <x v="3"/>
    <n v="0.23137036370736674"/>
    <n v="-0.96348300227143413"/>
  </r>
  <r>
    <n v="1731"/>
    <x v="84"/>
    <x v="0"/>
    <x v="2"/>
    <x v="3"/>
    <x v="1"/>
    <x v="1"/>
    <x v="3"/>
    <x v="6"/>
    <n v="5"/>
    <n v="66.58"/>
    <n v="45.77"/>
    <n v="249.67"/>
    <n v="228.85"/>
    <n v="20.82"/>
    <x v="7"/>
    <x v="4"/>
    <n v="8.3390074898866504E-2"/>
    <n v="7.4767893619577848"/>
  </r>
  <r>
    <n v="1583"/>
    <x v="85"/>
    <x v="38"/>
    <x v="1"/>
    <x v="1"/>
    <x v="1"/>
    <x v="1"/>
    <x v="1"/>
    <x v="23"/>
    <n v="4"/>
    <n v="715"/>
    <n v="405.18"/>
    <n v="2116.4"/>
    <n v="1620.72"/>
    <n v="495.68"/>
    <x v="26"/>
    <x v="3"/>
    <n v="0.23420903420903419"/>
    <n v="-0.96848421848421862"/>
  </r>
  <r>
    <n v="1497"/>
    <x v="86"/>
    <x v="88"/>
    <x v="1"/>
    <x v="1"/>
    <x v="2"/>
    <x v="1"/>
    <x v="3"/>
    <x v="6"/>
    <n v="2"/>
    <n v="41.69"/>
    <n v="22.91"/>
    <n v="66.7"/>
    <n v="45.82"/>
    <n v="20.88"/>
    <x v="20"/>
    <x v="0"/>
    <n v="0.31304347826086953"/>
    <n v="9.8281859070464765"/>
  </r>
  <r>
    <n v="1766"/>
    <x v="86"/>
    <x v="66"/>
    <x v="1"/>
    <x v="1"/>
    <x v="2"/>
    <x v="0"/>
    <x v="0"/>
    <x v="3"/>
    <n v="7"/>
    <n v="135.76"/>
    <n v="113.39"/>
    <n v="722.24"/>
    <n v="793.73"/>
    <n v="-71.489999999999995"/>
    <x v="17"/>
    <x v="8"/>
    <n v="-9.8983717323881254E-2"/>
    <n v="3.7017473416038991"/>
  </r>
  <r>
    <n v="1858"/>
    <x v="86"/>
    <x v="117"/>
    <x v="2"/>
    <x v="3"/>
    <x v="1"/>
    <x v="2"/>
    <x v="8"/>
    <x v="18"/>
    <n v="9"/>
    <n v="433.69"/>
    <n v="267.5"/>
    <n v="3395.79"/>
    <n v="2407.5"/>
    <n v="988.29"/>
    <x v="6"/>
    <x v="5"/>
    <n v="0.29103389785587447"/>
    <n v="0.67424664069332918"/>
  </r>
  <r>
    <n v="1927"/>
    <x v="86"/>
    <x v="118"/>
    <x v="0"/>
    <x v="0"/>
    <x v="0"/>
    <x v="2"/>
    <x v="4"/>
    <x v="21"/>
    <n v="8"/>
    <n v="911.12"/>
    <n v="656.73"/>
    <n v="5685.39"/>
    <n v="5253.84"/>
    <n v="431.55"/>
    <x v="13"/>
    <x v="4"/>
    <n v="7.5905083028604894E-2"/>
    <n v="-0.85493519353993308"/>
  </r>
  <r>
    <n v="1526"/>
    <x v="87"/>
    <x v="119"/>
    <x v="0"/>
    <x v="1"/>
    <x v="2"/>
    <x v="0"/>
    <x v="0"/>
    <x v="0"/>
    <n v="1"/>
    <n v="970.3"/>
    <n v="670.62"/>
    <n v="824.75"/>
    <n v="670.62"/>
    <n v="154.13"/>
    <x v="25"/>
    <x v="3"/>
    <n v="0.18688087299181569"/>
    <n v="-0.8383995150045469"/>
  </r>
  <r>
    <n v="1839"/>
    <x v="87"/>
    <x v="120"/>
    <x v="2"/>
    <x v="0"/>
    <x v="2"/>
    <x v="2"/>
    <x v="6"/>
    <x v="11"/>
    <n v="4"/>
    <n v="34.35"/>
    <n v="18.84"/>
    <n v="133.28"/>
    <n v="75.36"/>
    <n v="57.92"/>
    <x v="28"/>
    <x v="8"/>
    <n v="0.43457382953181273"/>
    <n v="-0.39105642256902762"/>
  </r>
  <r>
    <n v="1745"/>
    <x v="88"/>
    <x v="84"/>
    <x v="1"/>
    <x v="2"/>
    <x v="2"/>
    <x v="2"/>
    <x v="4"/>
    <x v="21"/>
    <n v="1"/>
    <n v="89.19"/>
    <n v="48.49"/>
    <n v="81.16"/>
    <n v="48.49"/>
    <n v="32.67"/>
    <x v="5"/>
    <x v="6"/>
    <n v="0.40253819615574177"/>
    <n v="10.799162148841795"/>
  </r>
  <r>
    <n v="1340"/>
    <x v="89"/>
    <x v="121"/>
    <x v="1"/>
    <x v="1"/>
    <x v="0"/>
    <x v="0"/>
    <x v="2"/>
    <x v="16"/>
    <n v="6"/>
    <n v="215.68"/>
    <n v="176.2"/>
    <n v="957.62"/>
    <n v="1057.2"/>
    <n v="-99.58"/>
    <x v="26"/>
    <x v="8"/>
    <n v="-0.10398696769073328"/>
    <n v="1.7751300098160023"/>
  </r>
  <r>
    <n v="1592"/>
    <x v="89"/>
    <x v="122"/>
    <x v="2"/>
    <x v="3"/>
    <x v="2"/>
    <x v="2"/>
    <x v="4"/>
    <x v="8"/>
    <n v="5"/>
    <n v="565.42999999999995"/>
    <n v="413.95"/>
    <n v="2657.52"/>
    <n v="2069.75"/>
    <n v="587.77"/>
    <x v="15"/>
    <x v="7"/>
    <n v="0.22117237123333031"/>
    <n v="-0.96534739155302685"/>
  </r>
  <r>
    <n v="1003"/>
    <x v="90"/>
    <x v="77"/>
    <x v="2"/>
    <x v="3"/>
    <x v="3"/>
    <x v="1"/>
    <x v="5"/>
    <x v="22"/>
    <n v="2"/>
    <n v="50.6"/>
    <n v="29.34"/>
    <n v="92.09"/>
    <n v="58.68"/>
    <n v="33.409999999999997"/>
    <x v="5"/>
    <x v="2"/>
    <n v="0.36279726354653052"/>
    <n v="22.183081767835812"/>
  </r>
  <r>
    <n v="1141"/>
    <x v="91"/>
    <x v="123"/>
    <x v="2"/>
    <x v="1"/>
    <x v="1"/>
    <x v="1"/>
    <x v="3"/>
    <x v="15"/>
    <n v="3"/>
    <n v="878.57"/>
    <n v="679.22"/>
    <n v="2134.9299999999998"/>
    <n v="2037.66"/>
    <n v="97.27"/>
    <x v="21"/>
    <x v="8"/>
    <n v="4.5561212779810109E-2"/>
    <n v="-2.6825235487814583E-2"/>
  </r>
  <r>
    <n v="1926"/>
    <x v="92"/>
    <x v="113"/>
    <x v="0"/>
    <x v="0"/>
    <x v="2"/>
    <x v="2"/>
    <x v="8"/>
    <x v="18"/>
    <n v="7"/>
    <n v="357.6"/>
    <n v="229.15"/>
    <n v="2077.66"/>
    <n v="1604.05"/>
    <n v="473.61"/>
    <x v="30"/>
    <x v="3"/>
    <n v="0.22795356314315146"/>
    <n v="0.94423534168246981"/>
  </r>
  <r>
    <n v="1142"/>
    <x v="93"/>
    <x v="124"/>
    <x v="2"/>
    <x v="0"/>
    <x v="2"/>
    <x v="0"/>
    <x v="2"/>
    <x v="5"/>
    <n v="6"/>
    <n v="935.06"/>
    <n v="541.32000000000005"/>
    <n v="4039.46"/>
    <n v="3247.92"/>
    <n v="791.54"/>
    <x v="11"/>
    <x v="6"/>
    <n v="0.19595193416941867"/>
    <n v="-0.97229827749253606"/>
  </r>
  <r>
    <n v="1228"/>
    <x v="94"/>
    <x v="33"/>
    <x v="0"/>
    <x v="3"/>
    <x v="0"/>
    <x v="2"/>
    <x v="8"/>
    <x v="18"/>
    <n v="1"/>
    <n v="128.62"/>
    <n v="102.92"/>
    <n v="111.9"/>
    <n v="102.92"/>
    <n v="8.98"/>
    <x v="6"/>
    <x v="7"/>
    <n v="8.0250223413762284E-2"/>
    <n v="9.7515638963360125"/>
  </r>
  <r>
    <n v="1263"/>
    <x v="94"/>
    <x v="125"/>
    <x v="2"/>
    <x v="3"/>
    <x v="0"/>
    <x v="2"/>
    <x v="8"/>
    <x v="20"/>
    <n v="2"/>
    <n v="847.25"/>
    <n v="678.85"/>
    <n v="1203.0999999999999"/>
    <n v="1357.7"/>
    <n v="-154.6"/>
    <x v="19"/>
    <x v="5"/>
    <n v="-0.12850137145706925"/>
    <n v="3.9694705344526642"/>
  </r>
  <r>
    <n v="1429"/>
    <x v="95"/>
    <x v="101"/>
    <x v="2"/>
    <x v="2"/>
    <x v="2"/>
    <x v="0"/>
    <x v="7"/>
    <x v="14"/>
    <n v="9"/>
    <n v="910.01"/>
    <n v="591.98"/>
    <n v="5978.77"/>
    <n v="5327.82"/>
    <n v="650.95000000000005"/>
    <x v="24"/>
    <x v="8"/>
    <n v="0.10887690946465578"/>
    <n v="-0.392165947176426"/>
  </r>
  <r>
    <n v="1462"/>
    <x v="95"/>
    <x v="126"/>
    <x v="1"/>
    <x v="1"/>
    <x v="0"/>
    <x v="0"/>
    <x v="0"/>
    <x v="3"/>
    <n v="8"/>
    <n v="473.19"/>
    <n v="393.51"/>
    <n v="3634.1"/>
    <n v="3148.08"/>
    <n v="486.02"/>
    <x v="16"/>
    <x v="9"/>
    <n v="0.13373875237335242"/>
    <n v="-0.41889050934206545"/>
  </r>
  <r>
    <n v="1598"/>
    <x v="95"/>
    <x v="123"/>
    <x v="2"/>
    <x v="3"/>
    <x v="2"/>
    <x v="0"/>
    <x v="0"/>
    <x v="7"/>
    <n v="8"/>
    <n v="272.14"/>
    <n v="193.25"/>
    <n v="2111.81"/>
    <n v="1546"/>
    <n v="565.80999999999995"/>
    <x v="28"/>
    <x v="4"/>
    <n v="0.26792656536336129"/>
    <n v="-0.21905379745336934"/>
  </r>
  <r>
    <n v="1514"/>
    <x v="96"/>
    <x v="127"/>
    <x v="2"/>
    <x v="0"/>
    <x v="0"/>
    <x v="0"/>
    <x v="7"/>
    <x v="25"/>
    <n v="3"/>
    <n v="704.79"/>
    <n v="564.02"/>
    <n v="1649.21"/>
    <n v="1692.06"/>
    <n v="-42.85"/>
    <x v="13"/>
    <x v="7"/>
    <n v="-2.5982136901910612E-2"/>
    <n v="0.3264896526215581"/>
  </r>
  <r>
    <n v="1176"/>
    <x v="97"/>
    <x v="14"/>
    <x v="0"/>
    <x v="0"/>
    <x v="2"/>
    <x v="1"/>
    <x v="1"/>
    <x v="1"/>
    <n v="3"/>
    <n v="729.22"/>
    <n v="421.45"/>
    <n v="2187.66"/>
    <n v="1264.3499999999999"/>
    <n v="923.31"/>
    <x v="18"/>
    <x v="7"/>
    <n v="0.42205370121499686"/>
    <n v="-0.65910607681266742"/>
  </r>
  <r>
    <n v="1322"/>
    <x v="97"/>
    <x v="17"/>
    <x v="1"/>
    <x v="3"/>
    <x v="3"/>
    <x v="1"/>
    <x v="3"/>
    <x v="4"/>
    <n v="4"/>
    <n v="204.88"/>
    <n v="147.19999999999999"/>
    <n v="745.76"/>
    <n v="588.79999999999995"/>
    <n v="156.96"/>
    <x v="5"/>
    <x v="5"/>
    <n v="0.21046985625402276"/>
    <n v="8.6004344561252939"/>
  </r>
  <r>
    <n v="1354"/>
    <x v="98"/>
    <x v="128"/>
    <x v="2"/>
    <x v="2"/>
    <x v="0"/>
    <x v="2"/>
    <x v="6"/>
    <x v="27"/>
    <n v="9"/>
    <n v="958.45"/>
    <n v="680.28"/>
    <n v="7159.62"/>
    <n v="6122.52"/>
    <n v="1037.0999999999999"/>
    <x v="30"/>
    <x v="7"/>
    <n v="0.1448540565002053"/>
    <n v="-0.45779105594989672"/>
  </r>
  <r>
    <n v="1138"/>
    <x v="99"/>
    <x v="129"/>
    <x v="0"/>
    <x v="2"/>
    <x v="1"/>
    <x v="2"/>
    <x v="4"/>
    <x v="21"/>
    <n v="6"/>
    <n v="710.99"/>
    <n v="492.36"/>
    <n v="3882.01"/>
    <n v="2954.16"/>
    <n v="927.85"/>
    <x v="5"/>
    <x v="3"/>
    <n v="0.23901277946218583"/>
    <n v="-0.6085919407729502"/>
  </r>
  <r>
    <n v="1393"/>
    <x v="100"/>
    <x v="24"/>
    <x v="1"/>
    <x v="1"/>
    <x v="1"/>
    <x v="0"/>
    <x v="7"/>
    <x v="14"/>
    <n v="8"/>
    <n v="191.85"/>
    <n v="97.23"/>
    <n v="1519.45"/>
    <n v="777.84"/>
    <n v="741.61"/>
    <x v="27"/>
    <x v="6"/>
    <n v="0.48807792293264007"/>
    <n v="-0.63265655335812299"/>
  </r>
  <r>
    <n v="1758"/>
    <x v="100"/>
    <x v="130"/>
    <x v="1"/>
    <x v="0"/>
    <x v="1"/>
    <x v="2"/>
    <x v="4"/>
    <x v="28"/>
    <n v="1"/>
    <n v="715.59"/>
    <n v="533.76"/>
    <n v="558.16"/>
    <n v="533.76"/>
    <n v="24.4"/>
    <x v="13"/>
    <x v="1"/>
    <n v="4.3715063780994698E-2"/>
    <n v="0.66846423964454638"/>
  </r>
  <r>
    <n v="1296"/>
    <x v="101"/>
    <x v="85"/>
    <x v="0"/>
    <x v="1"/>
    <x v="2"/>
    <x v="0"/>
    <x v="7"/>
    <x v="12"/>
    <n v="2"/>
    <n v="490.14"/>
    <n v="353.32"/>
    <n v="931.27"/>
    <n v="706.64"/>
    <n v="224.63"/>
    <x v="10"/>
    <x v="7"/>
    <n v="0.24120824250754347"/>
    <n v="0.56086849141494943"/>
  </r>
  <r>
    <n v="1663"/>
    <x v="101"/>
    <x v="28"/>
    <x v="2"/>
    <x v="2"/>
    <x v="3"/>
    <x v="1"/>
    <x v="1"/>
    <x v="1"/>
    <n v="6"/>
    <n v="314.63"/>
    <n v="254.8"/>
    <n v="1453.59"/>
    <n v="1528.8"/>
    <n v="-75.209999999999994"/>
    <x v="3"/>
    <x v="8"/>
    <n v="-5.1740862278909457E-2"/>
    <n v="-0.72956610873767691"/>
  </r>
  <r>
    <n v="1363"/>
    <x v="102"/>
    <x v="72"/>
    <x v="1"/>
    <x v="0"/>
    <x v="2"/>
    <x v="0"/>
    <x v="7"/>
    <x v="12"/>
    <n v="2"/>
    <n v="218.39"/>
    <n v="139.81"/>
    <n v="393.1"/>
    <n v="279.62"/>
    <n v="113.48"/>
    <x v="22"/>
    <x v="6"/>
    <n v="0.28867972526074792"/>
    <n v="2.5947596031544133"/>
  </r>
  <r>
    <n v="1223"/>
    <x v="103"/>
    <x v="131"/>
    <x v="2"/>
    <x v="0"/>
    <x v="3"/>
    <x v="1"/>
    <x v="1"/>
    <x v="1"/>
    <n v="9"/>
    <n v="172.54"/>
    <n v="145.38999999999999"/>
    <n v="1413.1"/>
    <n v="1308.51"/>
    <n v="104.59"/>
    <x v="5"/>
    <x v="9"/>
    <n v="7.4014577878423332E-2"/>
    <n v="-0.69259075790814517"/>
  </r>
  <r>
    <n v="1542"/>
    <x v="103"/>
    <x v="132"/>
    <x v="1"/>
    <x v="3"/>
    <x v="2"/>
    <x v="1"/>
    <x v="1"/>
    <x v="23"/>
    <n v="2"/>
    <n v="226.25"/>
    <n v="180.97"/>
    <n v="434.4"/>
    <n v="361.94"/>
    <n v="72.459999999999994"/>
    <x v="16"/>
    <x v="1"/>
    <n v="0.16680478821362799"/>
    <n v="15.038121546961328"/>
  </r>
  <r>
    <n v="1898"/>
    <x v="103"/>
    <x v="104"/>
    <x v="1"/>
    <x v="3"/>
    <x v="0"/>
    <x v="2"/>
    <x v="6"/>
    <x v="11"/>
    <n v="10"/>
    <n v="904.8"/>
    <n v="675.05"/>
    <n v="6966.96"/>
    <n v="6750.5"/>
    <n v="216.46"/>
    <x v="3"/>
    <x v="7"/>
    <n v="3.1069505207436243E-2"/>
    <n v="-0.87249819146370866"/>
  </r>
  <r>
    <n v="1254"/>
    <x v="104"/>
    <x v="133"/>
    <x v="2"/>
    <x v="2"/>
    <x v="2"/>
    <x v="2"/>
    <x v="6"/>
    <x v="13"/>
    <n v="2"/>
    <n v="584.41"/>
    <n v="345.15"/>
    <n v="888.3"/>
    <n v="690.3"/>
    <n v="198"/>
    <x v="17"/>
    <x v="7"/>
    <n v="0.22289766970618036"/>
    <n v="-0.1153326578858493"/>
  </r>
  <r>
    <n v="1695"/>
    <x v="104"/>
    <x v="90"/>
    <x v="0"/>
    <x v="2"/>
    <x v="2"/>
    <x v="2"/>
    <x v="4"/>
    <x v="28"/>
    <n v="3"/>
    <n v="297.67"/>
    <n v="204.54"/>
    <n v="785.85"/>
    <n v="613.62"/>
    <n v="172.23"/>
    <x v="2"/>
    <x v="2"/>
    <n v="0.21916396258828019"/>
    <n v="1.7429662149265126"/>
  </r>
  <r>
    <n v="1084"/>
    <x v="105"/>
    <x v="131"/>
    <x v="1"/>
    <x v="1"/>
    <x v="3"/>
    <x v="2"/>
    <x v="6"/>
    <x v="11"/>
    <n v="5"/>
    <n v="538.89"/>
    <n v="355.22"/>
    <n v="2155.56"/>
    <n v="1776.1"/>
    <n v="379.46"/>
    <x v="20"/>
    <x v="3"/>
    <n v="0.17603778136539924"/>
    <n v="0.5731225296442688"/>
  </r>
  <r>
    <n v="1007"/>
    <x v="106"/>
    <x v="63"/>
    <x v="2"/>
    <x v="3"/>
    <x v="1"/>
    <x v="1"/>
    <x v="1"/>
    <x v="9"/>
    <n v="4"/>
    <n v="997.34"/>
    <n v="546.96"/>
    <n v="3390.96"/>
    <n v="2187.84"/>
    <n v="1203.1199999999999"/>
    <x v="25"/>
    <x v="7"/>
    <n v="0.35480217991365276"/>
    <n v="-0.94135289121664667"/>
  </r>
  <r>
    <n v="1281"/>
    <x v="107"/>
    <x v="87"/>
    <x v="1"/>
    <x v="1"/>
    <x v="0"/>
    <x v="0"/>
    <x v="0"/>
    <x v="3"/>
    <n v="4"/>
    <n v="54.04"/>
    <n v="36.01"/>
    <n v="198.87"/>
    <n v="144.04"/>
    <n v="54.83"/>
    <x v="14"/>
    <x v="5"/>
    <n v="0.27570774878061044"/>
    <n v="0.78458289334741271"/>
  </r>
  <r>
    <n v="1573"/>
    <x v="107"/>
    <x v="134"/>
    <x v="2"/>
    <x v="3"/>
    <x v="1"/>
    <x v="0"/>
    <x v="0"/>
    <x v="3"/>
    <n v="1"/>
    <n v="492.91"/>
    <n v="311.10000000000002"/>
    <n v="354.9"/>
    <n v="311.10000000000002"/>
    <n v="43.8"/>
    <x v="11"/>
    <x v="5"/>
    <n v="0.12341504649196956"/>
    <n v="6.3089602704987318"/>
  </r>
  <r>
    <n v="1770"/>
    <x v="108"/>
    <x v="135"/>
    <x v="1"/>
    <x v="2"/>
    <x v="0"/>
    <x v="2"/>
    <x v="6"/>
    <x v="17"/>
    <n v="9"/>
    <n v="309.91000000000003"/>
    <n v="223.65"/>
    <n v="2593.9499999999998"/>
    <n v="2012.85"/>
    <n v="581.1"/>
    <x v="4"/>
    <x v="5"/>
    <n v="0.22402128028682128"/>
    <n v="-0.33637502650398032"/>
  </r>
  <r>
    <n v="1818"/>
    <x v="108"/>
    <x v="136"/>
    <x v="0"/>
    <x v="0"/>
    <x v="1"/>
    <x v="2"/>
    <x v="6"/>
    <x v="17"/>
    <n v="8"/>
    <n v="217.35"/>
    <n v="124.76"/>
    <n v="1721.41"/>
    <n v="998.08"/>
    <n v="723.33"/>
    <x v="27"/>
    <x v="4"/>
    <n v="0.42019623448219773"/>
    <n v="-0.79578949814396338"/>
  </r>
  <r>
    <n v="1122"/>
    <x v="109"/>
    <x v="137"/>
    <x v="2"/>
    <x v="2"/>
    <x v="1"/>
    <x v="0"/>
    <x v="2"/>
    <x v="2"/>
    <n v="1"/>
    <n v="399.47"/>
    <n v="252.02"/>
    <n v="351.53"/>
    <n v="252.02"/>
    <n v="99.51"/>
    <x v="2"/>
    <x v="2"/>
    <n v="0.28307683554746399"/>
    <n v="-0.59095951981338724"/>
  </r>
  <r>
    <n v="1857"/>
    <x v="109"/>
    <x v="138"/>
    <x v="2"/>
    <x v="0"/>
    <x v="2"/>
    <x v="2"/>
    <x v="6"/>
    <x v="27"/>
    <n v="5"/>
    <n v="33.44"/>
    <n v="24.47"/>
    <n v="143.79"/>
    <n v="122.35"/>
    <n v="21.44"/>
    <x v="9"/>
    <x v="3"/>
    <n v="0.14910633562834691"/>
    <n v="44.945893316642334"/>
  </r>
  <r>
    <n v="1867"/>
    <x v="110"/>
    <x v="91"/>
    <x v="2"/>
    <x v="2"/>
    <x v="3"/>
    <x v="0"/>
    <x v="2"/>
    <x v="5"/>
    <n v="10"/>
    <n v="742.31"/>
    <n v="624.02"/>
    <n v="6606.56"/>
    <n v="6240.2"/>
    <n v="366.36"/>
    <x v="12"/>
    <x v="2"/>
    <n v="5.545397302075513E-2"/>
    <n v="-4.4813034317405791E-2"/>
  </r>
  <r>
    <n v="1153"/>
    <x v="111"/>
    <x v="139"/>
    <x v="1"/>
    <x v="2"/>
    <x v="3"/>
    <x v="1"/>
    <x v="1"/>
    <x v="23"/>
    <n v="7"/>
    <n v="990.66"/>
    <n v="751.67"/>
    <n v="6310.5"/>
    <n v="5261.69"/>
    <n v="1048.81"/>
    <x v="5"/>
    <x v="5"/>
    <n v="0.16620077648363837"/>
    <n v="-0.85656128674431498"/>
  </r>
  <r>
    <n v="1115"/>
    <x v="112"/>
    <x v="122"/>
    <x v="1"/>
    <x v="2"/>
    <x v="3"/>
    <x v="0"/>
    <x v="7"/>
    <x v="14"/>
    <n v="7"/>
    <n v="133.31"/>
    <n v="99.73"/>
    <n v="905.17"/>
    <n v="698.11"/>
    <n v="207.06"/>
    <x v="28"/>
    <x v="6"/>
    <n v="0.22875261000696004"/>
    <n v="3.7657235657390324"/>
  </r>
  <r>
    <n v="1569"/>
    <x v="112"/>
    <x v="140"/>
    <x v="2"/>
    <x v="3"/>
    <x v="1"/>
    <x v="0"/>
    <x v="7"/>
    <x v="25"/>
    <n v="7"/>
    <n v="648.69000000000005"/>
    <n v="332.75"/>
    <n v="4313.79"/>
    <n v="2329.25"/>
    <n v="1984.54"/>
    <x v="10"/>
    <x v="8"/>
    <n v="0.46004557477299546"/>
    <n v="-0.74150341115353324"/>
  </r>
  <r>
    <n v="1521"/>
    <x v="113"/>
    <x v="141"/>
    <x v="1"/>
    <x v="0"/>
    <x v="3"/>
    <x v="0"/>
    <x v="7"/>
    <x v="14"/>
    <n v="3"/>
    <n v="476.54"/>
    <n v="308.33999999999997"/>
    <n v="1115.0999999999999"/>
    <n v="925.02"/>
    <n v="190.08"/>
    <x v="13"/>
    <x v="7"/>
    <n v="0.17046004842615015"/>
    <n v="3.7946282844587929"/>
  </r>
  <r>
    <n v="1620"/>
    <x v="114"/>
    <x v="142"/>
    <x v="1"/>
    <x v="1"/>
    <x v="2"/>
    <x v="2"/>
    <x v="6"/>
    <x v="17"/>
    <n v="7"/>
    <n v="898.57"/>
    <n v="748.64"/>
    <n v="5346.49"/>
    <n v="5240.4799999999996"/>
    <n v="106.01"/>
    <x v="25"/>
    <x v="5"/>
    <n v="1.9827961896496583E-2"/>
    <n v="-0.88178786456160951"/>
  </r>
  <r>
    <n v="1705"/>
    <x v="114"/>
    <x v="143"/>
    <x v="1"/>
    <x v="0"/>
    <x v="2"/>
    <x v="1"/>
    <x v="3"/>
    <x v="15"/>
    <n v="6"/>
    <n v="138.6"/>
    <n v="84.7"/>
    <n v="632.02"/>
    <n v="508.2"/>
    <n v="123.82"/>
    <x v="17"/>
    <x v="7"/>
    <n v="0.19591152178728521"/>
    <n v="7.6702635992531887"/>
  </r>
  <r>
    <n v="1109"/>
    <x v="115"/>
    <x v="142"/>
    <x v="1"/>
    <x v="0"/>
    <x v="2"/>
    <x v="1"/>
    <x v="1"/>
    <x v="9"/>
    <n v="10"/>
    <n v="761.08"/>
    <n v="500.12"/>
    <n v="5479.78"/>
    <n v="5001.2"/>
    <n v="478.58"/>
    <x v="11"/>
    <x v="9"/>
    <n v="8.7335622962965667E-2"/>
    <n v="-0.79706667055976699"/>
  </r>
  <r>
    <n v="1188"/>
    <x v="115"/>
    <x v="85"/>
    <x v="2"/>
    <x v="1"/>
    <x v="2"/>
    <x v="0"/>
    <x v="7"/>
    <x v="14"/>
    <n v="6"/>
    <n v="261.04000000000002"/>
    <n v="205.58"/>
    <n v="1112.03"/>
    <n v="1233.48"/>
    <n v="-121.45"/>
    <x v="19"/>
    <x v="0"/>
    <n v="-0.10921467946008652"/>
    <n v="-0.64234777838727364"/>
  </r>
  <r>
    <n v="1417"/>
    <x v="115"/>
    <x v="100"/>
    <x v="1"/>
    <x v="1"/>
    <x v="1"/>
    <x v="1"/>
    <x v="3"/>
    <x v="4"/>
    <n v="2"/>
    <n v="225.98"/>
    <n v="135.91"/>
    <n v="397.72"/>
    <n v="271.82"/>
    <n v="125.9"/>
    <x v="2"/>
    <x v="8"/>
    <n v="0.31655435985115155"/>
    <n v="4.5997686814844609"/>
  </r>
  <r>
    <n v="1144"/>
    <x v="116"/>
    <x v="83"/>
    <x v="1"/>
    <x v="3"/>
    <x v="0"/>
    <x v="2"/>
    <x v="8"/>
    <x v="24"/>
    <n v="10"/>
    <n v="268.33"/>
    <n v="153.96"/>
    <n v="2227.14"/>
    <n v="1539.6"/>
    <n v="687.54"/>
    <x v="30"/>
    <x v="9"/>
    <n v="0.30870982515692774"/>
    <n v="-0.72222222222222221"/>
  </r>
  <r>
    <n v="1405"/>
    <x v="116"/>
    <x v="144"/>
    <x v="0"/>
    <x v="1"/>
    <x v="3"/>
    <x v="2"/>
    <x v="8"/>
    <x v="24"/>
    <n v="1"/>
    <n v="836.02"/>
    <n v="455.98"/>
    <n v="618.65"/>
    <n v="455.98"/>
    <n v="162.66999999999999"/>
    <x v="26"/>
    <x v="1"/>
    <n v="0.26294350602117511"/>
    <n v="6.1070395215388356"/>
  </r>
  <r>
    <n v="1776"/>
    <x v="116"/>
    <x v="84"/>
    <x v="2"/>
    <x v="1"/>
    <x v="3"/>
    <x v="1"/>
    <x v="1"/>
    <x v="9"/>
    <n v="8"/>
    <n v="631.72"/>
    <n v="341.82"/>
    <n v="4396.7700000000004"/>
    <n v="2734.56"/>
    <n v="1662.21"/>
    <x v="6"/>
    <x v="0"/>
    <n v="0.37805252492170388"/>
    <n v="-5.5752290886264252E-2"/>
  </r>
  <r>
    <n v="1986"/>
    <x v="116"/>
    <x v="128"/>
    <x v="0"/>
    <x v="0"/>
    <x v="1"/>
    <x v="2"/>
    <x v="6"/>
    <x v="11"/>
    <n v="8"/>
    <n v="552.08000000000004"/>
    <n v="352.18"/>
    <n v="4151.6400000000003"/>
    <n v="2817.44"/>
    <n v="1334.2"/>
    <x v="15"/>
    <x v="0"/>
    <n v="0.32136697786898671"/>
    <n v="-0.51183387769652477"/>
  </r>
  <r>
    <n v="1789"/>
    <x v="117"/>
    <x v="140"/>
    <x v="1"/>
    <x v="3"/>
    <x v="0"/>
    <x v="2"/>
    <x v="8"/>
    <x v="24"/>
    <n v="9"/>
    <n v="300.25"/>
    <n v="203.88"/>
    <n v="2026.69"/>
    <n v="1834.92"/>
    <n v="191.77"/>
    <x v="7"/>
    <x v="8"/>
    <n v="9.4622265862070676E-2"/>
    <n v="0.39869442292605173"/>
  </r>
  <r>
    <n v="1002"/>
    <x v="118"/>
    <x v="88"/>
    <x v="0"/>
    <x v="0"/>
    <x v="0"/>
    <x v="0"/>
    <x v="2"/>
    <x v="2"/>
    <n v="6"/>
    <n v="605.71"/>
    <n v="473.96"/>
    <n v="2834.72"/>
    <n v="2843.76"/>
    <n v="-9.0399999999999991"/>
    <x v="13"/>
    <x v="6"/>
    <n v="-3.189027487723655E-3"/>
    <n v="1.3714970085228877"/>
  </r>
  <r>
    <n v="1767"/>
    <x v="118"/>
    <x v="145"/>
    <x v="2"/>
    <x v="2"/>
    <x v="0"/>
    <x v="1"/>
    <x v="1"/>
    <x v="9"/>
    <n v="10"/>
    <n v="738.74"/>
    <n v="481.67"/>
    <n v="6722.53"/>
    <n v="4816.7"/>
    <n v="1905.83"/>
    <x v="5"/>
    <x v="0"/>
    <n v="0.28349892079321326"/>
    <n v="-0.38592464444189906"/>
  </r>
  <r>
    <n v="1676"/>
    <x v="119"/>
    <x v="146"/>
    <x v="0"/>
    <x v="3"/>
    <x v="0"/>
    <x v="2"/>
    <x v="8"/>
    <x v="19"/>
    <n v="8"/>
    <n v="521.23"/>
    <n v="302.61"/>
    <n v="4128.1400000000003"/>
    <n v="2420.88"/>
    <n v="1707.26"/>
    <x v="27"/>
    <x v="6"/>
    <n v="0.41356640036432868"/>
    <n v="-0.34678329707810296"/>
  </r>
  <r>
    <n v="1139"/>
    <x v="120"/>
    <x v="147"/>
    <x v="1"/>
    <x v="2"/>
    <x v="3"/>
    <x v="1"/>
    <x v="5"/>
    <x v="10"/>
    <n v="4"/>
    <n v="793.11"/>
    <n v="462.27"/>
    <n v="2696.57"/>
    <n v="1849.08"/>
    <n v="847.49"/>
    <x v="25"/>
    <x v="5"/>
    <n v="0.3142844428292238"/>
    <n v="-0.83579139425269877"/>
  </r>
  <r>
    <n v="1284"/>
    <x v="121"/>
    <x v="27"/>
    <x v="1"/>
    <x v="1"/>
    <x v="2"/>
    <x v="1"/>
    <x v="3"/>
    <x v="6"/>
    <n v="3"/>
    <n v="196.8"/>
    <n v="155.77000000000001"/>
    <n v="442.8"/>
    <n v="467.31"/>
    <n v="-24.51"/>
    <x v="7"/>
    <x v="1"/>
    <n v="-5.5352303523035232E-2"/>
    <n v="3.3079719963866303"/>
  </r>
  <r>
    <n v="1213"/>
    <x v="122"/>
    <x v="145"/>
    <x v="0"/>
    <x v="1"/>
    <x v="2"/>
    <x v="0"/>
    <x v="7"/>
    <x v="12"/>
    <n v="3"/>
    <n v="642.28"/>
    <n v="418.28"/>
    <n v="1907.57"/>
    <n v="1254.8399999999999"/>
    <n v="652.73"/>
    <x v="27"/>
    <x v="9"/>
    <n v="0.34217879291454573"/>
    <n v="-0.31858857079949887"/>
  </r>
  <r>
    <n v="1506"/>
    <x v="122"/>
    <x v="148"/>
    <x v="2"/>
    <x v="0"/>
    <x v="3"/>
    <x v="0"/>
    <x v="2"/>
    <x v="2"/>
    <n v="5"/>
    <n v="337.62"/>
    <n v="263.95"/>
    <n v="1299.8399999999999"/>
    <n v="1319.75"/>
    <n v="-19.91"/>
    <x v="3"/>
    <x v="7"/>
    <n v="-1.5317269817823734E-2"/>
    <n v="-0.7505616075824717"/>
  </r>
  <r>
    <n v="1325"/>
    <x v="123"/>
    <x v="149"/>
    <x v="0"/>
    <x v="2"/>
    <x v="0"/>
    <x v="1"/>
    <x v="1"/>
    <x v="23"/>
    <n v="9"/>
    <n v="37.14"/>
    <n v="29.15"/>
    <n v="324.23"/>
    <n v="262.35000000000002"/>
    <n v="61.88"/>
    <x v="28"/>
    <x v="6"/>
    <n v="0.1908521728402677"/>
    <n v="-0.52265367177620825"/>
  </r>
  <r>
    <n v="1329"/>
    <x v="123"/>
    <x v="33"/>
    <x v="0"/>
    <x v="0"/>
    <x v="3"/>
    <x v="0"/>
    <x v="7"/>
    <x v="12"/>
    <n v="1"/>
    <n v="157.93"/>
    <n v="96.8"/>
    <n v="154.77000000000001"/>
    <n v="96.8"/>
    <n v="57.97"/>
    <x v="0"/>
    <x v="9"/>
    <n v="0.37455579246624021"/>
    <n v="23.551463461911222"/>
  </r>
  <r>
    <n v="1341"/>
    <x v="123"/>
    <x v="89"/>
    <x v="1"/>
    <x v="3"/>
    <x v="2"/>
    <x v="2"/>
    <x v="8"/>
    <x v="24"/>
    <n v="9"/>
    <n v="463.96"/>
    <n v="321.24"/>
    <n v="3799.83"/>
    <n v="2891.16"/>
    <n v="908.67"/>
    <x v="5"/>
    <x v="2"/>
    <n v="0.23913438232763043"/>
    <n v="-0.55069832071434777"/>
  </r>
  <r>
    <n v="1441"/>
    <x v="124"/>
    <x v="102"/>
    <x v="2"/>
    <x v="0"/>
    <x v="1"/>
    <x v="0"/>
    <x v="0"/>
    <x v="3"/>
    <n v="8"/>
    <n v="292.33999999999997"/>
    <n v="164.66"/>
    <n v="1707.27"/>
    <n v="1317.28"/>
    <n v="389.99"/>
    <x v="24"/>
    <x v="1"/>
    <n v="0.22842901239991331"/>
    <n v="1.2065285514300608"/>
  </r>
  <r>
    <n v="1597"/>
    <x v="124"/>
    <x v="42"/>
    <x v="0"/>
    <x v="3"/>
    <x v="2"/>
    <x v="2"/>
    <x v="6"/>
    <x v="17"/>
    <n v="7"/>
    <n v="737.21"/>
    <n v="606.42999999999995"/>
    <n v="3767.14"/>
    <n v="4245.01"/>
    <n v="-477.87"/>
    <x v="24"/>
    <x v="9"/>
    <n v="-0.1268522008738725"/>
    <n v="-0.74837144358850483"/>
  </r>
  <r>
    <n v="1631"/>
    <x v="124"/>
    <x v="150"/>
    <x v="2"/>
    <x v="1"/>
    <x v="1"/>
    <x v="2"/>
    <x v="4"/>
    <x v="8"/>
    <n v="9"/>
    <n v="122.47"/>
    <n v="70.349999999999994"/>
    <n v="947.92"/>
    <n v="633.15"/>
    <n v="314.77"/>
    <x v="9"/>
    <x v="8"/>
    <n v="0.33206388724786901"/>
    <n v="4.7026964300784879"/>
  </r>
  <r>
    <n v="1048"/>
    <x v="125"/>
    <x v="24"/>
    <x v="1"/>
    <x v="0"/>
    <x v="3"/>
    <x v="1"/>
    <x v="3"/>
    <x v="15"/>
    <n v="7"/>
    <n v="941.76"/>
    <n v="536.25"/>
    <n v="5405.7"/>
    <n v="3753.75"/>
    <n v="1651.95"/>
    <x v="23"/>
    <x v="1"/>
    <n v="0.3055940951218159"/>
    <n v="-0.96022531772018416"/>
  </r>
  <r>
    <n v="1590"/>
    <x v="126"/>
    <x v="125"/>
    <x v="0"/>
    <x v="2"/>
    <x v="1"/>
    <x v="2"/>
    <x v="8"/>
    <x v="20"/>
    <n v="1"/>
    <n v="233.71"/>
    <n v="119.79"/>
    <n v="215.01"/>
    <n v="119.79"/>
    <n v="95.22"/>
    <x v="14"/>
    <x v="0"/>
    <n v="0.44286312264545835"/>
    <n v="-0.69531649690712061"/>
  </r>
  <r>
    <n v="1044"/>
    <x v="127"/>
    <x v="132"/>
    <x v="2"/>
    <x v="0"/>
    <x v="1"/>
    <x v="1"/>
    <x v="3"/>
    <x v="4"/>
    <n v="1"/>
    <n v="88.53"/>
    <n v="57.55"/>
    <n v="65.510000000000005"/>
    <n v="57.55"/>
    <n v="7.96"/>
    <x v="26"/>
    <x v="8"/>
    <n v="0.12150816669210807"/>
    <n v="10.431689818348342"/>
  </r>
  <r>
    <n v="1018"/>
    <x v="128"/>
    <x v="66"/>
    <x v="0"/>
    <x v="2"/>
    <x v="1"/>
    <x v="2"/>
    <x v="8"/>
    <x v="18"/>
    <n v="1"/>
    <n v="985.38"/>
    <n v="584.15"/>
    <n v="748.89"/>
    <n v="584.15"/>
    <n v="164.74"/>
    <x v="17"/>
    <x v="0"/>
    <n v="0.21997890210845386"/>
    <n v="-0.41126200109495387"/>
  </r>
  <r>
    <n v="1209"/>
    <x v="128"/>
    <x v="108"/>
    <x v="2"/>
    <x v="1"/>
    <x v="3"/>
    <x v="0"/>
    <x v="2"/>
    <x v="5"/>
    <n v="2"/>
    <n v="262.44"/>
    <n v="178.13"/>
    <n v="440.9"/>
    <n v="356.26"/>
    <n v="84.64"/>
    <x v="29"/>
    <x v="9"/>
    <n v="0.19197096847357678"/>
    <n v="3.2370605579496483"/>
  </r>
  <r>
    <n v="1241"/>
    <x v="128"/>
    <x v="151"/>
    <x v="1"/>
    <x v="3"/>
    <x v="0"/>
    <x v="2"/>
    <x v="6"/>
    <x v="17"/>
    <n v="5"/>
    <n v="526.23"/>
    <n v="311.55"/>
    <n v="1868.12"/>
    <n v="1557.75"/>
    <n v="310.37"/>
    <x v="19"/>
    <x v="2"/>
    <n v="0.16614029077361198"/>
    <n v="-4.4226280966961379E-2"/>
  </r>
  <r>
    <n v="1563"/>
    <x v="128"/>
    <x v="144"/>
    <x v="0"/>
    <x v="1"/>
    <x v="2"/>
    <x v="0"/>
    <x v="7"/>
    <x v="12"/>
    <n v="9"/>
    <n v="218.01"/>
    <n v="129.24"/>
    <n v="1785.5"/>
    <n v="1163.1600000000001"/>
    <n v="622.34"/>
    <x v="5"/>
    <x v="9"/>
    <n v="0.3485522262671521"/>
    <n v="2.6031307756930833"/>
  </r>
  <r>
    <n v="1399"/>
    <x v="129"/>
    <x v="36"/>
    <x v="1"/>
    <x v="0"/>
    <x v="1"/>
    <x v="2"/>
    <x v="8"/>
    <x v="24"/>
    <n v="10"/>
    <n v="784.56"/>
    <n v="522.79"/>
    <n v="6433.39"/>
    <n v="5227.8999999999996"/>
    <n v="1205.49"/>
    <x v="23"/>
    <x v="5"/>
    <n v="0.18738021478567288"/>
    <n v="-0.89475999434201869"/>
  </r>
  <r>
    <n v="1108"/>
    <x v="130"/>
    <x v="3"/>
    <x v="1"/>
    <x v="0"/>
    <x v="2"/>
    <x v="0"/>
    <x v="0"/>
    <x v="3"/>
    <n v="3"/>
    <n v="240.09"/>
    <n v="132.35"/>
    <n v="677.05"/>
    <n v="397.05"/>
    <n v="280"/>
    <x v="15"/>
    <x v="9"/>
    <n v="0.41355882135735916"/>
    <n v="1.5211284247839896"/>
  </r>
  <r>
    <n v="1078"/>
    <x v="131"/>
    <x v="40"/>
    <x v="1"/>
    <x v="1"/>
    <x v="2"/>
    <x v="0"/>
    <x v="7"/>
    <x v="12"/>
    <n v="4"/>
    <n v="463.84"/>
    <n v="273.14999999999998"/>
    <n v="1706.93"/>
    <n v="1092.5999999999999"/>
    <n v="614.33000000000004"/>
    <x v="14"/>
    <x v="7"/>
    <n v="0.35990345239699345"/>
    <n v="-0.61274334624149795"/>
  </r>
  <r>
    <n v="1863"/>
    <x v="131"/>
    <x v="123"/>
    <x v="2"/>
    <x v="2"/>
    <x v="2"/>
    <x v="0"/>
    <x v="0"/>
    <x v="0"/>
    <n v="1"/>
    <n v="667.7"/>
    <n v="433.85"/>
    <n v="661.02"/>
    <n v="433.85"/>
    <n v="227.17"/>
    <x v="27"/>
    <x v="3"/>
    <n v="0.34366584974736014"/>
    <n v="1.321987231853802"/>
  </r>
  <r>
    <n v="1883"/>
    <x v="131"/>
    <x v="152"/>
    <x v="1"/>
    <x v="2"/>
    <x v="1"/>
    <x v="0"/>
    <x v="0"/>
    <x v="7"/>
    <n v="2"/>
    <n v="959.3"/>
    <n v="645.16999999999996"/>
    <n v="1534.88"/>
    <n v="1290.3399999999999"/>
    <n v="244.54"/>
    <x v="20"/>
    <x v="4"/>
    <n v="0.1593219013864276"/>
    <n v="1.0738754821223808"/>
  </r>
  <r>
    <n v="1746"/>
    <x v="132"/>
    <x v="67"/>
    <x v="2"/>
    <x v="2"/>
    <x v="3"/>
    <x v="2"/>
    <x v="4"/>
    <x v="21"/>
    <n v="9"/>
    <n v="447.7"/>
    <n v="314.27"/>
    <n v="3183.15"/>
    <n v="2828.43"/>
    <n v="354.72"/>
    <x v="1"/>
    <x v="6"/>
    <n v="0.11143678431742143"/>
    <n v="0.13943106671064823"/>
  </r>
  <r>
    <n v="1083"/>
    <x v="133"/>
    <x v="93"/>
    <x v="1"/>
    <x v="3"/>
    <x v="3"/>
    <x v="2"/>
    <x v="6"/>
    <x v="17"/>
    <n v="5"/>
    <n v="747.83"/>
    <n v="462.57"/>
    <n v="3626.98"/>
    <n v="2312.85"/>
    <n v="1314.13"/>
    <x v="28"/>
    <x v="2"/>
    <n v="0.36232071861438447"/>
    <n v="0.33642313991254441"/>
  </r>
  <r>
    <n v="1181"/>
    <x v="133"/>
    <x v="52"/>
    <x v="0"/>
    <x v="1"/>
    <x v="0"/>
    <x v="0"/>
    <x v="7"/>
    <x v="14"/>
    <n v="7"/>
    <n v="786.88"/>
    <n v="481.22"/>
    <n v="4847.18"/>
    <n v="3368.54"/>
    <n v="1478.64"/>
    <x v="2"/>
    <x v="8"/>
    <n v="0.30505159701104562"/>
    <n v="-0.97303586827805033"/>
  </r>
  <r>
    <n v="1366"/>
    <x v="133"/>
    <x v="153"/>
    <x v="0"/>
    <x v="0"/>
    <x v="2"/>
    <x v="1"/>
    <x v="3"/>
    <x v="15"/>
    <n v="4"/>
    <n v="38.44"/>
    <n v="27.29"/>
    <n v="130.69999999999999"/>
    <n v="109.16"/>
    <n v="21.54"/>
    <x v="25"/>
    <x v="1"/>
    <n v="0.16480489671002296"/>
    <n v="9.8039020657995408"/>
  </r>
  <r>
    <n v="1997"/>
    <x v="133"/>
    <x v="3"/>
    <x v="2"/>
    <x v="2"/>
    <x v="2"/>
    <x v="1"/>
    <x v="1"/>
    <x v="9"/>
    <n v="5"/>
    <n v="348.66"/>
    <n v="230.22"/>
    <n v="1412.07"/>
    <n v="1151.0999999999999"/>
    <n v="260.97000000000003"/>
    <x v="21"/>
    <x v="6"/>
    <n v="0.18481378401920587"/>
    <n v="-0.64699342100604074"/>
  </r>
  <r>
    <n v="1380"/>
    <x v="134"/>
    <x v="66"/>
    <x v="2"/>
    <x v="3"/>
    <x v="1"/>
    <x v="0"/>
    <x v="0"/>
    <x v="3"/>
    <n v="10"/>
    <n v="52.47"/>
    <n v="28.05"/>
    <n v="498.47"/>
    <n v="280.5"/>
    <n v="217.97"/>
    <x v="10"/>
    <x v="1"/>
    <n v="0.43727807089694465"/>
    <n v="2.3127971593074808"/>
  </r>
  <r>
    <n v="1566"/>
    <x v="135"/>
    <x v="119"/>
    <x v="1"/>
    <x v="2"/>
    <x v="1"/>
    <x v="2"/>
    <x v="4"/>
    <x v="8"/>
    <n v="8"/>
    <n v="271.60000000000002"/>
    <n v="196.44"/>
    <n v="1651.33"/>
    <n v="1571.52"/>
    <n v="79.81"/>
    <x v="17"/>
    <x v="4"/>
    <n v="4.8330739464552817E-2"/>
    <n v="2.0622104606589842"/>
  </r>
  <r>
    <n v="1838"/>
    <x v="135"/>
    <x v="154"/>
    <x v="2"/>
    <x v="0"/>
    <x v="0"/>
    <x v="0"/>
    <x v="0"/>
    <x v="7"/>
    <n v="10"/>
    <n v="601.99"/>
    <n v="302.05"/>
    <n v="5056.72"/>
    <n v="3020.5"/>
    <n v="2036.22"/>
    <x v="29"/>
    <x v="3"/>
    <n v="0.40267604296856457"/>
    <n v="-0.15722444588587067"/>
  </r>
  <r>
    <n v="1356"/>
    <x v="136"/>
    <x v="96"/>
    <x v="1"/>
    <x v="3"/>
    <x v="2"/>
    <x v="1"/>
    <x v="3"/>
    <x v="15"/>
    <n v="8"/>
    <n v="598.54999999999995"/>
    <n v="313.7"/>
    <n v="4261.68"/>
    <n v="2509.6"/>
    <n v="1752.08"/>
    <x v="12"/>
    <x v="8"/>
    <n v="0.41112425146890424"/>
    <n v="0.27245358637908046"/>
  </r>
  <r>
    <n v="1017"/>
    <x v="137"/>
    <x v="55"/>
    <x v="2"/>
    <x v="0"/>
    <x v="1"/>
    <x v="1"/>
    <x v="5"/>
    <x v="10"/>
    <n v="9"/>
    <n v="836.85"/>
    <n v="702.24"/>
    <n v="5422.79"/>
    <n v="6320.16"/>
    <n v="-897.37"/>
    <x v="11"/>
    <x v="1"/>
    <n v="-0.16548123751795663"/>
    <n v="-0.94129036897980567"/>
  </r>
  <r>
    <n v="1604"/>
    <x v="138"/>
    <x v="46"/>
    <x v="1"/>
    <x v="3"/>
    <x v="0"/>
    <x v="0"/>
    <x v="7"/>
    <x v="12"/>
    <n v="1"/>
    <n v="397.96"/>
    <n v="200.83"/>
    <n v="318.37"/>
    <n v="200.83"/>
    <n v="117.54"/>
    <x v="20"/>
    <x v="0"/>
    <n v="0.36919307723717687"/>
    <n v="-0.57005999308980115"/>
  </r>
  <r>
    <n v="1199"/>
    <x v="139"/>
    <x v="108"/>
    <x v="1"/>
    <x v="1"/>
    <x v="0"/>
    <x v="1"/>
    <x v="1"/>
    <x v="23"/>
    <n v="2"/>
    <n v="86.63"/>
    <n v="47.99"/>
    <n v="136.88"/>
    <n v="95.98"/>
    <n v="40.9"/>
    <x v="1"/>
    <x v="8"/>
    <n v="0.29880187025131499"/>
    <n v="0.31385154880187033"/>
  </r>
  <r>
    <n v="1520"/>
    <x v="140"/>
    <x v="56"/>
    <x v="0"/>
    <x v="0"/>
    <x v="0"/>
    <x v="0"/>
    <x v="2"/>
    <x v="2"/>
    <n v="2"/>
    <n v="113.82"/>
    <n v="67.900000000000006"/>
    <n v="179.84"/>
    <n v="135.80000000000001"/>
    <n v="44.04"/>
    <x v="1"/>
    <x v="0"/>
    <n v="0.24488434163701067"/>
    <n v="12.589190391459073"/>
  </r>
  <r>
    <n v="1855"/>
    <x v="140"/>
    <x v="54"/>
    <x v="0"/>
    <x v="2"/>
    <x v="3"/>
    <x v="0"/>
    <x v="7"/>
    <x v="25"/>
    <n v="3"/>
    <n v="848.57"/>
    <n v="455.67"/>
    <n v="2443.88"/>
    <n v="1367.01"/>
    <n v="1076.8699999999999"/>
    <x v="16"/>
    <x v="5"/>
    <n v="0.44063947493330274"/>
    <n v="-0.82346514558816308"/>
  </r>
  <r>
    <n v="1977"/>
    <x v="140"/>
    <x v="60"/>
    <x v="2"/>
    <x v="2"/>
    <x v="3"/>
    <x v="0"/>
    <x v="7"/>
    <x v="25"/>
    <n v="5"/>
    <n v="96.95"/>
    <n v="60.53"/>
    <n v="431.43"/>
    <n v="302.64999999999998"/>
    <n v="128.78"/>
    <x v="12"/>
    <x v="6"/>
    <n v="0.2984957003453631"/>
    <n v="4.9877384511971821"/>
  </r>
  <r>
    <n v="1437"/>
    <x v="141"/>
    <x v="55"/>
    <x v="0"/>
    <x v="3"/>
    <x v="3"/>
    <x v="0"/>
    <x v="2"/>
    <x v="2"/>
    <n v="5"/>
    <n v="615.07000000000005"/>
    <n v="319.27999999999997"/>
    <n v="2583.29"/>
    <n v="1596.4"/>
    <n v="986.89"/>
    <x v="29"/>
    <x v="8"/>
    <n v="0.38202834370124916"/>
    <n v="-0.55464156172942258"/>
  </r>
  <r>
    <n v="1056"/>
    <x v="142"/>
    <x v="155"/>
    <x v="0"/>
    <x v="3"/>
    <x v="3"/>
    <x v="2"/>
    <x v="8"/>
    <x v="19"/>
    <n v="4"/>
    <n v="364.08"/>
    <n v="220.56"/>
    <n v="1150.49"/>
    <n v="882.24"/>
    <n v="268.25"/>
    <x v="1"/>
    <x v="8"/>
    <n v="0.23316152248172517"/>
    <n v="-0.42433224104511996"/>
  </r>
  <r>
    <n v="1841"/>
    <x v="143"/>
    <x v="63"/>
    <x v="2"/>
    <x v="3"/>
    <x v="1"/>
    <x v="2"/>
    <x v="4"/>
    <x v="8"/>
    <n v="5"/>
    <n v="169.82"/>
    <n v="97.14"/>
    <n v="662.3"/>
    <n v="485.7"/>
    <n v="176.6"/>
    <x v="13"/>
    <x v="4"/>
    <n v="0.26664653480295941"/>
    <n v="-0.70549599879208813"/>
  </r>
  <r>
    <n v="1653"/>
    <x v="144"/>
    <x v="156"/>
    <x v="1"/>
    <x v="2"/>
    <x v="0"/>
    <x v="1"/>
    <x v="5"/>
    <x v="22"/>
    <n v="2"/>
    <n v="131.79"/>
    <n v="108.96"/>
    <n v="195.05"/>
    <n v="217.92"/>
    <n v="-22.87"/>
    <x v="26"/>
    <x v="6"/>
    <n v="-0.11725198667008459"/>
    <n v="37.473417072545494"/>
  </r>
  <r>
    <n v="1868"/>
    <x v="144"/>
    <x v="77"/>
    <x v="1"/>
    <x v="0"/>
    <x v="3"/>
    <x v="1"/>
    <x v="3"/>
    <x v="4"/>
    <n v="8"/>
    <n v="987.4"/>
    <n v="796.47"/>
    <n v="7504.24"/>
    <n v="6371.76"/>
    <n v="1132.48"/>
    <x v="10"/>
    <x v="5"/>
    <n v="0.15091201773930471"/>
    <n v="-0.4923469931665298"/>
  </r>
  <r>
    <n v="1933"/>
    <x v="145"/>
    <x v="157"/>
    <x v="2"/>
    <x v="3"/>
    <x v="2"/>
    <x v="0"/>
    <x v="7"/>
    <x v="25"/>
    <n v="8"/>
    <n v="523.29"/>
    <n v="413.85"/>
    <n v="3809.55"/>
    <n v="3310.8"/>
    <n v="498.75"/>
    <x v="5"/>
    <x v="2"/>
    <n v="0.13092097491829743"/>
    <n v="-0.51439408854064128"/>
  </r>
  <r>
    <n v="1529"/>
    <x v="146"/>
    <x v="158"/>
    <x v="1"/>
    <x v="1"/>
    <x v="0"/>
    <x v="1"/>
    <x v="1"/>
    <x v="23"/>
    <n v="8"/>
    <n v="321.17"/>
    <n v="228.6"/>
    <n v="1849.94"/>
    <n v="1828.8"/>
    <n v="21.14"/>
    <x v="11"/>
    <x v="5"/>
    <n v="1.1427397645329037E-2"/>
    <n v="0.99597824794317646"/>
  </r>
  <r>
    <n v="1214"/>
    <x v="147"/>
    <x v="81"/>
    <x v="0"/>
    <x v="1"/>
    <x v="0"/>
    <x v="1"/>
    <x v="5"/>
    <x v="10"/>
    <n v="5"/>
    <n v="753.56"/>
    <n v="590.08000000000004"/>
    <n v="3692.44"/>
    <n v="2950.4"/>
    <n v="742.04"/>
    <x v="0"/>
    <x v="2"/>
    <n v="0.20096196552956852"/>
    <n v="-0.85049723218251339"/>
  </r>
  <r>
    <n v="1669"/>
    <x v="147"/>
    <x v="63"/>
    <x v="2"/>
    <x v="3"/>
    <x v="2"/>
    <x v="0"/>
    <x v="7"/>
    <x v="12"/>
    <n v="3"/>
    <n v="200.01"/>
    <n v="112.33"/>
    <n v="552.03"/>
    <n v="336.99"/>
    <n v="215.04"/>
    <x v="14"/>
    <x v="2"/>
    <n v="0.38954404651921093"/>
    <n v="4.3692009492237744"/>
  </r>
  <r>
    <n v="1080"/>
    <x v="148"/>
    <x v="91"/>
    <x v="0"/>
    <x v="0"/>
    <x v="2"/>
    <x v="0"/>
    <x v="7"/>
    <x v="25"/>
    <n v="10"/>
    <n v="299.39"/>
    <n v="222.97"/>
    <n v="2963.96"/>
    <n v="2229.6999999999998"/>
    <n v="734.26"/>
    <x v="27"/>
    <x v="4"/>
    <n v="0.24772938906058112"/>
    <n v="-0.74291151027679181"/>
  </r>
  <r>
    <n v="1397"/>
    <x v="148"/>
    <x v="159"/>
    <x v="2"/>
    <x v="2"/>
    <x v="1"/>
    <x v="0"/>
    <x v="7"/>
    <x v="25"/>
    <n v="6"/>
    <n v="162.82"/>
    <n v="122.91"/>
    <n v="762"/>
    <n v="737.46"/>
    <n v="24.54"/>
    <x v="13"/>
    <x v="6"/>
    <n v="3.2204724409448819E-2"/>
    <n v="8.1102362204723746E-3"/>
  </r>
  <r>
    <n v="1581"/>
    <x v="148"/>
    <x v="65"/>
    <x v="0"/>
    <x v="2"/>
    <x v="1"/>
    <x v="0"/>
    <x v="7"/>
    <x v="12"/>
    <n v="1"/>
    <n v="948.37"/>
    <n v="780.59"/>
    <n v="768.18"/>
    <n v="780.59"/>
    <n v="-12.41"/>
    <x v="21"/>
    <x v="1"/>
    <n v="-1.6155067822645735E-2"/>
    <n v="1.3100835741623058"/>
  </r>
  <r>
    <n v="1161"/>
    <x v="149"/>
    <x v="160"/>
    <x v="0"/>
    <x v="3"/>
    <x v="2"/>
    <x v="2"/>
    <x v="4"/>
    <x v="8"/>
    <n v="10"/>
    <n v="243.09"/>
    <n v="125.86"/>
    <n v="1774.56"/>
    <n v="1258.5999999999999"/>
    <n v="515.96"/>
    <x v="24"/>
    <x v="1"/>
    <n v="0.29075376431340727"/>
    <n v="0.63051122531782533"/>
  </r>
  <r>
    <n v="1278"/>
    <x v="149"/>
    <x v="39"/>
    <x v="2"/>
    <x v="3"/>
    <x v="3"/>
    <x v="1"/>
    <x v="5"/>
    <x v="10"/>
    <n v="7"/>
    <n v="558.58000000000004"/>
    <n v="387.22"/>
    <n v="2893.44"/>
    <n v="2710.54"/>
    <n v="182.9"/>
    <x v="26"/>
    <x v="6"/>
    <n v="6.3211955319619553E-2"/>
    <n v="-0.84341130280911303"/>
  </r>
  <r>
    <n v="1642"/>
    <x v="150"/>
    <x v="88"/>
    <x v="1"/>
    <x v="2"/>
    <x v="1"/>
    <x v="1"/>
    <x v="3"/>
    <x v="15"/>
    <n v="2"/>
    <n v="272.94"/>
    <n v="166.88"/>
    <n v="453.08"/>
    <n v="333.76"/>
    <n v="119.32"/>
    <x v="30"/>
    <x v="2"/>
    <n v="0.26335305023395428"/>
    <n v="3.7820252494040787"/>
  </r>
  <r>
    <n v="1187"/>
    <x v="151"/>
    <x v="70"/>
    <x v="0"/>
    <x v="0"/>
    <x v="2"/>
    <x v="1"/>
    <x v="5"/>
    <x v="10"/>
    <n v="5"/>
    <n v="555.54999999999995"/>
    <n v="391.34"/>
    <n v="2166.64"/>
    <n v="1956.7"/>
    <n v="209.94"/>
    <x v="13"/>
    <x v="3"/>
    <n v="9.6896577188642322E-2"/>
    <n v="0.16517741756821627"/>
  </r>
  <r>
    <n v="1784"/>
    <x v="151"/>
    <x v="96"/>
    <x v="0"/>
    <x v="2"/>
    <x v="1"/>
    <x v="2"/>
    <x v="4"/>
    <x v="8"/>
    <n v="7"/>
    <n v="371.8"/>
    <n v="303.3"/>
    <n v="2524.52"/>
    <n v="2123.1"/>
    <n v="401.42"/>
    <x v="28"/>
    <x v="8"/>
    <n v="0.15900844516977486"/>
    <n v="-7.1930505601064815E-2"/>
  </r>
  <r>
    <n v="1708"/>
    <x v="152"/>
    <x v="40"/>
    <x v="2"/>
    <x v="2"/>
    <x v="2"/>
    <x v="1"/>
    <x v="5"/>
    <x v="26"/>
    <n v="8"/>
    <n v="314.91000000000003"/>
    <n v="237"/>
    <n v="2342.9299999999998"/>
    <n v="1896"/>
    <n v="446.93"/>
    <x v="4"/>
    <x v="8"/>
    <n v="0.19075687280456524"/>
    <n v="-0.44210454430990254"/>
  </r>
  <r>
    <n v="1503"/>
    <x v="153"/>
    <x v="83"/>
    <x v="0"/>
    <x v="1"/>
    <x v="1"/>
    <x v="2"/>
    <x v="8"/>
    <x v="24"/>
    <n v="10"/>
    <n v="184.1"/>
    <n v="124.26"/>
    <n v="1307.1099999999999"/>
    <n v="1242.5999999999999"/>
    <n v="64.510000000000005"/>
    <x v="19"/>
    <x v="3"/>
    <n v="4.9353153139368541E-2"/>
    <n v="0.39617935751390487"/>
  </r>
  <r>
    <n v="1979"/>
    <x v="154"/>
    <x v="125"/>
    <x v="1"/>
    <x v="3"/>
    <x v="0"/>
    <x v="1"/>
    <x v="5"/>
    <x v="26"/>
    <n v="4"/>
    <n v="470.35"/>
    <n v="240.35"/>
    <n v="1824.96"/>
    <n v="961.4"/>
    <n v="863.56"/>
    <x v="28"/>
    <x v="8"/>
    <n v="0.47319393301770996"/>
    <n v="0.85947637208486749"/>
  </r>
  <r>
    <n v="1886"/>
    <x v="155"/>
    <x v="118"/>
    <x v="1"/>
    <x v="1"/>
    <x v="0"/>
    <x v="2"/>
    <x v="4"/>
    <x v="28"/>
    <n v="6"/>
    <n v="657.65"/>
    <n v="458.45"/>
    <n v="3393.47"/>
    <n v="2750.7"/>
    <n v="642.77"/>
    <x v="9"/>
    <x v="8"/>
    <n v="0.18941378588878052"/>
    <n v="-0.64523039838277629"/>
  </r>
  <r>
    <n v="1023"/>
    <x v="156"/>
    <x v="161"/>
    <x v="2"/>
    <x v="3"/>
    <x v="0"/>
    <x v="2"/>
    <x v="6"/>
    <x v="13"/>
    <n v="3"/>
    <n v="440.99"/>
    <n v="304.33999999999997"/>
    <n v="1203.9000000000001"/>
    <n v="913.02"/>
    <n v="290.88"/>
    <x v="5"/>
    <x v="6"/>
    <n v="0.24161475205581856"/>
    <n v="-0.85638342054987948"/>
  </r>
  <r>
    <n v="1287"/>
    <x v="157"/>
    <x v="141"/>
    <x v="1"/>
    <x v="2"/>
    <x v="2"/>
    <x v="0"/>
    <x v="7"/>
    <x v="25"/>
    <n v="9"/>
    <n v="24.95"/>
    <n v="19.29"/>
    <n v="172.9"/>
    <n v="173.61"/>
    <n v="-0.71"/>
    <x v="3"/>
    <x v="7"/>
    <n v="-4.1064198958935798E-3"/>
    <n v="3.0615962984384035"/>
  </r>
  <r>
    <n v="1413"/>
    <x v="157"/>
    <x v="162"/>
    <x v="2"/>
    <x v="3"/>
    <x v="2"/>
    <x v="2"/>
    <x v="8"/>
    <x v="18"/>
    <n v="6"/>
    <n v="160.33000000000001"/>
    <n v="95.03"/>
    <n v="702.25"/>
    <n v="570.17999999999995"/>
    <n v="132.07"/>
    <x v="24"/>
    <x v="1"/>
    <n v="0.18806692773228906"/>
    <n v="4.5055179779280863E-2"/>
  </r>
  <r>
    <n v="1820"/>
    <x v="157"/>
    <x v="148"/>
    <x v="0"/>
    <x v="2"/>
    <x v="0"/>
    <x v="2"/>
    <x v="6"/>
    <x v="13"/>
    <n v="5"/>
    <n v="168.71"/>
    <n v="104.98"/>
    <n v="733.89"/>
    <n v="524.9"/>
    <n v="208.99"/>
    <x v="6"/>
    <x v="0"/>
    <n v="0.28477019716851298"/>
    <n v="-0.20775593072531309"/>
  </r>
  <r>
    <n v="1096"/>
    <x v="158"/>
    <x v="66"/>
    <x v="2"/>
    <x v="1"/>
    <x v="3"/>
    <x v="0"/>
    <x v="0"/>
    <x v="7"/>
    <n v="2"/>
    <n v="315.99"/>
    <n v="192.56"/>
    <n v="581.41999999999996"/>
    <n v="385.12"/>
    <n v="196.3"/>
    <x v="14"/>
    <x v="8"/>
    <n v="0.33762168484056282"/>
    <n v="0.88737917512297471"/>
  </r>
  <r>
    <n v="1319"/>
    <x v="158"/>
    <x v="90"/>
    <x v="2"/>
    <x v="3"/>
    <x v="0"/>
    <x v="0"/>
    <x v="2"/>
    <x v="16"/>
    <n v="10"/>
    <n v="127.6"/>
    <n v="103.63"/>
    <n v="1097.3599999999999"/>
    <n v="1036.3"/>
    <n v="61.06"/>
    <x v="9"/>
    <x v="9"/>
    <n v="5.5642633228840131E-2"/>
    <n v="2.4922814755412994"/>
  </r>
  <r>
    <n v="1531"/>
    <x v="158"/>
    <x v="163"/>
    <x v="0"/>
    <x v="1"/>
    <x v="1"/>
    <x v="0"/>
    <x v="2"/>
    <x v="16"/>
    <n v="7"/>
    <n v="729.96"/>
    <n v="470.8"/>
    <n v="3832.29"/>
    <n v="3295.6"/>
    <n v="536.69000000000005"/>
    <x v="7"/>
    <x v="9"/>
    <n v="0.14004420333534259"/>
    <n v="0.533876611634297"/>
  </r>
  <r>
    <n v="1809"/>
    <x v="158"/>
    <x v="49"/>
    <x v="1"/>
    <x v="2"/>
    <x v="2"/>
    <x v="1"/>
    <x v="3"/>
    <x v="4"/>
    <n v="10"/>
    <n v="653.14"/>
    <n v="539.22"/>
    <n v="5878.26"/>
    <n v="5392.2"/>
    <n v="486.06"/>
    <x v="22"/>
    <x v="8"/>
    <n v="8.268773412540445E-2"/>
    <n v="-0.47070221460091938"/>
  </r>
  <r>
    <n v="1289"/>
    <x v="159"/>
    <x v="6"/>
    <x v="1"/>
    <x v="1"/>
    <x v="0"/>
    <x v="2"/>
    <x v="4"/>
    <x v="8"/>
    <n v="6"/>
    <n v="563.65"/>
    <n v="398.96"/>
    <n v="3111.35"/>
    <n v="2393.7600000000002"/>
    <n v="717.59"/>
    <x v="14"/>
    <x v="2"/>
    <n v="0.23063621900461218"/>
    <n v="-0.70713355938740419"/>
  </r>
  <r>
    <n v="1738"/>
    <x v="159"/>
    <x v="164"/>
    <x v="2"/>
    <x v="0"/>
    <x v="3"/>
    <x v="1"/>
    <x v="3"/>
    <x v="6"/>
    <n v="3"/>
    <n v="379.67"/>
    <n v="320.42"/>
    <n v="911.21"/>
    <n v="961.26"/>
    <n v="-50.05"/>
    <x v="20"/>
    <x v="8"/>
    <n v="-5.492696524401619E-2"/>
    <n v="-0.53839400357766054"/>
  </r>
  <r>
    <n v="1733"/>
    <x v="160"/>
    <x v="114"/>
    <x v="0"/>
    <x v="2"/>
    <x v="3"/>
    <x v="2"/>
    <x v="4"/>
    <x v="8"/>
    <n v="1"/>
    <n v="600.89"/>
    <n v="365.41"/>
    <n v="420.62"/>
    <n v="365.41"/>
    <n v="55.21"/>
    <x v="8"/>
    <x v="2"/>
    <n v="0.13125861823023158"/>
    <n v="11.821549141743141"/>
  </r>
  <r>
    <n v="1392"/>
    <x v="161"/>
    <x v="24"/>
    <x v="0"/>
    <x v="2"/>
    <x v="3"/>
    <x v="0"/>
    <x v="7"/>
    <x v="14"/>
    <n v="9"/>
    <n v="809.76"/>
    <n v="521.9"/>
    <n v="5393"/>
    <n v="4697.1000000000004"/>
    <n v="695.9"/>
    <x v="26"/>
    <x v="8"/>
    <n v="0.12903764138698312"/>
    <n v="-0.50111440756536252"/>
  </r>
  <r>
    <n v="1701"/>
    <x v="161"/>
    <x v="34"/>
    <x v="0"/>
    <x v="3"/>
    <x v="0"/>
    <x v="2"/>
    <x v="8"/>
    <x v="18"/>
    <n v="5"/>
    <n v="768.71"/>
    <n v="518.77"/>
    <n v="2690.49"/>
    <n v="2593.85"/>
    <n v="96.64"/>
    <x v="8"/>
    <x v="6"/>
    <n v="3.5919107671836731E-2"/>
    <n v="-0.96088073176261568"/>
  </r>
  <r>
    <n v="1086"/>
    <x v="162"/>
    <x v="165"/>
    <x v="1"/>
    <x v="1"/>
    <x v="3"/>
    <x v="1"/>
    <x v="1"/>
    <x v="23"/>
    <n v="3"/>
    <n v="50.12"/>
    <n v="25.71"/>
    <n v="105.25"/>
    <n v="77.13"/>
    <n v="28.12"/>
    <x v="8"/>
    <x v="2"/>
    <n v="0.26717339667458434"/>
    <n v="36.268218527315916"/>
  </r>
  <r>
    <n v="1314"/>
    <x v="163"/>
    <x v="82"/>
    <x v="0"/>
    <x v="1"/>
    <x v="2"/>
    <x v="2"/>
    <x v="6"/>
    <x v="17"/>
    <n v="10"/>
    <n v="450.86"/>
    <n v="360.6"/>
    <n v="3922.48"/>
    <n v="3606"/>
    <n v="316.48"/>
    <x v="6"/>
    <x v="2"/>
    <n v="8.0683649119944523E-2"/>
    <n v="-0.83223368889070182"/>
  </r>
  <r>
    <n v="1326"/>
    <x v="164"/>
    <x v="166"/>
    <x v="1"/>
    <x v="1"/>
    <x v="2"/>
    <x v="1"/>
    <x v="3"/>
    <x v="15"/>
    <n v="1"/>
    <n v="926.85"/>
    <n v="589.15"/>
    <n v="658.06"/>
    <n v="589.15"/>
    <n v="68.91"/>
    <x v="19"/>
    <x v="5"/>
    <n v="0.10471689511594688"/>
    <n v="6.2310731544236093"/>
  </r>
  <r>
    <n v="1921"/>
    <x v="164"/>
    <x v="167"/>
    <x v="1"/>
    <x v="1"/>
    <x v="0"/>
    <x v="1"/>
    <x v="5"/>
    <x v="22"/>
    <n v="8"/>
    <n v="660.9"/>
    <n v="450.81"/>
    <n v="4758.4799999999996"/>
    <n v="3606.48"/>
    <n v="1152"/>
    <x v="22"/>
    <x v="1"/>
    <n v="0.24209411408685128"/>
    <n v="-0.34041542677493647"/>
  </r>
  <r>
    <n v="1037"/>
    <x v="165"/>
    <x v="131"/>
    <x v="2"/>
    <x v="0"/>
    <x v="0"/>
    <x v="2"/>
    <x v="6"/>
    <x v="11"/>
    <n v="8"/>
    <n v="417.37"/>
    <n v="300.68"/>
    <n v="3138.62"/>
    <n v="2405.44"/>
    <n v="733.18"/>
    <x v="15"/>
    <x v="4"/>
    <n v="0.23359948002625358"/>
    <n v="-0.14739598932014705"/>
  </r>
  <r>
    <n v="1735"/>
    <x v="165"/>
    <x v="147"/>
    <x v="2"/>
    <x v="2"/>
    <x v="1"/>
    <x v="1"/>
    <x v="1"/>
    <x v="9"/>
    <n v="3"/>
    <n v="991.11"/>
    <n v="685.63"/>
    <n v="2676"/>
    <n v="2056.89"/>
    <n v="619.11"/>
    <x v="22"/>
    <x v="0"/>
    <n v="0.23135650224215248"/>
    <n v="-0.43944693572496263"/>
  </r>
  <r>
    <n v="1742"/>
    <x v="165"/>
    <x v="73"/>
    <x v="1"/>
    <x v="1"/>
    <x v="3"/>
    <x v="1"/>
    <x v="3"/>
    <x v="6"/>
    <n v="10"/>
    <n v="185.19"/>
    <n v="123.98"/>
    <n v="1500.04"/>
    <n v="1239.8"/>
    <n v="260.24"/>
    <x v="21"/>
    <x v="4"/>
    <n v="0.17348870696781421"/>
    <n v="-0.39433615103597236"/>
  </r>
  <r>
    <n v="1369"/>
    <x v="166"/>
    <x v="168"/>
    <x v="0"/>
    <x v="1"/>
    <x v="0"/>
    <x v="0"/>
    <x v="2"/>
    <x v="2"/>
    <n v="9"/>
    <n v="110.93"/>
    <n v="58.28"/>
    <n v="908.52"/>
    <n v="524.52"/>
    <n v="384"/>
    <x v="5"/>
    <x v="2"/>
    <n v="0.42266543389248451"/>
    <n v="-0.95318760181393913"/>
  </r>
  <r>
    <n v="1550"/>
    <x v="166"/>
    <x v="169"/>
    <x v="0"/>
    <x v="1"/>
    <x v="2"/>
    <x v="2"/>
    <x v="6"/>
    <x v="13"/>
    <n v="3"/>
    <n v="17.72"/>
    <n v="13.04"/>
    <n v="42.53"/>
    <n v="39.119999999999997"/>
    <n v="3.41"/>
    <x v="20"/>
    <x v="4"/>
    <n v="8.0178697390077588E-2"/>
    <n v="1.6555372678109568"/>
  </r>
  <r>
    <n v="1851"/>
    <x v="166"/>
    <x v="40"/>
    <x v="2"/>
    <x v="3"/>
    <x v="0"/>
    <x v="1"/>
    <x v="5"/>
    <x v="26"/>
    <n v="1"/>
    <n v="115.25"/>
    <n v="95.83"/>
    <n v="112.94"/>
    <n v="95.83"/>
    <n v="17.11"/>
    <x v="0"/>
    <x v="5"/>
    <n v="0.15149636975385161"/>
    <n v="19.711793872852844"/>
  </r>
  <r>
    <n v="1861"/>
    <x v="166"/>
    <x v="170"/>
    <x v="1"/>
    <x v="1"/>
    <x v="1"/>
    <x v="0"/>
    <x v="2"/>
    <x v="5"/>
    <n v="5"/>
    <n v="497.7"/>
    <n v="278.64"/>
    <n v="2339.19"/>
    <n v="1393.2"/>
    <n v="945.99"/>
    <x v="15"/>
    <x v="3"/>
    <n v="0.40440921857566081"/>
    <n v="0.1821912713375142"/>
  </r>
  <r>
    <n v="1416"/>
    <x v="167"/>
    <x v="166"/>
    <x v="1"/>
    <x v="0"/>
    <x v="1"/>
    <x v="2"/>
    <x v="6"/>
    <x v="11"/>
    <n v="6"/>
    <n v="542.23"/>
    <n v="299.5"/>
    <n v="2765.37"/>
    <n v="1797"/>
    <n v="968.37"/>
    <x v="25"/>
    <x v="1"/>
    <n v="0.35017737228652951"/>
    <n v="-0.396905296578758"/>
  </r>
  <r>
    <n v="1243"/>
    <x v="168"/>
    <x v="103"/>
    <x v="2"/>
    <x v="0"/>
    <x v="0"/>
    <x v="2"/>
    <x v="8"/>
    <x v="18"/>
    <n v="6"/>
    <n v="386.06"/>
    <n v="213.31"/>
    <n v="1667.78"/>
    <n v="1279.8599999999999"/>
    <n v="387.92"/>
    <x v="11"/>
    <x v="7"/>
    <n v="0.2325966254541966"/>
    <n v="0.98729448728249525"/>
  </r>
  <r>
    <n v="1865"/>
    <x v="168"/>
    <x v="171"/>
    <x v="2"/>
    <x v="2"/>
    <x v="0"/>
    <x v="2"/>
    <x v="6"/>
    <x v="13"/>
    <n v="8"/>
    <n v="493.21"/>
    <n v="307.16000000000003"/>
    <n v="3314.37"/>
    <n v="2457.2800000000002"/>
    <n v="857.09"/>
    <x v="29"/>
    <x v="0"/>
    <n v="0.25859816496046006"/>
    <n v="-0.42103325820593351"/>
  </r>
  <r>
    <n v="1006"/>
    <x v="169"/>
    <x v="113"/>
    <x v="0"/>
    <x v="1"/>
    <x v="3"/>
    <x v="2"/>
    <x v="8"/>
    <x v="19"/>
    <n v="4"/>
    <n v="657.16"/>
    <n v="419.58"/>
    <n v="1918.91"/>
    <n v="1678.32"/>
    <n v="240.59"/>
    <x v="24"/>
    <x v="0"/>
    <n v="0.1253784700689454"/>
    <n v="-0.81114278418477159"/>
  </r>
  <r>
    <n v="1014"/>
    <x v="170"/>
    <x v="168"/>
    <x v="2"/>
    <x v="0"/>
    <x v="0"/>
    <x v="2"/>
    <x v="8"/>
    <x v="24"/>
    <n v="6"/>
    <n v="75.5"/>
    <n v="44.04"/>
    <n v="362.4"/>
    <n v="264.24"/>
    <n v="98.16"/>
    <x v="20"/>
    <x v="1"/>
    <n v="0.27086092715231791"/>
    <n v="-0.87133002207505517"/>
  </r>
  <r>
    <n v="1796"/>
    <x v="170"/>
    <x v="25"/>
    <x v="1"/>
    <x v="1"/>
    <x v="2"/>
    <x v="1"/>
    <x v="5"/>
    <x v="10"/>
    <n v="6"/>
    <n v="7.85"/>
    <n v="6.66"/>
    <n v="46.63"/>
    <n v="39.96"/>
    <n v="6.67"/>
    <x v="27"/>
    <x v="6"/>
    <n v="0.14304096075487882"/>
    <n v="6.0263778683251124"/>
  </r>
  <r>
    <n v="1425"/>
    <x v="171"/>
    <x v="124"/>
    <x v="1"/>
    <x v="0"/>
    <x v="3"/>
    <x v="0"/>
    <x v="7"/>
    <x v="14"/>
    <n v="2"/>
    <n v="190.49"/>
    <n v="128.62"/>
    <n v="327.64"/>
    <n v="257.24"/>
    <n v="70.400000000000006"/>
    <x v="9"/>
    <x v="7"/>
    <n v="0.2148699792455134"/>
    <n v="7.6696984495177638"/>
  </r>
  <r>
    <n v="1198"/>
    <x v="172"/>
    <x v="129"/>
    <x v="0"/>
    <x v="1"/>
    <x v="3"/>
    <x v="2"/>
    <x v="4"/>
    <x v="21"/>
    <n v="8"/>
    <n v="493.15"/>
    <n v="307.99"/>
    <n v="2840.54"/>
    <n v="2463.92"/>
    <n v="376.62"/>
    <x v="11"/>
    <x v="4"/>
    <n v="0.13258746576355201"/>
    <n v="-0.86044906954311495"/>
  </r>
  <r>
    <n v="1610"/>
    <x v="172"/>
    <x v="43"/>
    <x v="1"/>
    <x v="0"/>
    <x v="1"/>
    <x v="1"/>
    <x v="1"/>
    <x v="1"/>
    <n v="2"/>
    <n v="271.51"/>
    <n v="197.36"/>
    <n v="396.4"/>
    <n v="394.72"/>
    <n v="1.68"/>
    <x v="24"/>
    <x v="2"/>
    <n v="4.2381432896064584E-3"/>
    <n v="0.94994954591321923"/>
  </r>
  <r>
    <n v="1902"/>
    <x v="172"/>
    <x v="74"/>
    <x v="2"/>
    <x v="2"/>
    <x v="1"/>
    <x v="1"/>
    <x v="3"/>
    <x v="4"/>
    <n v="1"/>
    <n v="990.98"/>
    <n v="500.66"/>
    <n v="772.96"/>
    <n v="500.66"/>
    <n v="272.3"/>
    <x v="13"/>
    <x v="7"/>
    <n v="0.35228213620368454"/>
    <n v="-0.43297195197681637"/>
  </r>
  <r>
    <n v="1932"/>
    <x v="172"/>
    <x v="172"/>
    <x v="2"/>
    <x v="0"/>
    <x v="2"/>
    <x v="1"/>
    <x v="3"/>
    <x v="6"/>
    <n v="1"/>
    <n v="600.4"/>
    <n v="308.55"/>
    <n v="438.29"/>
    <n v="308.55"/>
    <n v="129.74"/>
    <x v="24"/>
    <x v="6"/>
    <n v="0.29601405462136943"/>
    <n v="0.50861301877752174"/>
  </r>
  <r>
    <n v="1001"/>
    <x v="173"/>
    <x v="173"/>
    <x v="2"/>
    <x v="1"/>
    <x v="1"/>
    <x v="2"/>
    <x v="6"/>
    <x v="13"/>
    <n v="1"/>
    <n v="760.01"/>
    <n v="422.47"/>
    <n v="661.21"/>
    <n v="422.47"/>
    <n v="238.74"/>
    <x v="6"/>
    <x v="3"/>
    <n v="0.36106531964126376"/>
    <n v="1.5698945871962007"/>
  </r>
  <r>
    <n v="1004"/>
    <x v="173"/>
    <x v="129"/>
    <x v="0"/>
    <x v="3"/>
    <x v="1"/>
    <x v="1"/>
    <x v="1"/>
    <x v="23"/>
    <n v="6"/>
    <n v="358.49"/>
    <n v="263.33"/>
    <n v="1699.24"/>
    <n v="1579.98"/>
    <n v="119.26"/>
    <x v="1"/>
    <x v="2"/>
    <n v="7.0184317694969522E-2"/>
    <n v="-0.18939055106989003"/>
  </r>
  <r>
    <n v="1414"/>
    <x v="173"/>
    <x v="44"/>
    <x v="0"/>
    <x v="0"/>
    <x v="1"/>
    <x v="1"/>
    <x v="5"/>
    <x v="22"/>
    <n v="2"/>
    <n v="724.96"/>
    <n v="563.66999999999996"/>
    <n v="1377.42"/>
    <n v="1127.3399999999999"/>
    <n v="250.08"/>
    <x v="10"/>
    <x v="9"/>
    <n v="0.18155682362678049"/>
    <n v="4.4409112688940079E-2"/>
  </r>
  <r>
    <n v="1636"/>
    <x v="173"/>
    <x v="77"/>
    <x v="0"/>
    <x v="0"/>
    <x v="1"/>
    <x v="1"/>
    <x v="1"/>
    <x v="1"/>
    <n v="2"/>
    <n v="866.62"/>
    <n v="647.82000000000005"/>
    <n v="1438.59"/>
    <n v="1295.6400000000001"/>
    <n v="142.94999999999999"/>
    <x v="30"/>
    <x v="3"/>
    <n v="9.9368131295226578E-2"/>
    <n v="-0.9288817522713213"/>
  </r>
  <r>
    <n v="1483"/>
    <x v="174"/>
    <x v="67"/>
    <x v="1"/>
    <x v="1"/>
    <x v="1"/>
    <x v="0"/>
    <x v="2"/>
    <x v="16"/>
    <n v="7"/>
    <n v="16.8"/>
    <n v="13.85"/>
    <n v="102.31"/>
    <n v="96.95"/>
    <n v="5.36"/>
    <x v="6"/>
    <x v="5"/>
    <n v="5.2389795718893559E-2"/>
    <n v="3.8559280617730427"/>
  </r>
  <r>
    <n v="1628"/>
    <x v="174"/>
    <x v="127"/>
    <x v="0"/>
    <x v="2"/>
    <x v="1"/>
    <x v="1"/>
    <x v="3"/>
    <x v="6"/>
    <n v="2"/>
    <n v="331.21"/>
    <n v="233.12"/>
    <n v="496.81"/>
    <n v="466.24"/>
    <n v="30.57"/>
    <x v="7"/>
    <x v="5"/>
    <n v="6.1532577846661704E-2"/>
    <n v="6.9657816871641067"/>
  </r>
  <r>
    <n v="1983"/>
    <x v="174"/>
    <x v="59"/>
    <x v="1"/>
    <x v="0"/>
    <x v="1"/>
    <x v="0"/>
    <x v="0"/>
    <x v="3"/>
    <n v="7"/>
    <n v="595.11"/>
    <n v="331.72"/>
    <n v="3957.48"/>
    <n v="2322.04"/>
    <n v="1635.44"/>
    <x v="10"/>
    <x v="3"/>
    <n v="0.41325287809414074"/>
    <n v="-0.74441058451337716"/>
  </r>
  <r>
    <n v="1882"/>
    <x v="175"/>
    <x v="72"/>
    <x v="1"/>
    <x v="3"/>
    <x v="1"/>
    <x v="1"/>
    <x v="3"/>
    <x v="6"/>
    <n v="7"/>
    <n v="150.52000000000001"/>
    <n v="76.400000000000006"/>
    <n v="1011.49"/>
    <n v="534.79999999999995"/>
    <n v="476.69"/>
    <x v="16"/>
    <x v="1"/>
    <n v="0.47127504967918615"/>
    <n v="4.3925298322277102E-2"/>
  </r>
  <r>
    <n v="1907"/>
    <x v="175"/>
    <x v="106"/>
    <x v="1"/>
    <x v="1"/>
    <x v="0"/>
    <x v="2"/>
    <x v="6"/>
    <x v="11"/>
    <n v="5"/>
    <n v="281.58"/>
    <n v="178.65"/>
    <n v="1055.92"/>
    <n v="893.25"/>
    <n v="162.66999999999999"/>
    <x v="7"/>
    <x v="2"/>
    <n v="0.15405523145692854"/>
    <n v="-0.5273884385180696"/>
  </r>
  <r>
    <n v="1427"/>
    <x v="176"/>
    <x v="161"/>
    <x v="2"/>
    <x v="3"/>
    <x v="1"/>
    <x v="2"/>
    <x v="4"/>
    <x v="21"/>
    <n v="4"/>
    <n v="155.94999999999999"/>
    <n v="126.95"/>
    <n v="499.04"/>
    <n v="507.8"/>
    <n v="-8.76"/>
    <x v="20"/>
    <x v="2"/>
    <n v="-1.7553703109971144E-2"/>
    <n v="-0.51052019878166077"/>
  </r>
  <r>
    <n v="1250"/>
    <x v="177"/>
    <x v="45"/>
    <x v="0"/>
    <x v="1"/>
    <x v="3"/>
    <x v="0"/>
    <x v="0"/>
    <x v="7"/>
    <n v="4"/>
    <n v="79.31"/>
    <n v="45.28"/>
    <n v="244.27"/>
    <n v="181.12"/>
    <n v="63.15"/>
    <x v="3"/>
    <x v="9"/>
    <n v="0.25852540221885617"/>
    <n v="2.7850329553363085"/>
  </r>
  <r>
    <n v="1092"/>
    <x v="178"/>
    <x v="0"/>
    <x v="2"/>
    <x v="2"/>
    <x v="3"/>
    <x v="2"/>
    <x v="8"/>
    <x v="18"/>
    <n v="9"/>
    <n v="118.08"/>
    <n v="61.67"/>
    <n v="924.57"/>
    <n v="555.03"/>
    <n v="369.54"/>
    <x v="6"/>
    <x v="5"/>
    <n v="0.39968850384503068"/>
    <n v="4.2293174124187454"/>
  </r>
  <r>
    <n v="1022"/>
    <x v="179"/>
    <x v="48"/>
    <x v="2"/>
    <x v="3"/>
    <x v="1"/>
    <x v="0"/>
    <x v="2"/>
    <x v="5"/>
    <n v="8"/>
    <n v="623.04999999999995"/>
    <n v="434.3"/>
    <n v="4834.87"/>
    <n v="3474.4"/>
    <n v="1360.47"/>
    <x v="28"/>
    <x v="6"/>
    <n v="0.28138709003551288"/>
    <n v="-0.94473067528185861"/>
  </r>
  <r>
    <n v="1496"/>
    <x v="179"/>
    <x v="22"/>
    <x v="2"/>
    <x v="3"/>
    <x v="1"/>
    <x v="1"/>
    <x v="1"/>
    <x v="23"/>
    <n v="1"/>
    <n v="342.59"/>
    <n v="211.79"/>
    <n v="267.22000000000003"/>
    <n v="211.79"/>
    <n v="55.43"/>
    <x v="13"/>
    <x v="4"/>
    <n v="0.20743207843724271"/>
    <n v="25.943005763041686"/>
  </r>
  <r>
    <n v="1069"/>
    <x v="180"/>
    <x v="110"/>
    <x v="0"/>
    <x v="0"/>
    <x v="1"/>
    <x v="2"/>
    <x v="8"/>
    <x v="24"/>
    <n v="8"/>
    <n v="947.33"/>
    <n v="688.42"/>
    <n v="7199.71"/>
    <n v="5507.36"/>
    <n v="1692.35"/>
    <x v="10"/>
    <x v="3"/>
    <n v="0.23505807872817097"/>
    <n v="-0.35252531004721022"/>
  </r>
  <r>
    <n v="1757"/>
    <x v="180"/>
    <x v="134"/>
    <x v="1"/>
    <x v="0"/>
    <x v="0"/>
    <x v="1"/>
    <x v="1"/>
    <x v="1"/>
    <n v="8"/>
    <n v="809.31"/>
    <n v="407.68"/>
    <n v="4661.63"/>
    <n v="3261.44"/>
    <n v="1400.19"/>
    <x v="11"/>
    <x v="6"/>
    <n v="0.30036489382469223"/>
    <n v="-0.82611018034464334"/>
  </r>
  <r>
    <n v="1798"/>
    <x v="181"/>
    <x v="12"/>
    <x v="2"/>
    <x v="0"/>
    <x v="2"/>
    <x v="2"/>
    <x v="4"/>
    <x v="8"/>
    <n v="3"/>
    <n v="380.57"/>
    <n v="193.79"/>
    <n v="810.61"/>
    <n v="581.37"/>
    <n v="229.24"/>
    <x v="19"/>
    <x v="5"/>
    <n v="0.28279937331145683"/>
    <n v="0.42429775107634982"/>
  </r>
  <r>
    <n v="1179"/>
    <x v="182"/>
    <x v="43"/>
    <x v="0"/>
    <x v="1"/>
    <x v="2"/>
    <x v="1"/>
    <x v="5"/>
    <x v="10"/>
    <n v="3"/>
    <n v="506.38"/>
    <n v="304.45999999999998"/>
    <n v="1154.55"/>
    <n v="913.38"/>
    <n v="241.17"/>
    <x v="17"/>
    <x v="9"/>
    <n v="0.20888657918669612"/>
    <n v="4.5109003507860201"/>
  </r>
  <r>
    <n v="1460"/>
    <x v="182"/>
    <x v="40"/>
    <x v="0"/>
    <x v="3"/>
    <x v="1"/>
    <x v="2"/>
    <x v="8"/>
    <x v="24"/>
    <n v="8"/>
    <n v="903.78"/>
    <n v="467.85"/>
    <n v="6362.61"/>
    <n v="3742.8"/>
    <n v="2619.81"/>
    <x v="2"/>
    <x v="2"/>
    <n v="0.41175083809945917"/>
    <n v="-0.7561943919240689"/>
  </r>
  <r>
    <n v="1740"/>
    <x v="182"/>
    <x v="158"/>
    <x v="2"/>
    <x v="1"/>
    <x v="1"/>
    <x v="0"/>
    <x v="7"/>
    <x v="14"/>
    <n v="3"/>
    <n v="654.53"/>
    <n v="413.26"/>
    <n v="1551.24"/>
    <n v="1239.78"/>
    <n v="311.45999999999998"/>
    <x v="1"/>
    <x v="2"/>
    <n v="0.20078131043552253"/>
    <n v="-0.50943116474562289"/>
  </r>
  <r>
    <n v="1247"/>
    <x v="183"/>
    <x v="61"/>
    <x v="0"/>
    <x v="0"/>
    <x v="2"/>
    <x v="1"/>
    <x v="1"/>
    <x v="1"/>
    <n v="1"/>
    <n v="951.24"/>
    <n v="476.11"/>
    <n v="760.99"/>
    <n v="476.11"/>
    <n v="284.88"/>
    <x v="20"/>
    <x v="3"/>
    <n v="0.37435445932272432"/>
    <n v="-0.18398402081499099"/>
  </r>
  <r>
    <n v="1835"/>
    <x v="183"/>
    <x v="86"/>
    <x v="0"/>
    <x v="3"/>
    <x v="0"/>
    <x v="0"/>
    <x v="2"/>
    <x v="5"/>
    <n v="1"/>
    <n v="640.19000000000005"/>
    <n v="449.91"/>
    <n v="620.98"/>
    <n v="449.91"/>
    <n v="171.07"/>
    <x v="28"/>
    <x v="0"/>
    <n v="0.27548391252536314"/>
    <n v="-0.94437824084511579"/>
  </r>
  <r>
    <n v="1512"/>
    <x v="184"/>
    <x v="85"/>
    <x v="0"/>
    <x v="2"/>
    <x v="2"/>
    <x v="1"/>
    <x v="5"/>
    <x v="26"/>
    <n v="1"/>
    <n v="44.86"/>
    <n v="29.82"/>
    <n v="34.54"/>
    <n v="29.82"/>
    <n v="4.72"/>
    <x v="3"/>
    <x v="7"/>
    <n v="0.13665315576143602"/>
    <n v="22.989577301679216"/>
  </r>
  <r>
    <n v="1976"/>
    <x v="184"/>
    <x v="64"/>
    <x v="1"/>
    <x v="2"/>
    <x v="2"/>
    <x v="0"/>
    <x v="2"/>
    <x v="2"/>
    <n v="5"/>
    <n v="182.11"/>
    <n v="100.01"/>
    <n v="828.6"/>
    <n v="500.05"/>
    <n v="328.55"/>
    <x v="5"/>
    <x v="1"/>
    <n v="0.39651218923485398"/>
    <n v="2.7236060825488777"/>
  </r>
  <r>
    <n v="1225"/>
    <x v="185"/>
    <x v="98"/>
    <x v="1"/>
    <x v="1"/>
    <x v="1"/>
    <x v="2"/>
    <x v="4"/>
    <x v="8"/>
    <n v="5"/>
    <n v="629.66999999999996"/>
    <n v="397.52"/>
    <n v="3085.38"/>
    <n v="1987.6"/>
    <n v="1097.78"/>
    <x v="0"/>
    <x v="2"/>
    <n v="0.35580058210009785"/>
    <n v="0.16404462335271502"/>
  </r>
  <r>
    <n v="1148"/>
    <x v="186"/>
    <x v="68"/>
    <x v="2"/>
    <x v="3"/>
    <x v="3"/>
    <x v="2"/>
    <x v="8"/>
    <x v="18"/>
    <n v="9"/>
    <n v="469.48"/>
    <n v="379.19"/>
    <n v="3591.52"/>
    <n v="3412.71"/>
    <n v="178.81"/>
    <x v="25"/>
    <x v="2"/>
    <n v="4.9786719828930369E-2"/>
    <n v="-0.1423993183944402"/>
  </r>
  <r>
    <n v="1601"/>
    <x v="186"/>
    <x v="169"/>
    <x v="0"/>
    <x v="0"/>
    <x v="0"/>
    <x v="2"/>
    <x v="4"/>
    <x v="28"/>
    <n v="9"/>
    <n v="427.79"/>
    <n v="228.04"/>
    <n v="3080.09"/>
    <n v="2052.36"/>
    <n v="1027.73"/>
    <x v="20"/>
    <x v="9"/>
    <n v="0.33366882136560944"/>
    <n v="0.89783415419679291"/>
  </r>
  <r>
    <n v="1258"/>
    <x v="187"/>
    <x v="174"/>
    <x v="1"/>
    <x v="0"/>
    <x v="1"/>
    <x v="1"/>
    <x v="1"/>
    <x v="9"/>
    <n v="9"/>
    <n v="782.53"/>
    <n v="485.49"/>
    <n v="5845.5"/>
    <n v="4369.41"/>
    <n v="1476.09"/>
    <x v="30"/>
    <x v="5"/>
    <n v="0.25251732101616625"/>
    <n v="-0.95341031562740564"/>
  </r>
  <r>
    <n v="1698"/>
    <x v="187"/>
    <x v="118"/>
    <x v="2"/>
    <x v="2"/>
    <x v="0"/>
    <x v="2"/>
    <x v="6"/>
    <x v="11"/>
    <n v="1"/>
    <n v="340.43"/>
    <n v="193.11"/>
    <n v="272.33999999999997"/>
    <n v="193.11"/>
    <n v="79.23"/>
    <x v="20"/>
    <x v="1"/>
    <n v="0.29092311081736072"/>
    <n v="0.41293970771829347"/>
  </r>
  <r>
    <n v="1121"/>
    <x v="188"/>
    <x v="100"/>
    <x v="0"/>
    <x v="3"/>
    <x v="0"/>
    <x v="1"/>
    <x v="3"/>
    <x v="6"/>
    <n v="5"/>
    <n v="88.46"/>
    <n v="49.19"/>
    <n v="384.8"/>
    <n v="245.95"/>
    <n v="138.85"/>
    <x v="6"/>
    <x v="6"/>
    <n v="0.36083679833679833"/>
    <n v="-0.20670478170478176"/>
  </r>
  <r>
    <n v="1342"/>
    <x v="188"/>
    <x v="175"/>
    <x v="1"/>
    <x v="1"/>
    <x v="3"/>
    <x v="0"/>
    <x v="2"/>
    <x v="16"/>
    <n v="4"/>
    <n v="104.54"/>
    <n v="74.94"/>
    <n v="305.26"/>
    <n v="299.76"/>
    <n v="5.5"/>
    <x v="24"/>
    <x v="5"/>
    <n v="1.8017427766494138E-2"/>
    <n v="2.9192164056869561"/>
  </r>
  <r>
    <n v="1658"/>
    <x v="188"/>
    <x v="176"/>
    <x v="0"/>
    <x v="2"/>
    <x v="3"/>
    <x v="2"/>
    <x v="6"/>
    <x v="27"/>
    <n v="2"/>
    <n v="776.87"/>
    <n v="556.9"/>
    <n v="1196.3800000000001"/>
    <n v="1113.8"/>
    <n v="82.58"/>
    <x v="3"/>
    <x v="0"/>
    <n v="6.9024891756799669E-2"/>
    <n v="-0.90617529547468201"/>
  </r>
  <r>
    <n v="1959"/>
    <x v="189"/>
    <x v="130"/>
    <x v="2"/>
    <x v="3"/>
    <x v="2"/>
    <x v="2"/>
    <x v="4"/>
    <x v="8"/>
    <n v="8"/>
    <n v="14.77"/>
    <n v="9.5399999999999991"/>
    <n v="112.25"/>
    <n v="76.319999999999993"/>
    <n v="35.93"/>
    <x v="10"/>
    <x v="2"/>
    <n v="0.32008908685968818"/>
    <n v="1.0097104677060134"/>
  </r>
  <r>
    <n v="1954"/>
    <x v="190"/>
    <x v="177"/>
    <x v="1"/>
    <x v="3"/>
    <x v="2"/>
    <x v="2"/>
    <x v="6"/>
    <x v="17"/>
    <n v="1"/>
    <n v="271.8"/>
    <n v="155.80000000000001"/>
    <n v="225.59"/>
    <n v="155.80000000000001"/>
    <n v="69.790000000000006"/>
    <x v="30"/>
    <x v="0"/>
    <n v="0.3093665499357241"/>
    <n v="4.7311937585885904"/>
  </r>
  <r>
    <n v="1602"/>
    <x v="191"/>
    <x v="127"/>
    <x v="1"/>
    <x v="0"/>
    <x v="0"/>
    <x v="2"/>
    <x v="4"/>
    <x v="8"/>
    <n v="8"/>
    <n v="183.65"/>
    <n v="103.54"/>
    <n v="1292.9000000000001"/>
    <n v="828.32"/>
    <n v="464.58"/>
    <x v="2"/>
    <x v="2"/>
    <n v="0.35933173485961789"/>
    <n v="2.1635934720396008"/>
  </r>
  <r>
    <n v="1866"/>
    <x v="191"/>
    <x v="178"/>
    <x v="2"/>
    <x v="3"/>
    <x v="3"/>
    <x v="1"/>
    <x v="1"/>
    <x v="1"/>
    <n v="10"/>
    <n v="486.93"/>
    <n v="289.47000000000003"/>
    <n v="4090.21"/>
    <n v="2894.7"/>
    <n v="1195.51"/>
    <x v="29"/>
    <x v="7"/>
    <n v="0.29228572616075948"/>
    <n v="-0.37992914789216209"/>
  </r>
  <r>
    <n v="1969"/>
    <x v="191"/>
    <x v="78"/>
    <x v="2"/>
    <x v="3"/>
    <x v="0"/>
    <x v="1"/>
    <x v="1"/>
    <x v="1"/>
    <n v="8"/>
    <n v="401.3"/>
    <n v="340.51"/>
    <n v="2536.2199999999998"/>
    <n v="2724.08"/>
    <n v="-187.86"/>
    <x v="1"/>
    <x v="3"/>
    <n v="-7.4070861360607532E-2"/>
    <n v="-0.68715253408615973"/>
  </r>
  <r>
    <n v="1174"/>
    <x v="192"/>
    <x v="113"/>
    <x v="1"/>
    <x v="2"/>
    <x v="0"/>
    <x v="2"/>
    <x v="6"/>
    <x v="13"/>
    <n v="2"/>
    <n v="543.46"/>
    <n v="283.19"/>
    <n v="793.45"/>
    <n v="566.38"/>
    <n v="227.07"/>
    <x v="24"/>
    <x v="0"/>
    <n v="0.28618060369273424"/>
    <n v="1.0891171466380991"/>
  </r>
  <r>
    <n v="1381"/>
    <x v="192"/>
    <x v="90"/>
    <x v="1"/>
    <x v="0"/>
    <x v="1"/>
    <x v="1"/>
    <x v="1"/>
    <x v="9"/>
    <n v="6"/>
    <n v="363.51"/>
    <n v="252.68"/>
    <n v="1657.61"/>
    <n v="1516.08"/>
    <n v="141.53"/>
    <x v="17"/>
    <x v="5"/>
    <n v="8.5381965601076248E-2"/>
    <n v="-0.33619488299419042"/>
  </r>
  <r>
    <n v="1962"/>
    <x v="192"/>
    <x v="171"/>
    <x v="1"/>
    <x v="2"/>
    <x v="0"/>
    <x v="1"/>
    <x v="5"/>
    <x v="10"/>
    <n v="4"/>
    <n v="283.58999999999997"/>
    <n v="167.89"/>
    <n v="1100.33"/>
    <n v="671.56"/>
    <n v="428.77"/>
    <x v="28"/>
    <x v="6"/>
    <n v="0.38967400688884246"/>
    <n v="1.1226722892223242"/>
  </r>
  <r>
    <n v="1306"/>
    <x v="193"/>
    <x v="136"/>
    <x v="0"/>
    <x v="3"/>
    <x v="3"/>
    <x v="0"/>
    <x v="2"/>
    <x v="5"/>
    <n v="3"/>
    <n v="874.77"/>
    <n v="698.32"/>
    <n v="2335.64"/>
    <n v="2094.96"/>
    <n v="240.68"/>
    <x v="12"/>
    <x v="5"/>
    <n v="0.10304670240276756"/>
    <n v="-0.89345532701957497"/>
  </r>
  <r>
    <n v="1489"/>
    <x v="194"/>
    <x v="179"/>
    <x v="2"/>
    <x v="3"/>
    <x v="0"/>
    <x v="0"/>
    <x v="0"/>
    <x v="7"/>
    <n v="1"/>
    <n v="261.95"/>
    <n v="205.49"/>
    <n v="248.85"/>
    <n v="205.49"/>
    <n v="43.36"/>
    <x v="10"/>
    <x v="2"/>
    <n v="0.17424151095037171"/>
    <n v="0.5883062085593731"/>
  </r>
  <r>
    <n v="1423"/>
    <x v="195"/>
    <x v="80"/>
    <x v="1"/>
    <x v="2"/>
    <x v="0"/>
    <x v="0"/>
    <x v="7"/>
    <x v="14"/>
    <n v="9"/>
    <n v="48.26"/>
    <n v="27.01"/>
    <n v="395.25"/>
    <n v="243.09"/>
    <n v="152.16"/>
    <x v="5"/>
    <x v="9"/>
    <n v="0.38497153700189751"/>
    <n v="-0.84761543327008215"/>
  </r>
  <r>
    <n v="1463"/>
    <x v="195"/>
    <x v="180"/>
    <x v="0"/>
    <x v="2"/>
    <x v="3"/>
    <x v="0"/>
    <x v="0"/>
    <x v="7"/>
    <n v="1"/>
    <n v="70.040000000000006"/>
    <n v="37.79"/>
    <n v="60.23"/>
    <n v="37.79"/>
    <n v="22.44"/>
    <x v="9"/>
    <x v="8"/>
    <n v="0.37257180806906859"/>
    <n v="3.0640876639548402"/>
  </r>
  <r>
    <n v="1943"/>
    <x v="196"/>
    <x v="32"/>
    <x v="0"/>
    <x v="1"/>
    <x v="1"/>
    <x v="0"/>
    <x v="0"/>
    <x v="7"/>
    <n v="1"/>
    <n v="271.98"/>
    <n v="205.31"/>
    <n v="244.78"/>
    <n v="205.31"/>
    <n v="39.47"/>
    <x v="22"/>
    <x v="7"/>
    <n v="0.16124683389165781"/>
    <n v="1.9574311626766892"/>
  </r>
  <r>
    <n v="1823"/>
    <x v="197"/>
    <x v="152"/>
    <x v="2"/>
    <x v="1"/>
    <x v="2"/>
    <x v="1"/>
    <x v="1"/>
    <x v="1"/>
    <n v="10"/>
    <n v="101.96"/>
    <n v="58.78"/>
    <n v="723.92"/>
    <n v="587.79999999999995"/>
    <n v="136.12"/>
    <x v="19"/>
    <x v="4"/>
    <n v="0.18803182672118468"/>
    <n v="0.75727980992374877"/>
  </r>
  <r>
    <n v="1782"/>
    <x v="198"/>
    <x v="110"/>
    <x v="0"/>
    <x v="3"/>
    <x v="3"/>
    <x v="2"/>
    <x v="4"/>
    <x v="28"/>
    <n v="6"/>
    <n v="223.18"/>
    <n v="186.99"/>
    <n v="1272.1300000000001"/>
    <n v="1121.94"/>
    <n v="150.19"/>
    <x v="10"/>
    <x v="7"/>
    <n v="0.11806183330320014"/>
    <n v="-0.83477317569745224"/>
  </r>
  <r>
    <n v="1252"/>
    <x v="199"/>
    <x v="129"/>
    <x v="2"/>
    <x v="2"/>
    <x v="3"/>
    <x v="1"/>
    <x v="3"/>
    <x v="4"/>
    <n v="1"/>
    <n v="218.95"/>
    <n v="175.12"/>
    <n v="210.19"/>
    <n v="175.12"/>
    <n v="35.07"/>
    <x v="16"/>
    <x v="1"/>
    <n v="0.16684904134354631"/>
    <n v="-0.17998001807888095"/>
  </r>
  <r>
    <n v="1272"/>
    <x v="199"/>
    <x v="172"/>
    <x v="0"/>
    <x v="2"/>
    <x v="0"/>
    <x v="2"/>
    <x v="6"/>
    <x v="17"/>
    <n v="3"/>
    <n v="59.23"/>
    <n v="29.69"/>
    <n v="172.36"/>
    <n v="89.07"/>
    <n v="83.29"/>
    <x v="28"/>
    <x v="9"/>
    <n v="0.48323276862381065"/>
    <n v="12.971513112090971"/>
  </r>
  <r>
    <n v="1132"/>
    <x v="200"/>
    <x v="50"/>
    <x v="1"/>
    <x v="1"/>
    <x v="0"/>
    <x v="0"/>
    <x v="7"/>
    <x v="12"/>
    <n v="9"/>
    <n v="297.3"/>
    <n v="159.33000000000001"/>
    <n v="2408.13"/>
    <n v="1433.97"/>
    <n v="974.16"/>
    <x v="22"/>
    <x v="3"/>
    <n v="0.40452965579100791"/>
    <n v="-0.15934355703388106"/>
  </r>
  <r>
    <n v="1224"/>
    <x v="200"/>
    <x v="160"/>
    <x v="1"/>
    <x v="0"/>
    <x v="2"/>
    <x v="0"/>
    <x v="2"/>
    <x v="2"/>
    <n v="3"/>
    <n v="702.92"/>
    <n v="384.1"/>
    <n v="2024.41"/>
    <n v="1152.3"/>
    <n v="872.11"/>
    <x v="16"/>
    <x v="5"/>
    <n v="0.43079712113652868"/>
    <n v="-0.43780163109251591"/>
  </r>
  <r>
    <n v="1755"/>
    <x v="200"/>
    <x v="79"/>
    <x v="1"/>
    <x v="3"/>
    <x v="2"/>
    <x v="1"/>
    <x v="3"/>
    <x v="15"/>
    <n v="8"/>
    <n v="187.19"/>
    <n v="158.21"/>
    <n v="1138.1199999999999"/>
    <n v="1265.68"/>
    <n v="-127.56"/>
    <x v="17"/>
    <x v="6"/>
    <n v="-0.11207956981689103"/>
    <n v="0.79527642076406724"/>
  </r>
  <r>
    <n v="1840"/>
    <x v="201"/>
    <x v="55"/>
    <x v="2"/>
    <x v="0"/>
    <x v="3"/>
    <x v="1"/>
    <x v="3"/>
    <x v="4"/>
    <n v="5"/>
    <n v="469.71"/>
    <n v="367.86"/>
    <n v="2043.24"/>
    <n v="1839.3"/>
    <n v="203.94"/>
    <x v="6"/>
    <x v="4"/>
    <n v="9.9812063193751105E-2"/>
    <n v="1.7606350697911164"/>
  </r>
  <r>
    <n v="1275"/>
    <x v="202"/>
    <x v="181"/>
    <x v="2"/>
    <x v="0"/>
    <x v="0"/>
    <x v="1"/>
    <x v="1"/>
    <x v="1"/>
    <n v="7"/>
    <n v="970.85"/>
    <n v="685.81"/>
    <n v="5640.64"/>
    <n v="4800.67"/>
    <n v="839.97"/>
    <x v="30"/>
    <x v="4"/>
    <n v="0.1489139530266069"/>
    <n v="-0.24912598570375"/>
  </r>
  <r>
    <n v="1434"/>
    <x v="203"/>
    <x v="143"/>
    <x v="1"/>
    <x v="2"/>
    <x v="2"/>
    <x v="2"/>
    <x v="8"/>
    <x v="18"/>
    <n v="10"/>
    <n v="492.49"/>
    <n v="302.25"/>
    <n v="4235.41"/>
    <n v="3022.5"/>
    <n v="1212.9100000000001"/>
    <x v="9"/>
    <x v="1"/>
    <n v="0.28637369227536419"/>
    <n v="-0.21582798359544883"/>
  </r>
  <r>
    <n v="1510"/>
    <x v="203"/>
    <x v="85"/>
    <x v="2"/>
    <x v="0"/>
    <x v="0"/>
    <x v="0"/>
    <x v="2"/>
    <x v="5"/>
    <n v="8"/>
    <n v="461.29"/>
    <n v="258.29000000000002"/>
    <n v="3321.29"/>
    <n v="2066.3200000000002"/>
    <n v="1254.97"/>
    <x v="22"/>
    <x v="3"/>
    <n v="0.37785619443047735"/>
    <n v="-0.86549202267793546"/>
  </r>
  <r>
    <n v="1819"/>
    <x v="203"/>
    <x v="149"/>
    <x v="2"/>
    <x v="0"/>
    <x v="2"/>
    <x v="2"/>
    <x v="6"/>
    <x v="17"/>
    <n v="2"/>
    <n v="301.85000000000002"/>
    <n v="226.17"/>
    <n v="446.74"/>
    <n v="452.34"/>
    <n v="-5.6"/>
    <x v="26"/>
    <x v="6"/>
    <n v="-1.2535255405828893E-2"/>
    <n v="7.5965438510095362"/>
  </r>
  <r>
    <n v="1424"/>
    <x v="204"/>
    <x v="157"/>
    <x v="1"/>
    <x v="0"/>
    <x v="0"/>
    <x v="0"/>
    <x v="7"/>
    <x v="25"/>
    <n v="6"/>
    <n v="864.96"/>
    <n v="438.26"/>
    <n v="3840.42"/>
    <n v="2629.56"/>
    <n v="1210.8599999999999"/>
    <x v="26"/>
    <x v="4"/>
    <n v="0.31529363975815144"/>
    <n v="-0.98760291843079662"/>
  </r>
  <r>
    <n v="1539"/>
    <x v="204"/>
    <x v="156"/>
    <x v="1"/>
    <x v="3"/>
    <x v="0"/>
    <x v="1"/>
    <x v="3"/>
    <x v="15"/>
    <n v="3"/>
    <n v="17.829999999999998"/>
    <n v="12.15"/>
    <n v="47.61"/>
    <n v="36.450000000000003"/>
    <n v="11.16"/>
    <x v="12"/>
    <x v="0"/>
    <n v="0.2344045368620038"/>
    <n v="1.5398025624868725"/>
  </r>
  <r>
    <n v="1948"/>
    <x v="205"/>
    <x v="7"/>
    <x v="0"/>
    <x v="1"/>
    <x v="2"/>
    <x v="1"/>
    <x v="1"/>
    <x v="23"/>
    <n v="2"/>
    <n v="78.52"/>
    <n v="59.11"/>
    <n v="120.92"/>
    <n v="118.22"/>
    <n v="2.7"/>
    <x v="3"/>
    <x v="4"/>
    <n v="2.2328812437975524E-2"/>
    <n v="40.07376778035065"/>
  </r>
  <r>
    <n v="1131"/>
    <x v="206"/>
    <x v="111"/>
    <x v="0"/>
    <x v="1"/>
    <x v="1"/>
    <x v="1"/>
    <x v="1"/>
    <x v="9"/>
    <n v="6"/>
    <n v="973.85"/>
    <n v="656.05"/>
    <n v="4966.6400000000003"/>
    <n v="3936.3"/>
    <n v="1030.3399999999999"/>
    <x v="25"/>
    <x v="6"/>
    <n v="0.2074521205482982"/>
    <n v="-0.89906858560314418"/>
  </r>
  <r>
    <n v="1057"/>
    <x v="207"/>
    <x v="121"/>
    <x v="1"/>
    <x v="3"/>
    <x v="2"/>
    <x v="1"/>
    <x v="1"/>
    <x v="23"/>
    <n v="1"/>
    <n v="576.19000000000005"/>
    <n v="382.76"/>
    <n v="501.29"/>
    <n v="382.76"/>
    <n v="118.53"/>
    <x v="6"/>
    <x v="8"/>
    <n v="0.23644995910550778"/>
    <n v="1.4988130622992681"/>
  </r>
  <r>
    <n v="1459"/>
    <x v="207"/>
    <x v="133"/>
    <x v="1"/>
    <x v="0"/>
    <x v="2"/>
    <x v="1"/>
    <x v="1"/>
    <x v="1"/>
    <n v="6"/>
    <n v="274.7"/>
    <n v="228.04"/>
    <n v="1252.6300000000001"/>
    <n v="1368.24"/>
    <n v="-115.61"/>
    <x v="17"/>
    <x v="9"/>
    <n v="-9.2293813815731693E-2"/>
    <n v="-0.46073461437136271"/>
  </r>
  <r>
    <n v="1654"/>
    <x v="207"/>
    <x v="12"/>
    <x v="1"/>
    <x v="0"/>
    <x v="3"/>
    <x v="1"/>
    <x v="3"/>
    <x v="15"/>
    <n v="1"/>
    <n v="938.2"/>
    <n v="679.57"/>
    <n v="675.5"/>
    <n v="679.57"/>
    <n v="-4.07"/>
    <x v="11"/>
    <x v="7"/>
    <n v="-6.0251665433012584E-3"/>
    <n v="-0.37467061435973348"/>
  </r>
  <r>
    <n v="1734"/>
    <x v="207"/>
    <x v="53"/>
    <x v="1"/>
    <x v="1"/>
    <x v="2"/>
    <x v="0"/>
    <x v="0"/>
    <x v="3"/>
    <n v="7"/>
    <n v="63.52"/>
    <n v="49.77"/>
    <n v="422.41"/>
    <n v="348.39"/>
    <n v="74.02"/>
    <x v="10"/>
    <x v="1"/>
    <n v="0.17523259392533319"/>
    <n v="10.660258990080727"/>
  </r>
  <r>
    <n v="1752"/>
    <x v="207"/>
    <x v="158"/>
    <x v="0"/>
    <x v="2"/>
    <x v="1"/>
    <x v="2"/>
    <x v="8"/>
    <x v="20"/>
    <n v="9"/>
    <n v="729.69"/>
    <n v="443.14"/>
    <n v="4925.41"/>
    <n v="3988.26"/>
    <n v="937.15"/>
    <x v="7"/>
    <x v="0"/>
    <n v="0.19026842435452074"/>
    <n v="-0.75018120318917614"/>
  </r>
  <r>
    <n v="1081"/>
    <x v="208"/>
    <x v="73"/>
    <x v="1"/>
    <x v="0"/>
    <x v="1"/>
    <x v="0"/>
    <x v="2"/>
    <x v="16"/>
    <n v="6"/>
    <n v="222.91"/>
    <n v="126.29"/>
    <n v="1230.46"/>
    <n v="757.74"/>
    <n v="472.72"/>
    <x v="14"/>
    <x v="8"/>
    <n v="0.38418152560830909"/>
    <n v="0.90534434276611975"/>
  </r>
  <r>
    <n v="1134"/>
    <x v="208"/>
    <x v="174"/>
    <x v="2"/>
    <x v="0"/>
    <x v="1"/>
    <x v="0"/>
    <x v="7"/>
    <x v="14"/>
    <n v="3"/>
    <n v="953.03"/>
    <n v="524.14"/>
    <n v="2344.4499999999998"/>
    <n v="1572.42"/>
    <n v="772.03"/>
    <x v="23"/>
    <x v="0"/>
    <n v="0.32930111540020046"/>
    <n v="-0.28987182494828212"/>
  </r>
  <r>
    <n v="1847"/>
    <x v="208"/>
    <x v="25"/>
    <x v="2"/>
    <x v="1"/>
    <x v="2"/>
    <x v="1"/>
    <x v="1"/>
    <x v="1"/>
    <n v="7"/>
    <n v="240.24"/>
    <n v="121.91"/>
    <n v="1664.86"/>
    <n v="853.37"/>
    <n v="811.49"/>
    <x v="27"/>
    <x v="9"/>
    <n v="0.48742236584457554"/>
    <n v="2.1603858582703657"/>
  </r>
  <r>
    <n v="1915"/>
    <x v="209"/>
    <x v="64"/>
    <x v="0"/>
    <x v="2"/>
    <x v="2"/>
    <x v="1"/>
    <x v="5"/>
    <x v="10"/>
    <n v="10"/>
    <n v="657.7"/>
    <n v="382.41"/>
    <n v="5261.6"/>
    <n v="3824.1"/>
    <n v="1437.5"/>
    <x v="20"/>
    <x v="8"/>
    <n v="0.27320586893720539"/>
    <n v="0.21678196746236883"/>
  </r>
  <r>
    <n v="1887"/>
    <x v="210"/>
    <x v="142"/>
    <x v="1"/>
    <x v="3"/>
    <x v="1"/>
    <x v="2"/>
    <x v="4"/>
    <x v="21"/>
    <n v="7"/>
    <n v="962.74"/>
    <n v="685.51"/>
    <n v="6402.22"/>
    <n v="4798.57"/>
    <n v="1603.65"/>
    <x v="10"/>
    <x v="6"/>
    <n v="0.25048342606158491"/>
    <n v="-0.65737509801287675"/>
  </r>
  <r>
    <n v="1805"/>
    <x v="211"/>
    <x v="150"/>
    <x v="2"/>
    <x v="0"/>
    <x v="2"/>
    <x v="1"/>
    <x v="5"/>
    <x v="26"/>
    <n v="4"/>
    <n v="553.92999999999995"/>
    <n v="400.73"/>
    <n v="2193.56"/>
    <n v="1602.92"/>
    <n v="590.64"/>
    <x v="27"/>
    <x v="3"/>
    <n v="0.26926092744214886"/>
    <n v="0.38984117142909236"/>
  </r>
  <r>
    <n v="1464"/>
    <x v="212"/>
    <x v="182"/>
    <x v="1"/>
    <x v="2"/>
    <x v="0"/>
    <x v="0"/>
    <x v="7"/>
    <x v="12"/>
    <n v="6"/>
    <n v="558.37"/>
    <n v="293.05"/>
    <n v="3048.7"/>
    <n v="1758.3"/>
    <n v="1290.4000000000001"/>
    <x v="5"/>
    <x v="0"/>
    <n v="0.423262374126677"/>
    <n v="0.39588021123757672"/>
  </r>
  <r>
    <n v="1938"/>
    <x v="212"/>
    <x v="89"/>
    <x v="1"/>
    <x v="0"/>
    <x v="2"/>
    <x v="2"/>
    <x v="6"/>
    <x v="11"/>
    <n v="8"/>
    <n v="559.95000000000005"/>
    <n v="320.85000000000002"/>
    <n v="4255.62"/>
    <n v="2566.8000000000002"/>
    <n v="1688.82"/>
    <x v="10"/>
    <x v="4"/>
    <n v="0.39684464308373396"/>
    <n v="0.19611008501698923"/>
  </r>
  <r>
    <n v="1143"/>
    <x v="213"/>
    <x v="129"/>
    <x v="0"/>
    <x v="2"/>
    <x v="3"/>
    <x v="2"/>
    <x v="4"/>
    <x v="21"/>
    <n v="10"/>
    <n v="535.80999999999995"/>
    <n v="362.15"/>
    <n v="5090.1899999999996"/>
    <n v="3621.5"/>
    <n v="1468.69"/>
    <x v="10"/>
    <x v="9"/>
    <n v="0.28853343391896968"/>
    <n v="-0.83898439940355851"/>
  </r>
  <r>
    <n v="1625"/>
    <x v="213"/>
    <x v="176"/>
    <x v="1"/>
    <x v="3"/>
    <x v="3"/>
    <x v="1"/>
    <x v="5"/>
    <x v="10"/>
    <n v="1"/>
    <n v="890.87"/>
    <n v="613.79"/>
    <n v="819.6"/>
    <n v="613.79"/>
    <n v="205.81"/>
    <x v="14"/>
    <x v="3"/>
    <n v="0.25111029770619814"/>
    <n v="-0.44680331869204493"/>
  </r>
  <r>
    <n v="1019"/>
    <x v="214"/>
    <x v="105"/>
    <x v="1"/>
    <x v="1"/>
    <x v="2"/>
    <x v="2"/>
    <x v="6"/>
    <x v="27"/>
    <n v="1"/>
    <n v="581.28"/>
    <n v="400.95"/>
    <n v="453.4"/>
    <n v="400.95"/>
    <n v="52.45"/>
    <x v="13"/>
    <x v="7"/>
    <n v="0.11568151742390827"/>
    <n v="8.6508822232024709"/>
  </r>
  <r>
    <n v="1756"/>
    <x v="215"/>
    <x v="48"/>
    <x v="1"/>
    <x v="2"/>
    <x v="3"/>
    <x v="1"/>
    <x v="5"/>
    <x v="26"/>
    <n v="7"/>
    <n v="771.73"/>
    <n v="614.16999999999996"/>
    <n v="4375.71"/>
    <n v="4299.1899999999996"/>
    <n v="76.52"/>
    <x v="21"/>
    <x v="2"/>
    <n v="1.7487447751336354E-2"/>
    <n v="-1.3273274508594017E-2"/>
  </r>
  <r>
    <n v="1801"/>
    <x v="215"/>
    <x v="134"/>
    <x v="2"/>
    <x v="0"/>
    <x v="2"/>
    <x v="1"/>
    <x v="5"/>
    <x v="10"/>
    <n v="7"/>
    <n v="833.52"/>
    <n v="615.11"/>
    <n v="4317.63"/>
    <n v="4305.7700000000004"/>
    <n v="11.86"/>
    <x v="26"/>
    <x v="6"/>
    <n v="2.746877337798746E-3"/>
    <n v="-0.72181729328358379"/>
  </r>
  <r>
    <n v="1422"/>
    <x v="216"/>
    <x v="183"/>
    <x v="1"/>
    <x v="0"/>
    <x v="3"/>
    <x v="0"/>
    <x v="0"/>
    <x v="0"/>
    <n v="6"/>
    <n v="212.96"/>
    <n v="146.58000000000001"/>
    <n v="1201.0899999999999"/>
    <n v="879.48"/>
    <n v="321.61"/>
    <x v="15"/>
    <x v="6"/>
    <n v="0.2677651133553689"/>
    <n v="1.879326278630244"/>
  </r>
  <r>
    <n v="1584"/>
    <x v="216"/>
    <x v="106"/>
    <x v="0"/>
    <x v="2"/>
    <x v="1"/>
    <x v="2"/>
    <x v="4"/>
    <x v="28"/>
    <n v="5"/>
    <n v="728.07"/>
    <n v="412.29"/>
    <n v="3458.33"/>
    <n v="2061.4499999999998"/>
    <n v="1396.88"/>
    <x v="10"/>
    <x v="8"/>
    <n v="0.40391749775180508"/>
    <n v="-0.64616736979987444"/>
  </r>
  <r>
    <n v="1159"/>
    <x v="217"/>
    <x v="184"/>
    <x v="1"/>
    <x v="1"/>
    <x v="3"/>
    <x v="0"/>
    <x v="0"/>
    <x v="3"/>
    <n v="5"/>
    <n v="291.35000000000002"/>
    <n v="204.15"/>
    <n v="1223.67"/>
    <n v="1020.75"/>
    <n v="202.92"/>
    <x v="29"/>
    <x v="4"/>
    <n v="0.16582902253058421"/>
    <n v="1.3264769096243267"/>
  </r>
  <r>
    <n v="1870"/>
    <x v="217"/>
    <x v="133"/>
    <x v="0"/>
    <x v="2"/>
    <x v="1"/>
    <x v="1"/>
    <x v="5"/>
    <x v="22"/>
    <n v="5"/>
    <n v="625.67999999999995"/>
    <n v="458.32"/>
    <n v="2846.84"/>
    <n v="2291.6"/>
    <n v="555.24"/>
    <x v="5"/>
    <x v="3"/>
    <n v="0.19503730452009946"/>
    <n v="-0.90984389709291713"/>
  </r>
  <r>
    <n v="1928"/>
    <x v="218"/>
    <x v="185"/>
    <x v="1"/>
    <x v="2"/>
    <x v="2"/>
    <x v="1"/>
    <x v="3"/>
    <x v="4"/>
    <n v="2"/>
    <n v="156.5"/>
    <n v="78.680000000000007"/>
    <n v="256.66000000000003"/>
    <n v="157.36000000000001"/>
    <n v="99.3"/>
    <x v="23"/>
    <x v="0"/>
    <n v="0.38689316605626117"/>
    <n v="7.0060391178991646"/>
  </r>
  <r>
    <n v="1873"/>
    <x v="219"/>
    <x v="140"/>
    <x v="0"/>
    <x v="3"/>
    <x v="2"/>
    <x v="1"/>
    <x v="3"/>
    <x v="15"/>
    <n v="7"/>
    <n v="402.12"/>
    <n v="328.31"/>
    <n v="2054.83"/>
    <n v="2298.17"/>
    <n v="-243.34"/>
    <x v="24"/>
    <x v="3"/>
    <n v="-0.11842342188891539"/>
    <n v="0.19871230223424818"/>
  </r>
  <r>
    <n v="1522"/>
    <x v="220"/>
    <x v="176"/>
    <x v="2"/>
    <x v="2"/>
    <x v="3"/>
    <x v="0"/>
    <x v="7"/>
    <x v="25"/>
    <n v="6"/>
    <n v="488.72"/>
    <n v="358.26"/>
    <n v="2463.15"/>
    <n v="2149.56"/>
    <n v="313.58999999999997"/>
    <x v="29"/>
    <x v="6"/>
    <n v="0.12731258754034466"/>
    <n v="0.7389765138136124"/>
  </r>
  <r>
    <n v="1220"/>
    <x v="221"/>
    <x v="116"/>
    <x v="2"/>
    <x v="3"/>
    <x v="2"/>
    <x v="0"/>
    <x v="7"/>
    <x v="14"/>
    <n v="8"/>
    <n v="551.98"/>
    <n v="297.86"/>
    <n v="4283.3599999999997"/>
    <n v="2382.88"/>
    <n v="1900.48"/>
    <x v="28"/>
    <x v="6"/>
    <n v="0.44368906652721229"/>
    <n v="-0.66423555339733298"/>
  </r>
  <r>
    <n v="1391"/>
    <x v="221"/>
    <x v="168"/>
    <x v="2"/>
    <x v="3"/>
    <x v="2"/>
    <x v="0"/>
    <x v="7"/>
    <x v="25"/>
    <n v="7"/>
    <n v="253.65"/>
    <n v="190.3"/>
    <n v="1438.2"/>
    <n v="1332.1"/>
    <n v="106.1"/>
    <x v="21"/>
    <x v="4"/>
    <n v="7.3772771519955496E-2"/>
    <n v="-0.51202197190933119"/>
  </r>
  <r>
    <n v="1761"/>
    <x v="222"/>
    <x v="71"/>
    <x v="2"/>
    <x v="1"/>
    <x v="2"/>
    <x v="0"/>
    <x v="7"/>
    <x v="14"/>
    <n v="1"/>
    <n v="935.74"/>
    <n v="760.17"/>
    <n v="701.81"/>
    <n v="760.17"/>
    <n v="-58.36"/>
    <x v="7"/>
    <x v="7"/>
    <n v="-8.3156409854519039E-2"/>
    <n v="3.4342200880580216"/>
  </r>
  <r>
    <n v="1054"/>
    <x v="223"/>
    <x v="186"/>
    <x v="1"/>
    <x v="2"/>
    <x v="3"/>
    <x v="1"/>
    <x v="3"/>
    <x v="15"/>
    <n v="8"/>
    <n v="555.71"/>
    <n v="344.72"/>
    <n v="3111.98"/>
    <n v="2757.76"/>
    <n v="354.22"/>
    <x v="8"/>
    <x v="6"/>
    <n v="0.1138246389758289"/>
    <n v="-0.79713558570427834"/>
  </r>
  <r>
    <n v="1328"/>
    <x v="223"/>
    <x v="47"/>
    <x v="1"/>
    <x v="0"/>
    <x v="2"/>
    <x v="2"/>
    <x v="4"/>
    <x v="8"/>
    <n v="2"/>
    <n v="380.31"/>
    <n v="247.19"/>
    <n v="631.30999999999995"/>
    <n v="494.38"/>
    <n v="136.93"/>
    <x v="30"/>
    <x v="8"/>
    <n v="0.21689819581505126"/>
    <n v="0.12070139867893753"/>
  </r>
  <r>
    <n v="1177"/>
    <x v="224"/>
    <x v="114"/>
    <x v="1"/>
    <x v="1"/>
    <x v="1"/>
    <x v="2"/>
    <x v="8"/>
    <x v="18"/>
    <n v="6"/>
    <n v="159.35"/>
    <n v="90.19"/>
    <n v="707.51"/>
    <n v="541.14"/>
    <n v="166.37"/>
    <x v="26"/>
    <x v="2"/>
    <n v="0.23514861980749391"/>
    <n v="7.096790151375953"/>
  </r>
  <r>
    <n v="1627"/>
    <x v="224"/>
    <x v="26"/>
    <x v="2"/>
    <x v="1"/>
    <x v="3"/>
    <x v="2"/>
    <x v="4"/>
    <x v="8"/>
    <n v="10"/>
    <n v="716.07"/>
    <n v="593.01"/>
    <n v="5728.56"/>
    <n v="5930.1"/>
    <n v="-201.54"/>
    <x v="20"/>
    <x v="9"/>
    <n v="-3.5181616322426577E-2"/>
    <n v="-0.17463027357660565"/>
  </r>
  <r>
    <n v="1743"/>
    <x v="224"/>
    <x v="58"/>
    <x v="2"/>
    <x v="3"/>
    <x v="0"/>
    <x v="1"/>
    <x v="3"/>
    <x v="6"/>
    <n v="7"/>
    <n v="813.8"/>
    <n v="412.52"/>
    <n v="4728.18"/>
    <n v="2887.64"/>
    <n v="1840.54"/>
    <x v="30"/>
    <x v="6"/>
    <n v="0.3892702900481792"/>
    <n v="-0.96529531447618322"/>
  </r>
  <r>
    <n v="1895"/>
    <x v="224"/>
    <x v="1"/>
    <x v="0"/>
    <x v="2"/>
    <x v="0"/>
    <x v="1"/>
    <x v="3"/>
    <x v="15"/>
    <n v="1"/>
    <n v="227.9"/>
    <n v="188.98"/>
    <n v="164.09"/>
    <n v="188.98"/>
    <n v="-24.89"/>
    <x v="11"/>
    <x v="3"/>
    <n v="-0.1516850508867085"/>
    <n v="1.6359924431714306"/>
  </r>
  <r>
    <n v="1764"/>
    <x v="225"/>
    <x v="187"/>
    <x v="2"/>
    <x v="3"/>
    <x v="0"/>
    <x v="0"/>
    <x v="7"/>
    <x v="25"/>
    <n v="3"/>
    <n v="144.18"/>
    <n v="109.79"/>
    <n v="432.54"/>
    <n v="329.37"/>
    <n v="103.17"/>
    <x v="18"/>
    <x v="1"/>
    <n v="0.23852129282840892"/>
    <n v="11.017778702547741"/>
  </r>
  <r>
    <n v="1182"/>
    <x v="226"/>
    <x v="188"/>
    <x v="1"/>
    <x v="1"/>
    <x v="2"/>
    <x v="2"/>
    <x v="6"/>
    <x v="27"/>
    <n v="8"/>
    <n v="915.17"/>
    <n v="637.72"/>
    <n v="5198.17"/>
    <n v="5101.76"/>
    <n v="96.41"/>
    <x v="19"/>
    <x v="6"/>
    <n v="1.8546911701618068E-2"/>
    <n v="-0.77206209108205393"/>
  </r>
  <r>
    <n v="1303"/>
    <x v="227"/>
    <x v="67"/>
    <x v="2"/>
    <x v="3"/>
    <x v="2"/>
    <x v="0"/>
    <x v="2"/>
    <x v="16"/>
    <n v="10"/>
    <n v="122.15"/>
    <n v="65.95"/>
    <n v="1184.8599999999999"/>
    <n v="659.5"/>
    <n v="525.36"/>
    <x v="28"/>
    <x v="1"/>
    <n v="0.44339415627162709"/>
    <n v="-0.69373596880644128"/>
  </r>
  <r>
    <n v="1849"/>
    <x v="227"/>
    <x v="69"/>
    <x v="0"/>
    <x v="1"/>
    <x v="0"/>
    <x v="1"/>
    <x v="1"/>
    <x v="9"/>
    <n v="10"/>
    <n v="51.84"/>
    <n v="31.33"/>
    <n v="362.88"/>
    <n v="313.3"/>
    <n v="49.58"/>
    <x v="8"/>
    <x v="0"/>
    <n v="0.13662918871252205"/>
    <n v="-0.70712081128747806"/>
  </r>
  <r>
    <n v="1880"/>
    <x v="227"/>
    <x v="172"/>
    <x v="1"/>
    <x v="0"/>
    <x v="1"/>
    <x v="1"/>
    <x v="3"/>
    <x v="6"/>
    <n v="2"/>
    <n v="71.81"/>
    <n v="39.75"/>
    <n v="106.28"/>
    <n v="79.5"/>
    <n v="26.78"/>
    <x v="26"/>
    <x v="6"/>
    <n v="0.25197591268347763"/>
    <n v="60.338916070756497"/>
  </r>
  <r>
    <n v="1455"/>
    <x v="228"/>
    <x v="40"/>
    <x v="0"/>
    <x v="0"/>
    <x v="2"/>
    <x v="2"/>
    <x v="6"/>
    <x v="11"/>
    <n v="8"/>
    <n v="905.43"/>
    <n v="501.54"/>
    <n v="6519.1"/>
    <n v="4012.32"/>
    <n v="2506.7800000000002"/>
    <x v="22"/>
    <x v="0"/>
    <n v="0.38452853921553587"/>
    <n v="-0.95709530456658132"/>
  </r>
  <r>
    <n v="1877"/>
    <x v="228"/>
    <x v="131"/>
    <x v="1"/>
    <x v="3"/>
    <x v="2"/>
    <x v="1"/>
    <x v="3"/>
    <x v="4"/>
    <n v="5"/>
    <n v="58.27"/>
    <n v="46.37"/>
    <n v="279.7"/>
    <n v="231.85"/>
    <n v="47.85"/>
    <x v="16"/>
    <x v="7"/>
    <n v="0.17107615302109405"/>
    <n v="10.927207722559887"/>
  </r>
  <r>
    <n v="1633"/>
    <x v="229"/>
    <x v="55"/>
    <x v="2"/>
    <x v="2"/>
    <x v="2"/>
    <x v="1"/>
    <x v="1"/>
    <x v="23"/>
    <n v="5"/>
    <n v="889.61"/>
    <n v="511.93"/>
    <n v="3336.04"/>
    <n v="2559.65"/>
    <n v="776.39"/>
    <x v="7"/>
    <x v="0"/>
    <n v="0.23272802484382682"/>
    <n v="-0.37229169914029808"/>
  </r>
  <r>
    <n v="1059"/>
    <x v="230"/>
    <x v="175"/>
    <x v="2"/>
    <x v="1"/>
    <x v="2"/>
    <x v="1"/>
    <x v="1"/>
    <x v="9"/>
    <n v="8"/>
    <n v="300.87"/>
    <n v="212.41"/>
    <n v="2094.06"/>
    <n v="1699.28"/>
    <n v="394.78"/>
    <x v="6"/>
    <x v="9"/>
    <n v="0.18852372902400122"/>
    <n v="-0.41269113587958323"/>
  </r>
  <r>
    <n v="1534"/>
    <x v="230"/>
    <x v="189"/>
    <x v="1"/>
    <x v="1"/>
    <x v="2"/>
    <x v="2"/>
    <x v="8"/>
    <x v="20"/>
    <n v="5"/>
    <n v="303.67"/>
    <n v="219.92"/>
    <n v="1229.8599999999999"/>
    <n v="1099.5999999999999"/>
    <n v="130.26"/>
    <x v="21"/>
    <x v="2"/>
    <n v="0.10591449433268828"/>
    <n v="1.5474444245686503"/>
  </r>
  <r>
    <n v="1217"/>
    <x v="231"/>
    <x v="134"/>
    <x v="0"/>
    <x v="2"/>
    <x v="1"/>
    <x v="0"/>
    <x v="7"/>
    <x v="12"/>
    <n v="10"/>
    <n v="386.79"/>
    <n v="218.54"/>
    <n v="3133"/>
    <n v="2185.4"/>
    <n v="947.6"/>
    <x v="21"/>
    <x v="8"/>
    <n v="0.30245770826683688"/>
    <n v="0.63427385892116195"/>
  </r>
  <r>
    <n v="1561"/>
    <x v="231"/>
    <x v="23"/>
    <x v="2"/>
    <x v="0"/>
    <x v="3"/>
    <x v="2"/>
    <x v="6"/>
    <x v="17"/>
    <n v="10"/>
    <n v="517.19000000000005"/>
    <n v="334.83"/>
    <n v="5120.18"/>
    <n v="3348.3"/>
    <n v="1771.88"/>
    <x v="27"/>
    <x v="0"/>
    <n v="0.34605814639329086"/>
    <n v="-0.93444761707596213"/>
  </r>
  <r>
    <n v="1133"/>
    <x v="232"/>
    <x v="81"/>
    <x v="1"/>
    <x v="1"/>
    <x v="2"/>
    <x v="1"/>
    <x v="1"/>
    <x v="9"/>
    <n v="8"/>
    <n v="47.14"/>
    <n v="37.92"/>
    <n v="335.64"/>
    <n v="303.36"/>
    <n v="32.28"/>
    <x v="12"/>
    <x v="4"/>
    <n v="9.6174472649267082E-2"/>
    <n v="15.716154212847096"/>
  </r>
  <r>
    <n v="1063"/>
    <x v="233"/>
    <x v="26"/>
    <x v="1"/>
    <x v="3"/>
    <x v="1"/>
    <x v="2"/>
    <x v="6"/>
    <x v="13"/>
    <n v="7"/>
    <n v="942.96"/>
    <n v="636.65"/>
    <n v="5610.61"/>
    <n v="4456.55"/>
    <n v="1154.06"/>
    <x v="25"/>
    <x v="2"/>
    <n v="0.20569242916545616"/>
    <n v="-0.86310579420063049"/>
  </r>
  <r>
    <n v="1543"/>
    <x v="233"/>
    <x v="89"/>
    <x v="2"/>
    <x v="0"/>
    <x v="1"/>
    <x v="1"/>
    <x v="5"/>
    <x v="10"/>
    <n v="1"/>
    <n v="775.82"/>
    <n v="593.54999999999995"/>
    <n v="768.06"/>
    <n v="593.54999999999995"/>
    <n v="174.51"/>
    <x v="27"/>
    <x v="2"/>
    <n v="0.22720881181157723"/>
    <n v="3.5982214931125176"/>
  </r>
  <r>
    <n v="1825"/>
    <x v="233"/>
    <x v="30"/>
    <x v="2"/>
    <x v="1"/>
    <x v="1"/>
    <x v="0"/>
    <x v="0"/>
    <x v="7"/>
    <n v="6"/>
    <n v="829.04"/>
    <n v="538.09"/>
    <n v="3531.71"/>
    <n v="3228.54"/>
    <n v="303.17"/>
    <x v="19"/>
    <x v="5"/>
    <n v="8.5842269042475175E-2"/>
    <n v="-6.642957660736587E-2"/>
  </r>
  <r>
    <n v="1944"/>
    <x v="234"/>
    <x v="22"/>
    <x v="2"/>
    <x v="2"/>
    <x v="2"/>
    <x v="1"/>
    <x v="5"/>
    <x v="22"/>
    <n v="10"/>
    <n v="333.04"/>
    <n v="237.04"/>
    <n v="3297.1"/>
    <n v="2370.4"/>
    <n v="926.7"/>
    <x v="27"/>
    <x v="7"/>
    <n v="0.28106517849018836"/>
    <n v="0.83287737708895715"/>
  </r>
  <r>
    <n v="1387"/>
    <x v="235"/>
    <x v="99"/>
    <x v="1"/>
    <x v="3"/>
    <x v="1"/>
    <x v="1"/>
    <x v="5"/>
    <x v="10"/>
    <n v="9"/>
    <n v="839.33"/>
    <n v="428.06"/>
    <n v="6043.18"/>
    <n v="3852.54"/>
    <n v="2190.64"/>
    <x v="20"/>
    <x v="5"/>
    <n v="0.36249789018364498"/>
    <n v="-0.70547625587852758"/>
  </r>
  <r>
    <n v="1688"/>
    <x v="236"/>
    <x v="91"/>
    <x v="1"/>
    <x v="1"/>
    <x v="2"/>
    <x v="1"/>
    <x v="3"/>
    <x v="15"/>
    <n v="10"/>
    <n v="206.96"/>
    <n v="155.4"/>
    <n v="1779.86"/>
    <n v="1554"/>
    <n v="225.86"/>
    <x v="9"/>
    <x v="1"/>
    <n v="0.12689762116121495"/>
    <n v="8.2292989336239949E-2"/>
  </r>
  <r>
    <n v="1299"/>
    <x v="237"/>
    <x v="40"/>
    <x v="0"/>
    <x v="3"/>
    <x v="2"/>
    <x v="2"/>
    <x v="8"/>
    <x v="19"/>
    <n v="5"/>
    <n v="458.65"/>
    <n v="312.85000000000002"/>
    <n v="1926.33"/>
    <n v="1564.25"/>
    <n v="362.08"/>
    <x v="29"/>
    <x v="4"/>
    <n v="0.18796364070538277"/>
    <n v="2.6212383132692736"/>
  </r>
  <r>
    <n v="1589"/>
    <x v="238"/>
    <x v="84"/>
    <x v="0"/>
    <x v="3"/>
    <x v="3"/>
    <x v="0"/>
    <x v="0"/>
    <x v="7"/>
    <n v="10"/>
    <n v="830.44"/>
    <n v="684.57"/>
    <n v="6975.7"/>
    <n v="6845.7"/>
    <n v="130"/>
    <x v="29"/>
    <x v="4"/>
    <n v="1.8636122539673439E-2"/>
    <n v="-0.75038777470361395"/>
  </r>
  <r>
    <n v="1411"/>
    <x v="239"/>
    <x v="97"/>
    <x v="0"/>
    <x v="1"/>
    <x v="1"/>
    <x v="1"/>
    <x v="1"/>
    <x v="1"/>
    <n v="4"/>
    <n v="565.33000000000004"/>
    <n v="324.99"/>
    <n v="1741.22"/>
    <n v="1299.96"/>
    <n v="441.26"/>
    <x v="3"/>
    <x v="3"/>
    <n v="0.25342001585095508"/>
    <n v="0.23116550464616761"/>
  </r>
  <r>
    <n v="1966"/>
    <x v="240"/>
    <x v="190"/>
    <x v="1"/>
    <x v="2"/>
    <x v="2"/>
    <x v="1"/>
    <x v="1"/>
    <x v="1"/>
    <n v="3"/>
    <n v="840.68"/>
    <n v="585.26"/>
    <n v="2143.73"/>
    <n v="1755.78"/>
    <n v="387.95"/>
    <x v="25"/>
    <x v="3"/>
    <n v="0.18096961837544839"/>
    <n v="1.5568518423495494"/>
  </r>
  <r>
    <n v="1073"/>
    <x v="241"/>
    <x v="106"/>
    <x v="1"/>
    <x v="1"/>
    <x v="1"/>
    <x v="1"/>
    <x v="3"/>
    <x v="6"/>
    <n v="8"/>
    <n v="965"/>
    <n v="525.14"/>
    <n v="5481.2"/>
    <n v="4201.12"/>
    <n v="1280.08"/>
    <x v="19"/>
    <x v="5"/>
    <n v="0.23354010070787418"/>
    <n v="-0.82669488433189808"/>
  </r>
  <r>
    <n v="1832"/>
    <x v="241"/>
    <x v="191"/>
    <x v="0"/>
    <x v="2"/>
    <x v="0"/>
    <x v="1"/>
    <x v="5"/>
    <x v="22"/>
    <n v="2"/>
    <n v="633.28"/>
    <n v="490.47"/>
    <n v="949.92"/>
    <n v="980.94"/>
    <n v="-31.02"/>
    <x v="7"/>
    <x v="3"/>
    <n v="-3.2655381505811015E-2"/>
    <n v="1.0885653528718211"/>
  </r>
  <r>
    <n v="1180"/>
    <x v="242"/>
    <x v="87"/>
    <x v="1"/>
    <x v="3"/>
    <x v="2"/>
    <x v="0"/>
    <x v="2"/>
    <x v="16"/>
    <n v="9"/>
    <n v="224.94"/>
    <n v="136.13"/>
    <n v="1983.97"/>
    <n v="1225.17"/>
    <n v="758.8"/>
    <x v="0"/>
    <x v="9"/>
    <n v="0.38246546066724796"/>
    <n v="0.19567836207200714"/>
  </r>
  <r>
    <n v="1212"/>
    <x v="242"/>
    <x v="27"/>
    <x v="2"/>
    <x v="0"/>
    <x v="0"/>
    <x v="0"/>
    <x v="7"/>
    <x v="12"/>
    <n v="3"/>
    <n v="930.27"/>
    <n v="706.23"/>
    <n v="2372.19"/>
    <n v="2118.69"/>
    <n v="253.5"/>
    <x v="25"/>
    <x v="6"/>
    <n v="0.1068632782365662"/>
    <n v="-0.68393762725582685"/>
  </r>
  <r>
    <n v="1431"/>
    <x v="242"/>
    <x v="77"/>
    <x v="0"/>
    <x v="3"/>
    <x v="1"/>
    <x v="1"/>
    <x v="3"/>
    <x v="4"/>
    <n v="5"/>
    <n v="156.19999999999999"/>
    <n v="88.37"/>
    <n v="749.76"/>
    <n v="441.85"/>
    <n v="307.91000000000003"/>
    <x v="16"/>
    <x v="7"/>
    <n v="0.41067808365343578"/>
    <n v="-8.3946862996158694E-2"/>
  </r>
  <r>
    <n v="1568"/>
    <x v="242"/>
    <x v="72"/>
    <x v="2"/>
    <x v="2"/>
    <x v="1"/>
    <x v="0"/>
    <x v="0"/>
    <x v="3"/>
    <n v="3"/>
    <n v="260.16000000000003"/>
    <n v="184.83"/>
    <n v="686.82"/>
    <n v="554.49"/>
    <n v="132.33000000000001"/>
    <x v="2"/>
    <x v="2"/>
    <n v="0.19267056870795843"/>
    <n v="6.2433825456451464"/>
  </r>
  <r>
    <n v="1992"/>
    <x v="242"/>
    <x v="5"/>
    <x v="1"/>
    <x v="1"/>
    <x v="1"/>
    <x v="2"/>
    <x v="6"/>
    <x v="17"/>
    <n v="7"/>
    <n v="772.5"/>
    <n v="468.16"/>
    <n v="4974.8999999999996"/>
    <n v="3277.12"/>
    <n v="1697.78"/>
    <x v="14"/>
    <x v="2"/>
    <n v="0.34126917123962291"/>
    <n v="0.17292809905726753"/>
  </r>
  <r>
    <n v="1732"/>
    <x v="243"/>
    <x v="182"/>
    <x v="1"/>
    <x v="2"/>
    <x v="2"/>
    <x v="2"/>
    <x v="6"/>
    <x v="11"/>
    <n v="9"/>
    <n v="853.1"/>
    <n v="520.88"/>
    <n v="5835.2"/>
    <n v="4687.92"/>
    <n v="1147.28"/>
    <x v="17"/>
    <x v="3"/>
    <n v="0.19661365505895256"/>
    <n v="-0.21781601316150262"/>
  </r>
  <r>
    <n v="1283"/>
    <x v="244"/>
    <x v="10"/>
    <x v="0"/>
    <x v="0"/>
    <x v="2"/>
    <x v="0"/>
    <x v="2"/>
    <x v="2"/>
    <n v="8"/>
    <n v="760.7"/>
    <n v="611.23"/>
    <n v="4564.2"/>
    <n v="4889.84"/>
    <n v="-325.64"/>
    <x v="7"/>
    <x v="6"/>
    <n v="-7.1346566758687169E-2"/>
    <n v="-0.93735375312212432"/>
  </r>
  <r>
    <n v="1559"/>
    <x v="244"/>
    <x v="121"/>
    <x v="1"/>
    <x v="0"/>
    <x v="2"/>
    <x v="0"/>
    <x v="0"/>
    <x v="3"/>
    <n v="10"/>
    <n v="31.77"/>
    <n v="25.8"/>
    <n v="285.93"/>
    <n v="258"/>
    <n v="27.93"/>
    <x v="22"/>
    <x v="2"/>
    <n v="9.7681250655754906E-2"/>
    <n v="6.4480117511278987"/>
  </r>
  <r>
    <n v="1655"/>
    <x v="245"/>
    <x v="91"/>
    <x v="0"/>
    <x v="3"/>
    <x v="0"/>
    <x v="1"/>
    <x v="3"/>
    <x v="15"/>
    <n v="8"/>
    <n v="364.66"/>
    <n v="279.2"/>
    <n v="2129.61"/>
    <n v="2233.6"/>
    <n v="-103.99"/>
    <x v="24"/>
    <x v="1"/>
    <n v="-4.8830537046689292E-2"/>
    <n v="-0.13944806795610465"/>
  </r>
  <r>
    <n v="1168"/>
    <x v="246"/>
    <x v="2"/>
    <x v="2"/>
    <x v="3"/>
    <x v="1"/>
    <x v="2"/>
    <x v="6"/>
    <x v="13"/>
    <n v="6"/>
    <n v="305.44"/>
    <n v="230"/>
    <n v="1832.64"/>
    <n v="1380"/>
    <n v="452.64"/>
    <x v="18"/>
    <x v="5"/>
    <n v="0.24698795180722891"/>
    <n v="-0.74421599441243236"/>
  </r>
  <r>
    <n v="1102"/>
    <x v="247"/>
    <x v="192"/>
    <x v="1"/>
    <x v="0"/>
    <x v="0"/>
    <x v="2"/>
    <x v="8"/>
    <x v="24"/>
    <n v="2"/>
    <n v="275.74"/>
    <n v="201.75"/>
    <n v="468.76"/>
    <n v="403.5"/>
    <n v="65.260000000000005"/>
    <x v="25"/>
    <x v="0"/>
    <n v="0.13921836334158205"/>
    <n v="-0.33070227835139515"/>
  </r>
  <r>
    <n v="1500"/>
    <x v="247"/>
    <x v="34"/>
    <x v="1"/>
    <x v="2"/>
    <x v="3"/>
    <x v="2"/>
    <x v="8"/>
    <x v="20"/>
    <n v="6"/>
    <n v="67.91"/>
    <n v="40.47"/>
    <n v="313.74"/>
    <n v="242.82"/>
    <n v="70.92"/>
    <x v="3"/>
    <x v="8"/>
    <n v="0.22604704532415376"/>
    <n v="4.9945815006056021E-2"/>
  </r>
  <r>
    <n v="1091"/>
    <x v="248"/>
    <x v="193"/>
    <x v="1"/>
    <x v="0"/>
    <x v="3"/>
    <x v="2"/>
    <x v="8"/>
    <x v="19"/>
    <n v="3"/>
    <n v="114.38"/>
    <n v="91.88"/>
    <n v="329.41"/>
    <n v="275.64"/>
    <n v="53.77"/>
    <x v="16"/>
    <x v="5"/>
    <n v="0.16323123159588354"/>
    <n v="7.889772623781913"/>
  </r>
  <r>
    <n v="1845"/>
    <x v="248"/>
    <x v="194"/>
    <x v="1"/>
    <x v="3"/>
    <x v="2"/>
    <x v="1"/>
    <x v="5"/>
    <x v="26"/>
    <n v="5"/>
    <n v="603.79"/>
    <n v="413.32"/>
    <n v="2928.38"/>
    <n v="2066.6"/>
    <n v="861.78"/>
    <x v="28"/>
    <x v="3"/>
    <n v="0.29428557769141983"/>
    <n v="-0.82133466285113277"/>
  </r>
  <r>
    <n v="1595"/>
    <x v="249"/>
    <x v="100"/>
    <x v="1"/>
    <x v="1"/>
    <x v="3"/>
    <x v="1"/>
    <x v="3"/>
    <x v="4"/>
    <n v="3"/>
    <n v="215.31"/>
    <n v="111.32"/>
    <n v="523.20000000000005"/>
    <n v="333.96"/>
    <n v="189.24"/>
    <x v="21"/>
    <x v="5"/>
    <n v="0.36169724770642203"/>
    <n v="0.7314029051987766"/>
  </r>
  <r>
    <n v="1055"/>
    <x v="250"/>
    <x v="125"/>
    <x v="0"/>
    <x v="3"/>
    <x v="3"/>
    <x v="0"/>
    <x v="2"/>
    <x v="5"/>
    <n v="4"/>
    <n v="318.97000000000003"/>
    <n v="242.42"/>
    <n v="905.87"/>
    <n v="969.68"/>
    <n v="-63.81"/>
    <x v="19"/>
    <x v="8"/>
    <n v="-7.0440570942850528E-2"/>
    <n v="2.0822524203252124"/>
  </r>
  <r>
    <n v="1305"/>
    <x v="250"/>
    <x v="140"/>
    <x v="2"/>
    <x v="0"/>
    <x v="0"/>
    <x v="1"/>
    <x v="3"/>
    <x v="15"/>
    <n v="3"/>
    <n v="949.7"/>
    <n v="733.96"/>
    <n v="2792.12"/>
    <n v="2201.88"/>
    <n v="590.24"/>
    <x v="0"/>
    <x v="2"/>
    <n v="0.21139492571952495"/>
    <n v="-0.62143460882770085"/>
  </r>
  <r>
    <n v="1869"/>
    <x v="251"/>
    <x v="41"/>
    <x v="0"/>
    <x v="3"/>
    <x v="3"/>
    <x v="2"/>
    <x v="8"/>
    <x v="19"/>
    <n v="10"/>
    <n v="127.35"/>
    <n v="99.12"/>
    <n v="1057"/>
    <n v="991.2"/>
    <n v="65.8"/>
    <x v="30"/>
    <x v="5"/>
    <n v="6.225165562913907E-2"/>
    <n v="3.4369536423841058"/>
  </r>
  <r>
    <n v="1518"/>
    <x v="252"/>
    <x v="104"/>
    <x v="2"/>
    <x v="1"/>
    <x v="2"/>
    <x v="1"/>
    <x v="5"/>
    <x v="26"/>
    <n v="6"/>
    <n v="898.44"/>
    <n v="607.57000000000005"/>
    <n v="4689.8599999999997"/>
    <n v="3645.42"/>
    <n v="1044.44"/>
    <x v="6"/>
    <x v="7"/>
    <n v="0.22270174376207394"/>
    <n v="-0.73183208027531732"/>
  </r>
  <r>
    <n v="1052"/>
    <x v="253"/>
    <x v="157"/>
    <x v="0"/>
    <x v="2"/>
    <x v="1"/>
    <x v="2"/>
    <x v="6"/>
    <x v="13"/>
    <n v="6"/>
    <n v="283.26"/>
    <n v="200.73"/>
    <n v="1257.67"/>
    <n v="1204.3800000000001"/>
    <n v="53.29"/>
    <x v="26"/>
    <x v="6"/>
    <n v="4.2372005375018881E-2"/>
    <n v="1.4097179705328107"/>
  </r>
  <r>
    <n v="1418"/>
    <x v="253"/>
    <x v="195"/>
    <x v="1"/>
    <x v="0"/>
    <x v="1"/>
    <x v="0"/>
    <x v="2"/>
    <x v="2"/>
    <n v="9"/>
    <n v="437.32"/>
    <n v="325.48"/>
    <n v="3030.63"/>
    <n v="2929.32"/>
    <n v="101.31"/>
    <x v="3"/>
    <x v="0"/>
    <n v="3.3428693044020547E-2"/>
    <n v="5.7938448441413069E-2"/>
  </r>
  <r>
    <n v="1075"/>
    <x v="254"/>
    <x v="26"/>
    <x v="0"/>
    <x v="0"/>
    <x v="3"/>
    <x v="1"/>
    <x v="3"/>
    <x v="15"/>
    <n v="6"/>
    <n v="628.66999999999996"/>
    <n v="509.6"/>
    <n v="3206.22"/>
    <n v="3057.6"/>
    <n v="148.62"/>
    <x v="25"/>
    <x v="6"/>
    <n v="4.6353650092632447E-2"/>
    <n v="-0.73984941769435664"/>
  </r>
  <r>
    <n v="1810"/>
    <x v="255"/>
    <x v="69"/>
    <x v="1"/>
    <x v="1"/>
    <x v="0"/>
    <x v="1"/>
    <x v="3"/>
    <x v="15"/>
    <n v="4"/>
    <n v="212.78"/>
    <n v="151.85"/>
    <n v="834.1"/>
    <n v="607.4"/>
    <n v="226.7"/>
    <x v="0"/>
    <x v="8"/>
    <n v="0.27178995324301641"/>
    <n v="-4.5881788754345981E-2"/>
  </r>
  <r>
    <n v="1117"/>
    <x v="256"/>
    <x v="185"/>
    <x v="2"/>
    <x v="2"/>
    <x v="2"/>
    <x v="2"/>
    <x v="8"/>
    <x v="19"/>
    <n v="2"/>
    <n v="510.15"/>
    <n v="351.45"/>
    <n v="795.83"/>
    <n v="702.9"/>
    <n v="92.93"/>
    <x v="13"/>
    <x v="6"/>
    <n v="0.11677116972217685"/>
    <n v="-0.23257479612480056"/>
  </r>
  <r>
    <n v="1648"/>
    <x v="256"/>
    <x v="194"/>
    <x v="1"/>
    <x v="3"/>
    <x v="0"/>
    <x v="1"/>
    <x v="5"/>
    <x v="22"/>
    <n v="1"/>
    <n v="610.74"/>
    <n v="306.27999999999997"/>
    <n v="610.74"/>
    <n v="306.27999999999997"/>
    <n v="304.45999999999998"/>
    <x v="18"/>
    <x v="8"/>
    <n v="0.49851000425713066"/>
    <n v="11.745636441038741"/>
  </r>
  <r>
    <n v="1270"/>
    <x v="257"/>
    <x v="196"/>
    <x v="0"/>
    <x v="2"/>
    <x v="0"/>
    <x v="1"/>
    <x v="5"/>
    <x v="26"/>
    <n v="10"/>
    <n v="985.35"/>
    <n v="800.72"/>
    <n v="7784.27"/>
    <n v="8007.2"/>
    <n v="-222.93"/>
    <x v="1"/>
    <x v="4"/>
    <n v="-2.8638523586669011E-2"/>
    <n v="-0.32809884549225554"/>
  </r>
  <r>
    <n v="1025"/>
    <x v="258"/>
    <x v="101"/>
    <x v="1"/>
    <x v="3"/>
    <x v="1"/>
    <x v="0"/>
    <x v="2"/>
    <x v="5"/>
    <n v="7"/>
    <n v="830.2"/>
    <n v="427.91"/>
    <n v="5230.26"/>
    <n v="2995.37"/>
    <n v="2234.89"/>
    <x v="22"/>
    <x v="8"/>
    <n v="0.42729998126288171"/>
    <n v="-6.8157223541468387E-2"/>
  </r>
  <r>
    <n v="1378"/>
    <x v="258"/>
    <x v="151"/>
    <x v="0"/>
    <x v="1"/>
    <x v="2"/>
    <x v="0"/>
    <x v="7"/>
    <x v="25"/>
    <n v="6"/>
    <n v="855.05"/>
    <n v="511.21"/>
    <n v="4873.78"/>
    <n v="3067.26"/>
    <n v="1806.52"/>
    <x v="10"/>
    <x v="8"/>
    <n v="0.37066096541083104"/>
    <n v="-0.34389734456622989"/>
  </r>
  <r>
    <n v="1384"/>
    <x v="258"/>
    <x v="85"/>
    <x v="0"/>
    <x v="3"/>
    <x v="3"/>
    <x v="1"/>
    <x v="3"/>
    <x v="15"/>
    <n v="5"/>
    <n v="888.25"/>
    <n v="686.92"/>
    <n v="3197.7"/>
    <n v="3434.6"/>
    <n v="-236.9"/>
    <x v="11"/>
    <x v="9"/>
    <n v="-7.4084498233105048E-2"/>
    <n v="1.2614410357444414"/>
  </r>
  <r>
    <n v="1470"/>
    <x v="259"/>
    <x v="74"/>
    <x v="2"/>
    <x v="1"/>
    <x v="2"/>
    <x v="0"/>
    <x v="2"/>
    <x v="2"/>
    <n v="9"/>
    <n v="968.06"/>
    <n v="484.32"/>
    <n v="7231.41"/>
    <n v="4358.88"/>
    <n v="2872.53"/>
    <x v="30"/>
    <x v="5"/>
    <n v="0.39722958593137442"/>
    <n v="-0.97144816847613391"/>
  </r>
  <r>
    <n v="1032"/>
    <x v="260"/>
    <x v="86"/>
    <x v="0"/>
    <x v="1"/>
    <x v="0"/>
    <x v="0"/>
    <x v="7"/>
    <x v="12"/>
    <n v="5"/>
    <n v="49.16"/>
    <n v="32.08"/>
    <n v="206.47"/>
    <n v="160.4"/>
    <n v="46.07"/>
    <x v="29"/>
    <x v="6"/>
    <n v="0.22313168983387419"/>
    <n v="19.952922942800402"/>
  </r>
  <r>
    <n v="1160"/>
    <x v="260"/>
    <x v="142"/>
    <x v="2"/>
    <x v="3"/>
    <x v="0"/>
    <x v="0"/>
    <x v="7"/>
    <x v="12"/>
    <n v="6"/>
    <n v="924.39"/>
    <n v="674.43"/>
    <n v="4326.1499999999996"/>
    <n v="4046.58"/>
    <n v="279.57"/>
    <x v="13"/>
    <x v="1"/>
    <n v="6.4623279359245528E-2"/>
    <n v="-0.98505137362319839"/>
  </r>
  <r>
    <n v="1899"/>
    <x v="261"/>
    <x v="65"/>
    <x v="1"/>
    <x v="0"/>
    <x v="1"/>
    <x v="2"/>
    <x v="6"/>
    <x v="11"/>
    <n v="2"/>
    <n v="40.42"/>
    <n v="27.39"/>
    <n v="64.67"/>
    <n v="54.78"/>
    <n v="9.89"/>
    <x v="20"/>
    <x v="4"/>
    <n v="0.15293026132673573"/>
    <n v="8.483222514303387"/>
  </r>
  <r>
    <n v="1931"/>
    <x v="262"/>
    <x v="63"/>
    <x v="2"/>
    <x v="3"/>
    <x v="3"/>
    <x v="0"/>
    <x v="0"/>
    <x v="0"/>
    <n v="3"/>
    <n v="292.04000000000002"/>
    <n v="239.82"/>
    <n v="613.28"/>
    <n v="719.46"/>
    <n v="-106.18"/>
    <x v="8"/>
    <x v="2"/>
    <n v="-0.17313462040177408"/>
    <n v="4.0005870075658763"/>
  </r>
  <r>
    <n v="1504"/>
    <x v="263"/>
    <x v="135"/>
    <x v="1"/>
    <x v="2"/>
    <x v="2"/>
    <x v="2"/>
    <x v="4"/>
    <x v="28"/>
    <n v="10"/>
    <n v="365.09"/>
    <n v="279.8"/>
    <n v="3066.76"/>
    <n v="2798"/>
    <n v="268.76"/>
    <x v="29"/>
    <x v="1"/>
    <n v="8.7636463238075349E-2"/>
    <n v="-0.10334685466094511"/>
  </r>
  <r>
    <n v="1736"/>
    <x v="263"/>
    <x v="75"/>
    <x v="0"/>
    <x v="0"/>
    <x v="3"/>
    <x v="0"/>
    <x v="7"/>
    <x v="12"/>
    <n v="9"/>
    <n v="396.8"/>
    <n v="216.58"/>
    <n v="2749.82"/>
    <n v="1949.22"/>
    <n v="800.6"/>
    <x v="3"/>
    <x v="9"/>
    <n v="0.29114632957793601"/>
    <n v="-0.52585623786284197"/>
  </r>
  <r>
    <n v="1030"/>
    <x v="264"/>
    <x v="64"/>
    <x v="2"/>
    <x v="2"/>
    <x v="0"/>
    <x v="1"/>
    <x v="5"/>
    <x v="26"/>
    <n v="6"/>
    <n v="282.20999999999998"/>
    <n v="147.96"/>
    <n v="1303.81"/>
    <n v="887.76"/>
    <n v="416.05"/>
    <x v="3"/>
    <x v="5"/>
    <n v="0.31910324357076569"/>
    <n v="3.4232671938395942"/>
  </r>
  <r>
    <n v="1268"/>
    <x v="264"/>
    <x v="44"/>
    <x v="2"/>
    <x v="0"/>
    <x v="0"/>
    <x v="0"/>
    <x v="0"/>
    <x v="3"/>
    <n v="7"/>
    <n v="969.26"/>
    <n v="784.71"/>
    <n v="5767.1"/>
    <n v="5492.97"/>
    <n v="274.13"/>
    <x v="25"/>
    <x v="4"/>
    <n v="4.7533422343985707E-2"/>
    <n v="-0.96325883026130976"/>
  </r>
  <r>
    <n v="1269"/>
    <x v="265"/>
    <x v="169"/>
    <x v="2"/>
    <x v="1"/>
    <x v="2"/>
    <x v="2"/>
    <x v="6"/>
    <x v="11"/>
    <n v="1"/>
    <n v="298.43"/>
    <n v="182.51"/>
    <n v="211.89"/>
    <n v="182.51"/>
    <n v="29.38"/>
    <x v="19"/>
    <x v="2"/>
    <n v="0.1386568502524895"/>
    <n v="10.222473925149842"/>
  </r>
  <r>
    <n v="1829"/>
    <x v="265"/>
    <x v="59"/>
    <x v="0"/>
    <x v="1"/>
    <x v="1"/>
    <x v="2"/>
    <x v="6"/>
    <x v="27"/>
    <n v="9"/>
    <n v="287.19"/>
    <n v="232.01"/>
    <n v="2377.9299999999998"/>
    <n v="2088.09"/>
    <n v="289.83999999999997"/>
    <x v="14"/>
    <x v="4"/>
    <n v="0.12188752402299478"/>
    <n v="-0.939401075725526"/>
  </r>
  <r>
    <n v="1747"/>
    <x v="266"/>
    <x v="167"/>
    <x v="1"/>
    <x v="2"/>
    <x v="0"/>
    <x v="1"/>
    <x v="5"/>
    <x v="10"/>
    <n v="1"/>
    <n v="192.13"/>
    <n v="116.22"/>
    <n v="144.1"/>
    <n v="116.22"/>
    <n v="27.88"/>
    <x v="7"/>
    <x v="8"/>
    <n v="0.19347675225537822"/>
    <n v="3.5794587092297014"/>
  </r>
  <r>
    <n v="1524"/>
    <x v="267"/>
    <x v="55"/>
    <x v="2"/>
    <x v="2"/>
    <x v="3"/>
    <x v="2"/>
    <x v="8"/>
    <x v="20"/>
    <n v="3"/>
    <n v="241.72"/>
    <n v="124.34"/>
    <n v="659.9"/>
    <n v="373.02"/>
    <n v="286.88"/>
    <x v="5"/>
    <x v="8"/>
    <n v="0.43473253523261102"/>
    <n v="-0.78593726322170021"/>
  </r>
  <r>
    <n v="1028"/>
    <x v="268"/>
    <x v="37"/>
    <x v="0"/>
    <x v="2"/>
    <x v="2"/>
    <x v="2"/>
    <x v="8"/>
    <x v="18"/>
    <n v="1"/>
    <n v="183.46"/>
    <n v="151.09"/>
    <n v="141.26"/>
    <n v="151.09"/>
    <n v="-9.83"/>
    <x v="3"/>
    <x v="4"/>
    <n v="-6.9587993770352546E-2"/>
    <n v="8.9808863089338828"/>
  </r>
  <r>
    <n v="1453"/>
    <x v="268"/>
    <x v="134"/>
    <x v="0"/>
    <x v="0"/>
    <x v="3"/>
    <x v="0"/>
    <x v="7"/>
    <x v="14"/>
    <n v="3"/>
    <n v="573.13"/>
    <n v="364.71"/>
    <n v="1409.9"/>
    <n v="1094.1300000000001"/>
    <n v="315.77"/>
    <x v="23"/>
    <x v="3"/>
    <n v="0.22396623874033617"/>
    <n v="2.0721327753741394"/>
  </r>
  <r>
    <n v="1253"/>
    <x v="269"/>
    <x v="124"/>
    <x v="2"/>
    <x v="3"/>
    <x v="3"/>
    <x v="2"/>
    <x v="8"/>
    <x v="18"/>
    <n v="8"/>
    <n v="558.16999999999996"/>
    <n v="386.56"/>
    <n v="4331.3999999999996"/>
    <n v="3092.48"/>
    <n v="1238.92"/>
    <x v="28"/>
    <x v="2"/>
    <n v="0.28603222976404863"/>
    <n v="9.8169183174031505E-2"/>
  </r>
  <r>
    <n v="1762"/>
    <x v="269"/>
    <x v="73"/>
    <x v="0"/>
    <x v="3"/>
    <x v="3"/>
    <x v="0"/>
    <x v="2"/>
    <x v="5"/>
    <n v="6"/>
    <n v="890.75"/>
    <n v="503.41"/>
    <n v="4756.6099999999997"/>
    <n v="3020.46"/>
    <n v="1736.15"/>
    <x v="12"/>
    <x v="2"/>
    <n v="0.36499734054294974"/>
    <n v="-0.88178135268605162"/>
  </r>
  <r>
    <n v="1996"/>
    <x v="270"/>
    <x v="135"/>
    <x v="0"/>
    <x v="3"/>
    <x v="3"/>
    <x v="1"/>
    <x v="5"/>
    <x v="22"/>
    <n v="2"/>
    <n v="360.46"/>
    <n v="184.85"/>
    <n v="562.32000000000005"/>
    <n v="369.7"/>
    <n v="192.62"/>
    <x v="13"/>
    <x v="1"/>
    <n v="0.34254517000995871"/>
    <n v="4.4156352254943796"/>
  </r>
  <r>
    <n v="1338"/>
    <x v="271"/>
    <x v="117"/>
    <x v="2"/>
    <x v="3"/>
    <x v="3"/>
    <x v="1"/>
    <x v="5"/>
    <x v="26"/>
    <n v="8"/>
    <n v="384.51"/>
    <n v="302.89"/>
    <n v="3045.32"/>
    <n v="2423.12"/>
    <n v="622.20000000000005"/>
    <x v="27"/>
    <x v="8"/>
    <n v="0.20431350399957968"/>
    <n v="-0.58799403675147444"/>
  </r>
  <r>
    <n v="1412"/>
    <x v="272"/>
    <x v="130"/>
    <x v="0"/>
    <x v="0"/>
    <x v="0"/>
    <x v="0"/>
    <x v="7"/>
    <x v="12"/>
    <n v="9"/>
    <n v="139.41"/>
    <n v="113.15"/>
    <n v="1254.69"/>
    <n v="1018.35"/>
    <n v="236.34"/>
    <x v="18"/>
    <x v="1"/>
    <n v="0.18836525356861056"/>
    <n v="3.1660808645960357"/>
  </r>
  <r>
    <n v="1723"/>
    <x v="273"/>
    <x v="57"/>
    <x v="0"/>
    <x v="0"/>
    <x v="3"/>
    <x v="0"/>
    <x v="2"/>
    <x v="5"/>
    <n v="8"/>
    <n v="871.19"/>
    <n v="558.11"/>
    <n v="5227.1400000000003"/>
    <n v="4464.88"/>
    <n v="762.26"/>
    <x v="7"/>
    <x v="8"/>
    <n v="0.14582735492066407"/>
    <n v="-0.71309167154505138"/>
  </r>
  <r>
    <n v="1923"/>
    <x v="274"/>
    <x v="23"/>
    <x v="1"/>
    <x v="0"/>
    <x v="3"/>
    <x v="1"/>
    <x v="1"/>
    <x v="1"/>
    <n v="4"/>
    <n v="451.72"/>
    <n v="292.08"/>
    <n v="1499.71"/>
    <n v="1168.32"/>
    <n v="331.39"/>
    <x v="30"/>
    <x v="8"/>
    <n v="0.22096938741490019"/>
    <n v="-0.10880770282254573"/>
  </r>
  <r>
    <n v="1989"/>
    <x v="274"/>
    <x v="145"/>
    <x v="2"/>
    <x v="1"/>
    <x v="0"/>
    <x v="1"/>
    <x v="5"/>
    <x v="10"/>
    <n v="8"/>
    <n v="192.03"/>
    <n v="110.21"/>
    <n v="1336.53"/>
    <n v="881.68"/>
    <n v="454.85"/>
    <x v="6"/>
    <x v="5"/>
    <n v="0.3403215790143132"/>
    <n v="-0.18869011544821296"/>
  </r>
  <r>
    <n v="1151"/>
    <x v="275"/>
    <x v="161"/>
    <x v="2"/>
    <x v="1"/>
    <x v="1"/>
    <x v="1"/>
    <x v="1"/>
    <x v="1"/>
    <n v="10"/>
    <n v="123.22"/>
    <n v="103.66"/>
    <n v="1084.3399999999999"/>
    <n v="1036.5999999999999"/>
    <n v="47.74"/>
    <x v="2"/>
    <x v="5"/>
    <n v="4.402678126786802E-2"/>
    <n v="0.57002416216315932"/>
  </r>
  <r>
    <n v="1773"/>
    <x v="276"/>
    <x v="127"/>
    <x v="2"/>
    <x v="0"/>
    <x v="0"/>
    <x v="1"/>
    <x v="3"/>
    <x v="6"/>
    <n v="6"/>
    <n v="363.77"/>
    <n v="285.02"/>
    <n v="1702.44"/>
    <n v="1710.12"/>
    <n v="-7.68"/>
    <x v="13"/>
    <x v="9"/>
    <n v="-4.5111721999013176E-3"/>
    <n v="-2.3807006414322957E-2"/>
  </r>
  <r>
    <n v="1119"/>
    <x v="277"/>
    <x v="156"/>
    <x v="2"/>
    <x v="1"/>
    <x v="3"/>
    <x v="1"/>
    <x v="1"/>
    <x v="23"/>
    <n v="9"/>
    <n v="242.97"/>
    <n v="203.6"/>
    <n v="1661.91"/>
    <n v="1832.4"/>
    <n v="-170.49"/>
    <x v="17"/>
    <x v="1"/>
    <n v="-0.10258678267776233"/>
    <n v="-0.61509347678273796"/>
  </r>
  <r>
    <n v="1347"/>
    <x v="278"/>
    <x v="143"/>
    <x v="1"/>
    <x v="3"/>
    <x v="2"/>
    <x v="0"/>
    <x v="7"/>
    <x v="14"/>
    <n v="2"/>
    <n v="399.8"/>
    <n v="270.17"/>
    <n v="639.67999999999995"/>
    <n v="540.34"/>
    <n v="99.34"/>
    <x v="20"/>
    <x v="9"/>
    <n v="0.15529639819909957"/>
    <n v="1.0886693346673337"/>
  </r>
  <r>
    <n v="1494"/>
    <x v="278"/>
    <x v="30"/>
    <x v="0"/>
    <x v="0"/>
    <x v="1"/>
    <x v="0"/>
    <x v="7"/>
    <x v="12"/>
    <n v="3"/>
    <n v="556.70000000000005"/>
    <n v="466.87"/>
    <n v="1336.08"/>
    <n v="1400.61"/>
    <n v="-64.53"/>
    <x v="20"/>
    <x v="3"/>
    <n v="-4.8298006107418724E-2"/>
    <n v="-0.21542871684330275"/>
  </r>
  <r>
    <n v="1221"/>
    <x v="279"/>
    <x v="30"/>
    <x v="2"/>
    <x v="1"/>
    <x v="2"/>
    <x v="0"/>
    <x v="2"/>
    <x v="16"/>
    <n v="4"/>
    <n v="301.22000000000003"/>
    <n v="255.96"/>
    <n v="1048.25"/>
    <n v="1023.84"/>
    <n v="24.41"/>
    <x v="6"/>
    <x v="5"/>
    <n v="2.32864297638922E-2"/>
    <n v="3.9048032435010733"/>
  </r>
  <r>
    <n v="1120"/>
    <x v="280"/>
    <x v="108"/>
    <x v="0"/>
    <x v="1"/>
    <x v="3"/>
    <x v="0"/>
    <x v="7"/>
    <x v="14"/>
    <n v="7"/>
    <n v="966.44"/>
    <n v="759.54"/>
    <n v="5141.46"/>
    <n v="5316.78"/>
    <n v="-175.32"/>
    <x v="17"/>
    <x v="8"/>
    <n v="-3.4099263633287039E-2"/>
    <n v="-0.166513013813197"/>
  </r>
  <r>
    <n v="1599"/>
    <x v="281"/>
    <x v="58"/>
    <x v="0"/>
    <x v="1"/>
    <x v="0"/>
    <x v="2"/>
    <x v="4"/>
    <x v="21"/>
    <n v="8"/>
    <n v="678.06"/>
    <n v="492.72"/>
    <n v="4285.34"/>
    <n v="3941.76"/>
    <n v="343.58"/>
    <x v="1"/>
    <x v="0"/>
    <n v="8.0175668675064288E-2"/>
    <n v="-0.80480661977812729"/>
  </r>
  <r>
    <n v="1027"/>
    <x v="282"/>
    <x v="167"/>
    <x v="2"/>
    <x v="1"/>
    <x v="2"/>
    <x v="2"/>
    <x v="6"/>
    <x v="13"/>
    <n v="1"/>
    <n v="899.43"/>
    <n v="515.85"/>
    <n v="836.47"/>
    <n v="515.85"/>
    <n v="320.62"/>
    <x v="4"/>
    <x v="2"/>
    <n v="0.38330125407964422"/>
    <n v="0.85328822312814567"/>
  </r>
  <r>
    <n v="1375"/>
    <x v="283"/>
    <x v="0"/>
    <x v="0"/>
    <x v="3"/>
    <x v="1"/>
    <x v="2"/>
    <x v="4"/>
    <x v="21"/>
    <n v="7"/>
    <n v="225.98"/>
    <n v="158.6"/>
    <n v="1550.22"/>
    <n v="1110.2"/>
    <n v="440.02"/>
    <x v="0"/>
    <x v="4"/>
    <n v="0.2838435834913754"/>
    <n v="-0.98827263227154849"/>
  </r>
  <r>
    <n v="1191"/>
    <x v="284"/>
    <x v="73"/>
    <x v="1"/>
    <x v="1"/>
    <x v="1"/>
    <x v="2"/>
    <x v="8"/>
    <x v="18"/>
    <n v="1"/>
    <n v="21.64"/>
    <n v="16.29"/>
    <n v="18.18"/>
    <n v="16.29"/>
    <n v="1.89"/>
    <x v="29"/>
    <x v="3"/>
    <n v="0.10396039603960396"/>
    <n v="163.82618261826184"/>
  </r>
  <r>
    <n v="1594"/>
    <x v="284"/>
    <x v="139"/>
    <x v="2"/>
    <x v="3"/>
    <x v="2"/>
    <x v="2"/>
    <x v="8"/>
    <x v="18"/>
    <n v="8"/>
    <n v="456.79"/>
    <n v="381.11"/>
    <n v="2996.54"/>
    <n v="3048.88"/>
    <n v="-52.34"/>
    <x v="23"/>
    <x v="7"/>
    <n v="-1.7466811722853692E-2"/>
    <n v="0.14858803820406202"/>
  </r>
  <r>
    <n v="1123"/>
    <x v="285"/>
    <x v="140"/>
    <x v="0"/>
    <x v="0"/>
    <x v="3"/>
    <x v="2"/>
    <x v="8"/>
    <x v="24"/>
    <n v="5"/>
    <n v="917.81"/>
    <n v="610.66999999999996"/>
    <n v="3441.79"/>
    <n v="3053.35"/>
    <n v="388.44"/>
    <x v="7"/>
    <x v="0"/>
    <n v="0.11285987814480256"/>
    <n v="0.53339977163045982"/>
  </r>
  <r>
    <n v="1674"/>
    <x v="285"/>
    <x v="189"/>
    <x v="0"/>
    <x v="2"/>
    <x v="3"/>
    <x v="1"/>
    <x v="1"/>
    <x v="1"/>
    <n v="8"/>
    <n v="717.07"/>
    <n v="482.72"/>
    <n v="5277.64"/>
    <n v="3861.76"/>
    <n v="1415.88"/>
    <x v="14"/>
    <x v="4"/>
    <n v="0.26827900349398598"/>
    <n v="-0.70242191585632974"/>
  </r>
  <r>
    <n v="1722"/>
    <x v="286"/>
    <x v="167"/>
    <x v="0"/>
    <x v="1"/>
    <x v="1"/>
    <x v="0"/>
    <x v="7"/>
    <x v="25"/>
    <n v="6"/>
    <n v="373.93"/>
    <n v="303.45999999999998"/>
    <n v="1570.51"/>
    <n v="1820.76"/>
    <n v="-250.25"/>
    <x v="8"/>
    <x v="1"/>
    <n v="-0.15934314331013494"/>
    <n v="0.98720160966819703"/>
  </r>
  <r>
    <n v="1116"/>
    <x v="287"/>
    <x v="174"/>
    <x v="0"/>
    <x v="2"/>
    <x v="0"/>
    <x v="1"/>
    <x v="3"/>
    <x v="15"/>
    <n v="9"/>
    <n v="365.02"/>
    <n v="228.83"/>
    <n v="3120.92"/>
    <n v="2059.4699999999998"/>
    <n v="1061.45"/>
    <x v="10"/>
    <x v="1"/>
    <n v="0.34010804506363507"/>
    <n v="-0.91432974892019026"/>
  </r>
  <r>
    <n v="1929"/>
    <x v="288"/>
    <x v="178"/>
    <x v="2"/>
    <x v="3"/>
    <x v="0"/>
    <x v="2"/>
    <x v="6"/>
    <x v="17"/>
    <n v="6"/>
    <n v="53.05"/>
    <n v="36.14"/>
    <n v="267.37"/>
    <n v="216.84"/>
    <n v="50.53"/>
    <x v="29"/>
    <x v="6"/>
    <n v="0.18898904140329881"/>
    <n v="0.83191831544301909"/>
  </r>
  <r>
    <n v="1945"/>
    <x v="288"/>
    <x v="111"/>
    <x v="1"/>
    <x v="3"/>
    <x v="3"/>
    <x v="1"/>
    <x v="5"/>
    <x v="22"/>
    <n v="1"/>
    <n v="521.05999999999995"/>
    <n v="326.57"/>
    <n v="489.8"/>
    <n v="326.57"/>
    <n v="163.22999999999999"/>
    <x v="15"/>
    <x v="8"/>
    <n v="0.33325847284605958"/>
    <n v="-0.74987750102082484"/>
  </r>
  <r>
    <n v="1105"/>
    <x v="289"/>
    <x v="152"/>
    <x v="2"/>
    <x v="3"/>
    <x v="0"/>
    <x v="0"/>
    <x v="7"/>
    <x v="12"/>
    <n v="7"/>
    <n v="23.65"/>
    <n v="19.45"/>
    <n v="122.51"/>
    <n v="136.15"/>
    <n v="-13.64"/>
    <x v="26"/>
    <x v="9"/>
    <n v="-0.1113378499714309"/>
    <n v="22.87152069218839"/>
  </r>
  <r>
    <n v="1186"/>
    <x v="289"/>
    <x v="189"/>
    <x v="1"/>
    <x v="3"/>
    <x v="3"/>
    <x v="0"/>
    <x v="0"/>
    <x v="3"/>
    <n v="8"/>
    <n v="468.67"/>
    <n v="366.02"/>
    <n v="2924.5"/>
    <n v="2928.16"/>
    <n v="-3.66"/>
    <x v="13"/>
    <x v="5"/>
    <n v="-1.2514959822191828E-3"/>
    <n v="-0.78363822875705247"/>
  </r>
  <r>
    <n v="1711"/>
    <x v="289"/>
    <x v="6"/>
    <x v="0"/>
    <x v="3"/>
    <x v="1"/>
    <x v="1"/>
    <x v="3"/>
    <x v="15"/>
    <n v="2"/>
    <n v="336.57"/>
    <n v="252.5"/>
    <n v="632.75"/>
    <n v="505"/>
    <n v="127.75"/>
    <x v="15"/>
    <x v="1"/>
    <n v="0.20189648360331885"/>
    <n v="4.0853417621493519E-2"/>
  </r>
  <r>
    <n v="1804"/>
    <x v="289"/>
    <x v="61"/>
    <x v="0"/>
    <x v="1"/>
    <x v="2"/>
    <x v="0"/>
    <x v="2"/>
    <x v="5"/>
    <n v="2"/>
    <n v="365.89"/>
    <n v="282.68"/>
    <n v="658.6"/>
    <n v="565.36"/>
    <n v="93.24"/>
    <x v="22"/>
    <x v="1"/>
    <n v="0.14157303370786514"/>
    <n v="8.2852717886425733"/>
  </r>
  <r>
    <n v="1428"/>
    <x v="290"/>
    <x v="82"/>
    <x v="1"/>
    <x v="2"/>
    <x v="1"/>
    <x v="2"/>
    <x v="4"/>
    <x v="28"/>
    <n v="7"/>
    <n v="970.68"/>
    <n v="794.41"/>
    <n v="6115.28"/>
    <n v="5560.87"/>
    <n v="554.41"/>
    <x v="22"/>
    <x v="6"/>
    <n v="9.0659789903324128E-2"/>
    <n v="-0.99328076555775036"/>
  </r>
  <r>
    <n v="1968"/>
    <x v="290"/>
    <x v="151"/>
    <x v="1"/>
    <x v="0"/>
    <x v="2"/>
    <x v="0"/>
    <x v="0"/>
    <x v="3"/>
    <n v="4"/>
    <n v="10.59"/>
    <n v="6.45"/>
    <n v="41.09"/>
    <n v="25.8"/>
    <n v="15.29"/>
    <x v="28"/>
    <x v="5"/>
    <n v="0.37211000243368209"/>
    <n v="14.353370649793135"/>
  </r>
  <r>
    <n v="1298"/>
    <x v="291"/>
    <x v="121"/>
    <x v="1"/>
    <x v="2"/>
    <x v="3"/>
    <x v="2"/>
    <x v="6"/>
    <x v="27"/>
    <n v="1"/>
    <n v="678.36"/>
    <n v="487.97"/>
    <n v="630.87"/>
    <n v="487.97"/>
    <n v="142.9"/>
    <x v="4"/>
    <x v="5"/>
    <n v="0.2265125937197838"/>
    <n v="5.1673244884049012"/>
  </r>
  <r>
    <n v="1219"/>
    <x v="292"/>
    <x v="171"/>
    <x v="1"/>
    <x v="1"/>
    <x v="1"/>
    <x v="1"/>
    <x v="1"/>
    <x v="9"/>
    <n v="8"/>
    <n v="491.26"/>
    <n v="259.83999999999997"/>
    <n v="3890.78"/>
    <n v="2078.7199999999998"/>
    <n v="1812.06"/>
    <x v="27"/>
    <x v="1"/>
    <n v="0.46573180698985805"/>
    <n v="-0.53159263695197367"/>
  </r>
  <r>
    <n v="1234"/>
    <x v="292"/>
    <x v="187"/>
    <x v="0"/>
    <x v="2"/>
    <x v="2"/>
    <x v="0"/>
    <x v="7"/>
    <x v="12"/>
    <n v="4"/>
    <n v="555.63"/>
    <n v="394.5"/>
    <n v="1822.47"/>
    <n v="1578"/>
    <n v="244.47"/>
    <x v="23"/>
    <x v="7"/>
    <n v="0.13414212579630941"/>
    <n v="-0.58444857802871919"/>
  </r>
  <r>
    <n v="1691"/>
    <x v="292"/>
    <x v="197"/>
    <x v="2"/>
    <x v="0"/>
    <x v="1"/>
    <x v="1"/>
    <x v="5"/>
    <x v="10"/>
    <n v="3"/>
    <n v="277.41000000000003"/>
    <n v="199.69"/>
    <n v="757.33"/>
    <n v="599.07000000000005"/>
    <n v="158.26"/>
    <x v="5"/>
    <x v="2"/>
    <n v="0.20897099018921736"/>
    <n v="-0.63561459337409065"/>
  </r>
  <r>
    <n v="1990"/>
    <x v="292"/>
    <x v="198"/>
    <x v="0"/>
    <x v="2"/>
    <x v="3"/>
    <x v="0"/>
    <x v="0"/>
    <x v="3"/>
    <n v="8"/>
    <n v="39.65"/>
    <n v="33.130000000000003"/>
    <n v="275.95999999999998"/>
    <n v="265.04000000000002"/>
    <n v="10.92"/>
    <x v="6"/>
    <x v="8"/>
    <n v="3.9570952311929267E-2"/>
    <n v="2.1606392230758082"/>
  </r>
  <r>
    <n v="1856"/>
    <x v="293"/>
    <x v="90"/>
    <x v="1"/>
    <x v="2"/>
    <x v="1"/>
    <x v="2"/>
    <x v="8"/>
    <x v="19"/>
    <n v="7"/>
    <n v="168.38"/>
    <n v="102.29"/>
    <n v="872.21"/>
    <n v="716.03"/>
    <n v="156.18"/>
    <x v="26"/>
    <x v="2"/>
    <n v="0.17906238176585915"/>
    <n v="1.635833113585031"/>
  </r>
  <r>
    <n v="1884"/>
    <x v="294"/>
    <x v="86"/>
    <x v="2"/>
    <x v="1"/>
    <x v="1"/>
    <x v="0"/>
    <x v="2"/>
    <x v="5"/>
    <n v="5"/>
    <n v="459.8"/>
    <n v="320.7"/>
    <n v="2299"/>
    <n v="1603.5"/>
    <n v="695.5"/>
    <x v="18"/>
    <x v="3"/>
    <n v="0.30252283601565899"/>
    <n v="1.0763505872118311"/>
  </r>
  <r>
    <n v="1114"/>
    <x v="295"/>
    <x v="42"/>
    <x v="0"/>
    <x v="0"/>
    <x v="3"/>
    <x v="2"/>
    <x v="6"/>
    <x v="11"/>
    <n v="9"/>
    <n v="679.99"/>
    <n v="407.62"/>
    <n v="4773.53"/>
    <n v="3668.58"/>
    <n v="1104.95"/>
    <x v="13"/>
    <x v="9"/>
    <n v="0.23147440154351184"/>
    <n v="-0.485123168807989"/>
  </r>
  <r>
    <n v="1137"/>
    <x v="295"/>
    <x v="117"/>
    <x v="2"/>
    <x v="3"/>
    <x v="3"/>
    <x v="1"/>
    <x v="1"/>
    <x v="23"/>
    <n v="10"/>
    <n v="289.14999999999998"/>
    <n v="237.32"/>
    <n v="2457.7800000000002"/>
    <n v="2373.1999999999998"/>
    <n v="84.58"/>
    <x v="25"/>
    <x v="2"/>
    <n v="3.4413169608345742E-2"/>
    <n v="-0.67965806540862084"/>
  </r>
  <r>
    <n v="1321"/>
    <x v="295"/>
    <x v="108"/>
    <x v="1"/>
    <x v="3"/>
    <x v="1"/>
    <x v="0"/>
    <x v="7"/>
    <x v="14"/>
    <n v="4"/>
    <n v="277.23"/>
    <n v="232.11"/>
    <n v="787.33"/>
    <n v="928.44"/>
    <n v="-141.11000000000001"/>
    <x v="19"/>
    <x v="0"/>
    <n v="-0.17922599164264033"/>
    <n v="2.7824292228163539"/>
  </r>
  <r>
    <n v="1259"/>
    <x v="296"/>
    <x v="63"/>
    <x v="2"/>
    <x v="3"/>
    <x v="2"/>
    <x v="2"/>
    <x v="6"/>
    <x v="11"/>
    <n v="8"/>
    <n v="531.79"/>
    <n v="408.62"/>
    <n v="2978.02"/>
    <n v="3268.96"/>
    <n v="-290.94"/>
    <x v="8"/>
    <x v="8"/>
    <n v="-9.7695784447384498E-2"/>
    <n v="-0.66875642205223607"/>
  </r>
  <r>
    <n v="1197"/>
    <x v="297"/>
    <x v="148"/>
    <x v="1"/>
    <x v="3"/>
    <x v="1"/>
    <x v="1"/>
    <x v="5"/>
    <x v="22"/>
    <n v="2"/>
    <n v="503.29"/>
    <n v="423.27"/>
    <n v="986.45"/>
    <n v="846.54"/>
    <n v="139.91"/>
    <x v="0"/>
    <x v="4"/>
    <n v="0.14183182117694762"/>
    <n v="-0.52939327892949462"/>
  </r>
  <r>
    <n v="1200"/>
    <x v="297"/>
    <x v="70"/>
    <x v="2"/>
    <x v="0"/>
    <x v="0"/>
    <x v="0"/>
    <x v="0"/>
    <x v="7"/>
    <n v="5"/>
    <n v="106.72"/>
    <n v="56.62"/>
    <n v="464.23"/>
    <n v="283.10000000000002"/>
    <n v="181.13"/>
    <x v="6"/>
    <x v="6"/>
    <n v="0.39017297460310618"/>
    <n v="11.33582491437434"/>
  </r>
  <r>
    <n v="1469"/>
    <x v="298"/>
    <x v="87"/>
    <x v="0"/>
    <x v="2"/>
    <x v="2"/>
    <x v="1"/>
    <x v="1"/>
    <x v="9"/>
    <n v="10"/>
    <n v="795.37"/>
    <n v="586.86"/>
    <n v="5726.66"/>
    <n v="5868.6"/>
    <n v="-141.94"/>
    <x v="11"/>
    <x v="4"/>
    <n v="-2.4785826293162158E-2"/>
    <n v="-0.49300988708950766"/>
  </r>
  <r>
    <n v="1896"/>
    <x v="298"/>
    <x v="199"/>
    <x v="2"/>
    <x v="2"/>
    <x v="3"/>
    <x v="2"/>
    <x v="4"/>
    <x v="8"/>
    <n v="4"/>
    <n v="853.93"/>
    <n v="705.46"/>
    <n v="2903.36"/>
    <n v="2821.84"/>
    <n v="81.52"/>
    <x v="25"/>
    <x v="4"/>
    <n v="2.8077813292185602E-2"/>
    <n v="-0.92494213600793562"/>
  </r>
  <r>
    <n v="1239"/>
    <x v="299"/>
    <x v="96"/>
    <x v="1"/>
    <x v="0"/>
    <x v="3"/>
    <x v="1"/>
    <x v="1"/>
    <x v="1"/>
    <n v="4"/>
    <n v="62.62"/>
    <n v="33.200000000000003"/>
    <n v="217.92"/>
    <n v="132.80000000000001"/>
    <n v="85.12"/>
    <x v="6"/>
    <x v="0"/>
    <n v="0.39060205580029372"/>
    <n v="3.3598568281938332"/>
  </r>
  <r>
    <n v="1485"/>
    <x v="299"/>
    <x v="200"/>
    <x v="1"/>
    <x v="2"/>
    <x v="2"/>
    <x v="1"/>
    <x v="1"/>
    <x v="1"/>
    <n v="3"/>
    <n v="316.7"/>
    <n v="159.52000000000001"/>
    <n v="950.1"/>
    <n v="478.56"/>
    <n v="471.54"/>
    <x v="18"/>
    <x v="2"/>
    <n v="0.49630565203662774"/>
    <n v="3.0385117356067779"/>
  </r>
  <r>
    <n v="1149"/>
    <x v="300"/>
    <x v="80"/>
    <x v="2"/>
    <x v="2"/>
    <x v="3"/>
    <x v="2"/>
    <x v="8"/>
    <x v="19"/>
    <n v="8"/>
    <n v="599.53"/>
    <n v="476.62"/>
    <n v="3836.99"/>
    <n v="3812.96"/>
    <n v="24.03"/>
    <x v="20"/>
    <x v="3"/>
    <n v="6.2627215603897855E-3"/>
    <n v="0.49466639214592706"/>
  </r>
  <r>
    <n v="1206"/>
    <x v="300"/>
    <x v="122"/>
    <x v="1"/>
    <x v="2"/>
    <x v="2"/>
    <x v="1"/>
    <x v="3"/>
    <x v="6"/>
    <n v="8"/>
    <n v="943.26"/>
    <n v="540.84"/>
    <n v="5735.02"/>
    <n v="4326.72"/>
    <n v="1408.3"/>
    <x v="17"/>
    <x v="2"/>
    <n v="0.24556148016920601"/>
    <n v="-0.75533999881430225"/>
  </r>
  <r>
    <n v="1256"/>
    <x v="301"/>
    <x v="51"/>
    <x v="0"/>
    <x v="1"/>
    <x v="2"/>
    <x v="0"/>
    <x v="2"/>
    <x v="5"/>
    <n v="5"/>
    <n v="283.45999999999998"/>
    <n v="229.38"/>
    <n v="1403.13"/>
    <n v="1146.9000000000001"/>
    <n v="256.23"/>
    <x v="27"/>
    <x v="9"/>
    <n v="0.18261315772594128"/>
    <n v="-0.74591805463499461"/>
  </r>
  <r>
    <n v="1700"/>
    <x v="301"/>
    <x v="25"/>
    <x v="2"/>
    <x v="2"/>
    <x v="0"/>
    <x v="0"/>
    <x v="0"/>
    <x v="0"/>
    <n v="1"/>
    <n v="405.13"/>
    <n v="247.41"/>
    <n v="356.51"/>
    <n v="247.41"/>
    <n v="109.1"/>
    <x v="2"/>
    <x v="0"/>
    <n v="0.30602227146503602"/>
    <n v="-7.9156264901405204E-2"/>
  </r>
  <r>
    <n v="1985"/>
    <x v="302"/>
    <x v="13"/>
    <x v="2"/>
    <x v="2"/>
    <x v="2"/>
    <x v="2"/>
    <x v="6"/>
    <x v="13"/>
    <n v="2"/>
    <n v="188.67"/>
    <n v="150.97999999999999"/>
    <n v="328.29"/>
    <n v="301.95999999999998"/>
    <n v="26.33"/>
    <x v="6"/>
    <x v="1"/>
    <n v="8.0203478631697578E-2"/>
    <n v="2.0747814432361626"/>
  </r>
  <r>
    <n v="1193"/>
    <x v="303"/>
    <x v="23"/>
    <x v="0"/>
    <x v="1"/>
    <x v="2"/>
    <x v="1"/>
    <x v="5"/>
    <x v="26"/>
    <n v="2"/>
    <n v="655.47"/>
    <n v="524.62"/>
    <n v="1009.42"/>
    <n v="1049.24"/>
    <n v="-39.82"/>
    <x v="3"/>
    <x v="2"/>
    <n v="-3.9448396108656456E-2"/>
    <n v="-0.57815379128608502"/>
  </r>
  <r>
    <n v="1386"/>
    <x v="303"/>
    <x v="1"/>
    <x v="2"/>
    <x v="1"/>
    <x v="0"/>
    <x v="2"/>
    <x v="6"/>
    <x v="11"/>
    <n v="2"/>
    <n v="266.14"/>
    <n v="147.53"/>
    <n v="425.82"/>
    <n v="295.06"/>
    <n v="130.76"/>
    <x v="20"/>
    <x v="4"/>
    <n v="0.30707810812080222"/>
    <n v="2.6973838711192526"/>
  </r>
  <r>
    <n v="1530"/>
    <x v="304"/>
    <x v="201"/>
    <x v="0"/>
    <x v="3"/>
    <x v="1"/>
    <x v="0"/>
    <x v="2"/>
    <x v="2"/>
    <n v="6"/>
    <n v="354.6"/>
    <n v="298.62"/>
    <n v="1574.42"/>
    <n v="1791.72"/>
    <n v="-217.3"/>
    <x v="26"/>
    <x v="2"/>
    <n v="-0.13801908004217425"/>
    <n v="3.1046036000558934"/>
  </r>
  <r>
    <n v="1778"/>
    <x v="304"/>
    <x v="114"/>
    <x v="1"/>
    <x v="0"/>
    <x v="2"/>
    <x v="0"/>
    <x v="7"/>
    <x v="25"/>
    <n v="9"/>
    <n v="780.48"/>
    <n v="499.74"/>
    <n v="6462.37"/>
    <n v="4497.66"/>
    <n v="1964.71"/>
    <x v="14"/>
    <x v="8"/>
    <n v="0.30402313702248557"/>
    <n v="-0.36133338078754385"/>
  </r>
  <r>
    <n v="1904"/>
    <x v="304"/>
    <x v="114"/>
    <x v="2"/>
    <x v="0"/>
    <x v="0"/>
    <x v="0"/>
    <x v="7"/>
    <x v="12"/>
    <n v="8"/>
    <n v="706.73"/>
    <n v="554.57000000000005"/>
    <n v="4127.3"/>
    <n v="4436.5600000000004"/>
    <n v="-309.26"/>
    <x v="24"/>
    <x v="1"/>
    <n v="-7.4930341869987635E-2"/>
    <n v="-0.75782230513895288"/>
  </r>
  <r>
    <n v="1991"/>
    <x v="304"/>
    <x v="128"/>
    <x v="2"/>
    <x v="1"/>
    <x v="0"/>
    <x v="0"/>
    <x v="7"/>
    <x v="14"/>
    <n v="2"/>
    <n v="657.59"/>
    <n v="421.89"/>
    <n v="999.54"/>
    <n v="843.78"/>
    <n v="155.76"/>
    <x v="17"/>
    <x v="8"/>
    <n v="0.15583168257398403"/>
    <n v="3.6804430037817397"/>
  </r>
  <r>
    <n v="1749"/>
    <x v="305"/>
    <x v="54"/>
    <x v="0"/>
    <x v="1"/>
    <x v="2"/>
    <x v="1"/>
    <x v="5"/>
    <x v="10"/>
    <n v="5"/>
    <n v="995.38"/>
    <n v="740.44"/>
    <n v="4678.29"/>
    <n v="3702.2"/>
    <n v="976.09"/>
    <x v="15"/>
    <x v="5"/>
    <n v="0.20864247406637895"/>
    <n v="-0.76322972710114156"/>
  </r>
  <r>
    <n v="1465"/>
    <x v="306"/>
    <x v="202"/>
    <x v="2"/>
    <x v="2"/>
    <x v="2"/>
    <x v="0"/>
    <x v="0"/>
    <x v="0"/>
    <n v="6"/>
    <n v="212.2"/>
    <n v="157.65"/>
    <n v="1107.68"/>
    <n v="945.9"/>
    <n v="161.78"/>
    <x v="6"/>
    <x v="4"/>
    <n v="0.14605301170012999"/>
    <n v="0.34317672974144142"/>
  </r>
  <r>
    <n v="1803"/>
    <x v="306"/>
    <x v="181"/>
    <x v="2"/>
    <x v="1"/>
    <x v="2"/>
    <x v="1"/>
    <x v="3"/>
    <x v="4"/>
    <n v="2"/>
    <n v="817.48"/>
    <n v="542.77"/>
    <n v="1487.81"/>
    <n v="1085.54"/>
    <n v="402.27"/>
    <x v="5"/>
    <x v="4"/>
    <n v="0.27037726591433048"/>
    <n v="-0.16926220417929705"/>
  </r>
  <r>
    <n v="1094"/>
    <x v="307"/>
    <x v="67"/>
    <x v="2"/>
    <x v="1"/>
    <x v="1"/>
    <x v="2"/>
    <x v="8"/>
    <x v="19"/>
    <n v="10"/>
    <n v="152.59"/>
    <n v="83.03"/>
    <n v="1235.98"/>
    <n v="830.3"/>
    <n v="405.68"/>
    <x v="21"/>
    <x v="9"/>
    <n v="0.32822537581514266"/>
    <n v="-0.19953397304163498"/>
  </r>
  <r>
    <n v="1564"/>
    <x v="307"/>
    <x v="131"/>
    <x v="1"/>
    <x v="0"/>
    <x v="0"/>
    <x v="1"/>
    <x v="1"/>
    <x v="9"/>
    <n v="2"/>
    <n v="568.6"/>
    <n v="389.99"/>
    <n v="989.36"/>
    <n v="779.98"/>
    <n v="209.38"/>
    <x v="6"/>
    <x v="5"/>
    <n v="0.21163176194711733"/>
    <n v="-0.19341796717069623"/>
  </r>
  <r>
    <n v="1817"/>
    <x v="307"/>
    <x v="122"/>
    <x v="0"/>
    <x v="3"/>
    <x v="1"/>
    <x v="2"/>
    <x v="4"/>
    <x v="8"/>
    <n v="8"/>
    <n v="118.75"/>
    <n v="78.27"/>
    <n v="798"/>
    <n v="626.16"/>
    <n v="171.84"/>
    <x v="29"/>
    <x v="0"/>
    <n v="0.21533834586466166"/>
    <n v="5.6979949874686749E-2"/>
  </r>
  <r>
    <n v="1226"/>
    <x v="308"/>
    <x v="152"/>
    <x v="0"/>
    <x v="3"/>
    <x v="1"/>
    <x v="0"/>
    <x v="0"/>
    <x v="3"/>
    <n v="1"/>
    <n v="869.56"/>
    <n v="692.61"/>
    <n v="843.47"/>
    <n v="692.61"/>
    <n v="150.86000000000001"/>
    <x v="28"/>
    <x v="0"/>
    <n v="0.17885639086155999"/>
    <n v="0.80549397133270895"/>
  </r>
  <r>
    <n v="1680"/>
    <x v="309"/>
    <x v="91"/>
    <x v="1"/>
    <x v="0"/>
    <x v="1"/>
    <x v="1"/>
    <x v="3"/>
    <x v="6"/>
    <n v="7"/>
    <n v="231.44"/>
    <n v="174.31"/>
    <n v="1522.88"/>
    <n v="1220.17"/>
    <n v="302.70999999999998"/>
    <x v="15"/>
    <x v="1"/>
    <n v="0.19877469006093715"/>
    <n v="-0.86074411641101078"/>
  </r>
  <r>
    <n v="1194"/>
    <x v="310"/>
    <x v="203"/>
    <x v="1"/>
    <x v="1"/>
    <x v="0"/>
    <x v="1"/>
    <x v="5"/>
    <x v="22"/>
    <n v="3"/>
    <n v="87.27"/>
    <n v="69.459999999999994"/>
    <n v="212.07"/>
    <n v="208.38"/>
    <n v="3.69"/>
    <x v="21"/>
    <x v="5"/>
    <n v="1.7399915122365259E-2"/>
    <n v="26.583345121893718"/>
  </r>
  <r>
    <n v="1368"/>
    <x v="310"/>
    <x v="168"/>
    <x v="1"/>
    <x v="0"/>
    <x v="0"/>
    <x v="2"/>
    <x v="4"/>
    <x v="21"/>
    <n v="9"/>
    <n v="915.43"/>
    <n v="569.24"/>
    <n v="5849.6"/>
    <n v="5123.16"/>
    <n v="726.44"/>
    <x v="19"/>
    <x v="3"/>
    <n v="0.12418626914660831"/>
    <n v="-0.8118862828227571"/>
  </r>
  <r>
    <n v="1571"/>
    <x v="311"/>
    <x v="180"/>
    <x v="1"/>
    <x v="0"/>
    <x v="1"/>
    <x v="1"/>
    <x v="5"/>
    <x v="10"/>
    <n v="2"/>
    <n v="573.12"/>
    <n v="386.91"/>
    <n v="1100.3900000000001"/>
    <n v="773.82"/>
    <n v="326.57"/>
    <x v="16"/>
    <x v="9"/>
    <n v="0.29677659738819867"/>
    <n v="1.5287943365534034"/>
  </r>
  <r>
    <n v="1061"/>
    <x v="312"/>
    <x v="159"/>
    <x v="1"/>
    <x v="1"/>
    <x v="3"/>
    <x v="2"/>
    <x v="8"/>
    <x v="19"/>
    <n v="5"/>
    <n v="704.47"/>
    <n v="464.18"/>
    <n v="2782.66"/>
    <n v="2320.9"/>
    <n v="461.76"/>
    <x v="1"/>
    <x v="3"/>
    <n v="0.16594194044547303"/>
    <n v="-0.36247331689821966"/>
  </r>
  <r>
    <n v="1066"/>
    <x v="312"/>
    <x v="70"/>
    <x v="1"/>
    <x v="0"/>
    <x v="2"/>
    <x v="0"/>
    <x v="0"/>
    <x v="3"/>
    <n v="8"/>
    <n v="291.77999999999997"/>
    <n v="242.42"/>
    <n v="1774.02"/>
    <n v="1939.36"/>
    <n v="-165.34"/>
    <x v="17"/>
    <x v="6"/>
    <n v="-9.3200753091847902E-2"/>
    <n v="1.1824105703430625"/>
  </r>
  <r>
    <n v="1207"/>
    <x v="312"/>
    <x v="153"/>
    <x v="2"/>
    <x v="3"/>
    <x v="2"/>
    <x v="0"/>
    <x v="7"/>
    <x v="12"/>
    <n v="7"/>
    <n v="790.13"/>
    <n v="415.52"/>
    <n v="3871.64"/>
    <n v="2908.64"/>
    <n v="963"/>
    <x v="8"/>
    <x v="0"/>
    <n v="0.24873180357677885"/>
    <n v="-0.37309253959562355"/>
  </r>
  <r>
    <n v="1713"/>
    <x v="312"/>
    <x v="119"/>
    <x v="2"/>
    <x v="1"/>
    <x v="2"/>
    <x v="2"/>
    <x v="6"/>
    <x v="13"/>
    <n v="6"/>
    <n v="512.05999999999995"/>
    <n v="343.6"/>
    <n v="2427.16"/>
    <n v="2061.6"/>
    <n v="365.56"/>
    <x v="1"/>
    <x v="7"/>
    <n v="0.15061223817136077"/>
    <n v="1.6449636612337053"/>
  </r>
  <r>
    <n v="1687"/>
    <x v="313"/>
    <x v="188"/>
    <x v="2"/>
    <x v="2"/>
    <x v="1"/>
    <x v="0"/>
    <x v="7"/>
    <x v="12"/>
    <n v="7"/>
    <n v="955.32"/>
    <n v="767.12"/>
    <n v="6419.75"/>
    <n v="5369.84"/>
    <n v="1049.9100000000001"/>
    <x v="16"/>
    <x v="1"/>
    <n v="0.16354375170372679"/>
    <n v="-0.60812025390396818"/>
  </r>
  <r>
    <n v="1540"/>
    <x v="314"/>
    <x v="118"/>
    <x v="2"/>
    <x v="0"/>
    <x v="2"/>
    <x v="2"/>
    <x v="4"/>
    <x v="28"/>
    <n v="4"/>
    <n v="796.13"/>
    <n v="553.73"/>
    <n v="2515.77"/>
    <n v="2214.92"/>
    <n v="300.85000000000002"/>
    <x v="1"/>
    <x v="6"/>
    <n v="0.11958565369648259"/>
    <n v="-0.68796829598890197"/>
  </r>
  <r>
    <n v="1202"/>
    <x v="315"/>
    <x v="42"/>
    <x v="2"/>
    <x v="2"/>
    <x v="2"/>
    <x v="1"/>
    <x v="1"/>
    <x v="23"/>
    <n v="3"/>
    <n v="272.57"/>
    <n v="161.88999999999999"/>
    <n v="785"/>
    <n v="485.67"/>
    <n v="299.33"/>
    <x v="16"/>
    <x v="8"/>
    <n v="0.38131210191082798"/>
    <n v="4.746496815286623E-2"/>
  </r>
  <r>
    <n v="1649"/>
    <x v="315"/>
    <x v="78"/>
    <x v="1"/>
    <x v="1"/>
    <x v="1"/>
    <x v="1"/>
    <x v="5"/>
    <x v="22"/>
    <n v="2"/>
    <n v="540.96"/>
    <n v="439.48"/>
    <n v="822.26"/>
    <n v="878.96"/>
    <n v="-56.7"/>
    <x v="17"/>
    <x v="0"/>
    <n v="-6.8956291197431477E-2"/>
    <n v="4.8899618125653683"/>
  </r>
  <r>
    <n v="1103"/>
    <x v="316"/>
    <x v="71"/>
    <x v="1"/>
    <x v="0"/>
    <x v="3"/>
    <x v="0"/>
    <x v="2"/>
    <x v="2"/>
    <n v="10"/>
    <n v="489.2"/>
    <n v="358.83"/>
    <n v="4843.08"/>
    <n v="3588.3"/>
    <n v="1254.78"/>
    <x v="27"/>
    <x v="4"/>
    <n v="0.25908719244778117"/>
    <n v="7.5590326816819084E-2"/>
  </r>
  <r>
    <n v="1146"/>
    <x v="317"/>
    <x v="130"/>
    <x v="2"/>
    <x v="3"/>
    <x v="2"/>
    <x v="0"/>
    <x v="7"/>
    <x v="25"/>
    <n v="6"/>
    <n v="975.5"/>
    <n v="532.4"/>
    <n v="5209.17"/>
    <n v="3194.4"/>
    <n v="2014.77"/>
    <x v="12"/>
    <x v="6"/>
    <n v="0.38677370867143901"/>
    <n v="-0.61006839861244688"/>
  </r>
  <r>
    <n v="1211"/>
    <x v="317"/>
    <x v="204"/>
    <x v="2"/>
    <x v="2"/>
    <x v="3"/>
    <x v="0"/>
    <x v="0"/>
    <x v="7"/>
    <n v="4"/>
    <n v="523.51"/>
    <n v="325.57"/>
    <n v="2031.22"/>
    <n v="1302.28"/>
    <n v="728.94"/>
    <x v="28"/>
    <x v="0"/>
    <n v="0.35886806943610244"/>
    <n v="-0.17210838806234671"/>
  </r>
  <r>
    <n v="1331"/>
    <x v="317"/>
    <x v="171"/>
    <x v="0"/>
    <x v="0"/>
    <x v="3"/>
    <x v="2"/>
    <x v="8"/>
    <x v="19"/>
    <n v="6"/>
    <n v="363.99"/>
    <n v="209.82"/>
    <n v="1681.63"/>
    <n v="1258.92"/>
    <n v="422.71"/>
    <x v="3"/>
    <x v="6"/>
    <n v="0.25136920725724443"/>
    <n v="1.5393100741542431"/>
  </r>
  <r>
    <n v="1609"/>
    <x v="317"/>
    <x v="132"/>
    <x v="1"/>
    <x v="3"/>
    <x v="0"/>
    <x v="0"/>
    <x v="0"/>
    <x v="7"/>
    <n v="9"/>
    <n v="593.08000000000004"/>
    <n v="423.47"/>
    <n v="4270.18"/>
    <n v="3811.23"/>
    <n v="458.95"/>
    <x v="20"/>
    <x v="0"/>
    <n v="0.10747790491267346"/>
    <n v="-0.29447470598429115"/>
  </r>
  <r>
    <n v="1614"/>
    <x v="317"/>
    <x v="6"/>
    <x v="2"/>
    <x v="2"/>
    <x v="0"/>
    <x v="2"/>
    <x v="6"/>
    <x v="13"/>
    <n v="6"/>
    <n v="678.54"/>
    <n v="380.76"/>
    <n v="3012.72"/>
    <n v="2284.56"/>
    <n v="728.16"/>
    <x v="26"/>
    <x v="6"/>
    <n v="0.24169521229984864"/>
    <n v="-0.56531307257229346"/>
  </r>
  <r>
    <n v="1603"/>
    <x v="318"/>
    <x v="205"/>
    <x v="0"/>
    <x v="3"/>
    <x v="1"/>
    <x v="1"/>
    <x v="1"/>
    <x v="1"/>
    <n v="5"/>
    <n v="344.63"/>
    <n v="283.06"/>
    <n v="1309.5899999999999"/>
    <n v="1415.3"/>
    <n v="-105.71"/>
    <x v="17"/>
    <x v="1"/>
    <n v="-8.0719919974953994E-2"/>
    <n v="0.5705755236371689"/>
  </r>
  <r>
    <n v="1800"/>
    <x v="318"/>
    <x v="179"/>
    <x v="2"/>
    <x v="1"/>
    <x v="2"/>
    <x v="1"/>
    <x v="3"/>
    <x v="4"/>
    <n v="5"/>
    <n v="472.83"/>
    <n v="355.99"/>
    <n v="2056.81"/>
    <n v="1779.95"/>
    <n v="276.86"/>
    <x v="6"/>
    <x v="7"/>
    <n v="0.1346065023021086"/>
    <n v="1.298228810633943"/>
  </r>
  <r>
    <n v="1125"/>
    <x v="319"/>
    <x v="174"/>
    <x v="1"/>
    <x v="1"/>
    <x v="0"/>
    <x v="2"/>
    <x v="6"/>
    <x v="11"/>
    <n v="9"/>
    <n v="577.16999999999996"/>
    <n v="433.74"/>
    <n v="4727.0200000000004"/>
    <n v="3903.66"/>
    <n v="823.36"/>
    <x v="5"/>
    <x v="7"/>
    <n v="0.17418161970966908"/>
    <n v="-0.90417853108300794"/>
  </r>
  <r>
    <n v="1508"/>
    <x v="319"/>
    <x v="155"/>
    <x v="1"/>
    <x v="3"/>
    <x v="2"/>
    <x v="2"/>
    <x v="6"/>
    <x v="27"/>
    <n v="2"/>
    <n v="240.93"/>
    <n v="155.26"/>
    <n v="452.95"/>
    <n v="310.52"/>
    <n v="142.43"/>
    <x v="15"/>
    <x v="1"/>
    <n v="0.31444971851197706"/>
    <n v="0.44607572579754945"/>
  </r>
  <r>
    <n v="1683"/>
    <x v="319"/>
    <x v="67"/>
    <x v="0"/>
    <x v="3"/>
    <x v="3"/>
    <x v="1"/>
    <x v="5"/>
    <x v="22"/>
    <n v="1"/>
    <n v="922.53"/>
    <n v="510.89"/>
    <n v="655"/>
    <n v="510.89"/>
    <n v="144.11000000000001"/>
    <x v="19"/>
    <x v="5"/>
    <n v="0.22001526717557254"/>
    <n v="0.31609160305343503"/>
  </r>
  <r>
    <n v="1777"/>
    <x v="319"/>
    <x v="78"/>
    <x v="1"/>
    <x v="0"/>
    <x v="2"/>
    <x v="1"/>
    <x v="1"/>
    <x v="1"/>
    <n v="3"/>
    <n v="293.20999999999998"/>
    <n v="244.69"/>
    <n v="862.04"/>
    <n v="734.07"/>
    <n v="127.97"/>
    <x v="0"/>
    <x v="1"/>
    <n v="0.14845018792631434"/>
    <n v="0.91973690315994638"/>
  </r>
  <r>
    <n v="1395"/>
    <x v="320"/>
    <x v="44"/>
    <x v="0"/>
    <x v="3"/>
    <x v="1"/>
    <x v="1"/>
    <x v="5"/>
    <x v="26"/>
    <n v="2"/>
    <n v="844.33"/>
    <n v="703.39"/>
    <n v="1654.89"/>
    <n v="1406.78"/>
    <n v="248.11"/>
    <x v="0"/>
    <x v="4"/>
    <n v="0.14992537268338077"/>
    <n v="1.156560254760135"/>
  </r>
  <r>
    <n v="1478"/>
    <x v="321"/>
    <x v="206"/>
    <x v="0"/>
    <x v="3"/>
    <x v="2"/>
    <x v="2"/>
    <x v="4"/>
    <x v="8"/>
    <n v="5"/>
    <n v="728.34"/>
    <n v="507.87"/>
    <n v="3568.87"/>
    <n v="2539.35"/>
    <n v="1029.52"/>
    <x v="0"/>
    <x v="0"/>
    <n v="0.2884722615281588"/>
    <n v="-0.84483043652472634"/>
  </r>
  <r>
    <n v="1626"/>
    <x v="322"/>
    <x v="190"/>
    <x v="1"/>
    <x v="0"/>
    <x v="3"/>
    <x v="0"/>
    <x v="7"/>
    <x v="14"/>
    <n v="6"/>
    <n v="128.19"/>
    <n v="98.04"/>
    <n v="553.78"/>
    <n v="588.24"/>
    <n v="-34.46"/>
    <x v="11"/>
    <x v="0"/>
    <n v="-6.2226877099209078E-2"/>
    <n v="7.248383834735816"/>
  </r>
  <r>
    <n v="1665"/>
    <x v="322"/>
    <x v="15"/>
    <x v="2"/>
    <x v="2"/>
    <x v="0"/>
    <x v="0"/>
    <x v="2"/>
    <x v="16"/>
    <n v="8"/>
    <n v="696.31"/>
    <n v="587.46"/>
    <n v="4567.79"/>
    <n v="4699.68"/>
    <n v="-131.88999999999999"/>
    <x v="23"/>
    <x v="5"/>
    <n v="-2.8873919335170833E-2"/>
    <n v="-0.50748611472944249"/>
  </r>
  <r>
    <n v="1999"/>
    <x v="322"/>
    <x v="135"/>
    <x v="2"/>
    <x v="3"/>
    <x v="0"/>
    <x v="0"/>
    <x v="2"/>
    <x v="5"/>
    <n v="10"/>
    <n v="264.67"/>
    <n v="160.41999999999999"/>
    <n v="2249.6999999999998"/>
    <n v="1604.2"/>
    <n v="645.5"/>
    <x v="25"/>
    <x v="1"/>
    <n v="0.28692714584166779"/>
    <n v="-0.71094368137973951"/>
  </r>
  <r>
    <n v="1420"/>
    <x v="323"/>
    <x v="70"/>
    <x v="2"/>
    <x v="3"/>
    <x v="3"/>
    <x v="1"/>
    <x v="3"/>
    <x v="6"/>
    <n v="5"/>
    <n v="173.41"/>
    <n v="107.93"/>
    <n v="650.29"/>
    <n v="539.65"/>
    <n v="110.64"/>
    <x v="7"/>
    <x v="0"/>
    <n v="0.17013947623368036"/>
    <n v="3.8749481000784272"/>
  </r>
  <r>
    <n v="1716"/>
    <x v="323"/>
    <x v="207"/>
    <x v="0"/>
    <x v="3"/>
    <x v="3"/>
    <x v="1"/>
    <x v="3"/>
    <x v="4"/>
    <n v="7"/>
    <n v="588.15"/>
    <n v="445.16"/>
    <n v="3170.13"/>
    <n v="3116.12"/>
    <n v="54.01"/>
    <x v="3"/>
    <x v="2"/>
    <n v="1.7037156204950585E-2"/>
    <n v="-0.70682905748344715"/>
  </r>
  <r>
    <n v="1548"/>
    <x v="324"/>
    <x v="104"/>
    <x v="2"/>
    <x v="1"/>
    <x v="0"/>
    <x v="0"/>
    <x v="2"/>
    <x v="2"/>
    <n v="2"/>
    <n v="522.13"/>
    <n v="351.67"/>
    <n v="929.39"/>
    <n v="703.34"/>
    <n v="226.05"/>
    <x v="12"/>
    <x v="3"/>
    <n v="0.24322405018345367"/>
    <n v="-0.92507989111137412"/>
  </r>
  <r>
    <n v="1957"/>
    <x v="324"/>
    <x v="47"/>
    <x v="1"/>
    <x v="1"/>
    <x v="2"/>
    <x v="1"/>
    <x v="3"/>
    <x v="15"/>
    <n v="7"/>
    <n v="14.21"/>
    <n v="7.69"/>
    <n v="69.63"/>
    <n v="53.83"/>
    <n v="15.8"/>
    <x v="8"/>
    <x v="3"/>
    <n v="0.22691368662932646"/>
    <n v="84.798362774666103"/>
  </r>
  <r>
    <n v="1513"/>
    <x v="325"/>
    <x v="169"/>
    <x v="0"/>
    <x v="0"/>
    <x v="1"/>
    <x v="0"/>
    <x v="2"/>
    <x v="5"/>
    <n v="9"/>
    <n v="754.31"/>
    <n v="560.16"/>
    <n v="5974.14"/>
    <n v="5041.4399999999996"/>
    <n v="932.7"/>
    <x v="2"/>
    <x v="1"/>
    <n v="0.15612288965441051"/>
    <n v="-0.95950379468844049"/>
  </r>
  <r>
    <n v="1956"/>
    <x v="325"/>
    <x v="7"/>
    <x v="0"/>
    <x v="2"/>
    <x v="0"/>
    <x v="2"/>
    <x v="4"/>
    <x v="8"/>
    <n v="2"/>
    <n v="170.37"/>
    <n v="111.28"/>
    <n v="241.93"/>
    <n v="222.56"/>
    <n v="19.37"/>
    <x v="19"/>
    <x v="7"/>
    <n v="8.0064481461579795E-2"/>
    <n v="18.958500392675568"/>
  </r>
  <r>
    <n v="1965"/>
    <x v="325"/>
    <x v="153"/>
    <x v="0"/>
    <x v="3"/>
    <x v="0"/>
    <x v="2"/>
    <x v="4"/>
    <x v="21"/>
    <n v="7"/>
    <n v="775.05"/>
    <n v="579.11"/>
    <n v="4828.5600000000004"/>
    <n v="4053.77"/>
    <n v="774.79"/>
    <x v="12"/>
    <x v="6"/>
    <n v="0.16045984724224197"/>
    <n v="-0.85353811488311215"/>
  </r>
  <r>
    <n v="1307"/>
    <x v="326"/>
    <x v="7"/>
    <x v="2"/>
    <x v="0"/>
    <x v="0"/>
    <x v="2"/>
    <x v="4"/>
    <x v="8"/>
    <n v="3"/>
    <n v="332.02"/>
    <n v="269.95999999999998"/>
    <n v="707.2"/>
    <n v="809.88"/>
    <n v="-102.68"/>
    <x v="19"/>
    <x v="3"/>
    <n v="-0.1451923076923077"/>
    <n v="-0.18519513574660637"/>
  </r>
  <r>
    <n v="1461"/>
    <x v="326"/>
    <x v="188"/>
    <x v="1"/>
    <x v="1"/>
    <x v="3"/>
    <x v="0"/>
    <x v="0"/>
    <x v="0"/>
    <n v="9"/>
    <n v="83.15"/>
    <n v="68.430000000000007"/>
    <n v="576.23"/>
    <n v="615.87"/>
    <n v="-39.64"/>
    <x v="3"/>
    <x v="9"/>
    <n v="-6.879197542647901E-2"/>
    <n v="1.5740763236901931"/>
  </r>
  <r>
    <n v="1771"/>
    <x v="326"/>
    <x v="51"/>
    <x v="1"/>
    <x v="1"/>
    <x v="0"/>
    <x v="0"/>
    <x v="2"/>
    <x v="2"/>
    <n v="6"/>
    <n v="284.14999999999998"/>
    <n v="176.99"/>
    <n v="1483.26"/>
    <n v="1061.94"/>
    <n v="421.32"/>
    <x v="6"/>
    <x v="5"/>
    <n v="0.28404999797742808"/>
    <n v="1.0182840499979773"/>
  </r>
  <r>
    <n v="1930"/>
    <x v="326"/>
    <x v="69"/>
    <x v="0"/>
    <x v="3"/>
    <x v="2"/>
    <x v="2"/>
    <x v="8"/>
    <x v="20"/>
    <n v="7"/>
    <n v="521.54"/>
    <n v="365.76"/>
    <n v="2993.64"/>
    <n v="2560.3200000000002"/>
    <n v="433.32"/>
    <x v="23"/>
    <x v="2"/>
    <n v="0.14474686335030265"/>
    <n v="0.47286246843307828"/>
  </r>
  <r>
    <n v="1435"/>
    <x v="327"/>
    <x v="42"/>
    <x v="2"/>
    <x v="1"/>
    <x v="3"/>
    <x v="0"/>
    <x v="7"/>
    <x v="14"/>
    <n v="10"/>
    <n v="595.84"/>
    <n v="407.45"/>
    <n v="4409.22"/>
    <n v="4074.5"/>
    <n v="334.72"/>
    <x v="26"/>
    <x v="7"/>
    <n v="7.591365366209897E-2"/>
    <n v="-0.74754491724159833"/>
  </r>
  <r>
    <n v="1229"/>
    <x v="328"/>
    <x v="155"/>
    <x v="2"/>
    <x v="3"/>
    <x v="2"/>
    <x v="0"/>
    <x v="2"/>
    <x v="16"/>
    <n v="6"/>
    <n v="254.14"/>
    <n v="160.15"/>
    <n v="1113.1300000000001"/>
    <n v="960.9"/>
    <n v="152.22999999999999"/>
    <x v="24"/>
    <x v="8"/>
    <n v="0.1367585097877157"/>
    <n v="0.7046795971719384"/>
  </r>
  <r>
    <n v="1560"/>
    <x v="328"/>
    <x v="70"/>
    <x v="0"/>
    <x v="3"/>
    <x v="0"/>
    <x v="1"/>
    <x v="5"/>
    <x v="10"/>
    <n v="4"/>
    <n v="649.84"/>
    <n v="459.69"/>
    <n v="1897.53"/>
    <n v="1838.76"/>
    <n v="58.77"/>
    <x v="24"/>
    <x v="2"/>
    <n v="3.0971842342413562E-2"/>
    <n v="-0.52137252111956067"/>
  </r>
  <r>
    <n v="1106"/>
    <x v="329"/>
    <x v="202"/>
    <x v="1"/>
    <x v="1"/>
    <x v="3"/>
    <x v="2"/>
    <x v="6"/>
    <x v="11"/>
    <n v="6"/>
    <n v="176.01"/>
    <n v="146.38"/>
    <n v="908.21"/>
    <n v="878.28"/>
    <n v="29.93"/>
    <x v="9"/>
    <x v="5"/>
    <n v="3.2954933330397153E-2"/>
    <n v="-3.1963973089924227E-2"/>
  </r>
  <r>
    <n v="1359"/>
    <x v="329"/>
    <x v="88"/>
    <x v="0"/>
    <x v="1"/>
    <x v="3"/>
    <x v="1"/>
    <x v="3"/>
    <x v="4"/>
    <n v="10"/>
    <n v="102.23"/>
    <n v="55.91"/>
    <n v="879.18"/>
    <n v="559.1"/>
    <n v="320.08"/>
    <x v="9"/>
    <x v="1"/>
    <n v="0.36406651652676358"/>
    <n v="1.8972224117928142E-2"/>
  </r>
  <r>
    <n v="1844"/>
    <x v="329"/>
    <x v="193"/>
    <x v="0"/>
    <x v="2"/>
    <x v="0"/>
    <x v="2"/>
    <x v="4"/>
    <x v="21"/>
    <n v="6"/>
    <n v="149.31"/>
    <n v="91.09"/>
    <n v="895.86"/>
    <n v="546.54"/>
    <n v="349.32"/>
    <x v="18"/>
    <x v="7"/>
    <n v="0.38992699752193422"/>
    <n v="1.4544794945638824"/>
  </r>
  <r>
    <n v="1831"/>
    <x v="330"/>
    <x v="104"/>
    <x v="0"/>
    <x v="2"/>
    <x v="1"/>
    <x v="2"/>
    <x v="4"/>
    <x v="21"/>
    <n v="3"/>
    <n v="939.69"/>
    <n v="598.25"/>
    <n v="2198.87"/>
    <n v="1794.75"/>
    <n v="404.12"/>
    <x v="13"/>
    <x v="4"/>
    <n v="0.18378530790815284"/>
    <n v="-0.30249173439084615"/>
  </r>
  <r>
    <n v="1901"/>
    <x v="330"/>
    <x v="208"/>
    <x v="1"/>
    <x v="2"/>
    <x v="0"/>
    <x v="0"/>
    <x v="2"/>
    <x v="16"/>
    <n v="6"/>
    <n v="355.03"/>
    <n v="220.15"/>
    <n v="1533.73"/>
    <n v="1320.9"/>
    <n v="212.83"/>
    <x v="11"/>
    <x v="1"/>
    <n v="0.13876627568085648"/>
    <n v="0.29628422212514594"/>
  </r>
  <r>
    <n v="1763"/>
    <x v="331"/>
    <x v="94"/>
    <x v="2"/>
    <x v="2"/>
    <x v="1"/>
    <x v="2"/>
    <x v="6"/>
    <x v="11"/>
    <n v="3"/>
    <n v="770.6"/>
    <n v="452.76"/>
    <n v="1988.15"/>
    <n v="1358.28"/>
    <n v="629.87"/>
    <x v="9"/>
    <x v="5"/>
    <n v="0.31681211176219098"/>
    <n v="-0.39826471845685696"/>
  </r>
  <r>
    <n v="1337"/>
    <x v="332"/>
    <x v="76"/>
    <x v="0"/>
    <x v="0"/>
    <x v="0"/>
    <x v="1"/>
    <x v="3"/>
    <x v="4"/>
    <n v="2"/>
    <n v="757.18"/>
    <n v="533.78"/>
    <n v="1196.3399999999999"/>
    <n v="1067.56"/>
    <n v="128.78"/>
    <x v="1"/>
    <x v="2"/>
    <n v="0.10764498386746243"/>
    <n v="2.8648879081197656"/>
  </r>
  <r>
    <n v="1203"/>
    <x v="333"/>
    <x v="48"/>
    <x v="0"/>
    <x v="1"/>
    <x v="0"/>
    <x v="0"/>
    <x v="0"/>
    <x v="0"/>
    <n v="8"/>
    <n v="595.84"/>
    <n v="338.7"/>
    <n v="4623.72"/>
    <n v="2709.6"/>
    <n v="1914.12"/>
    <x v="28"/>
    <x v="3"/>
    <n v="0.41397835509070613"/>
    <n v="-0.82305156886662689"/>
  </r>
  <r>
    <n v="1389"/>
    <x v="333"/>
    <x v="82"/>
    <x v="1"/>
    <x v="3"/>
    <x v="3"/>
    <x v="0"/>
    <x v="7"/>
    <x v="12"/>
    <n v="2"/>
    <n v="444.65"/>
    <n v="279.25"/>
    <n v="818.16"/>
    <n v="558.5"/>
    <n v="259.66000000000003"/>
    <x v="14"/>
    <x v="3"/>
    <n v="0.31737068544050068"/>
    <n v="2.5119414295492328"/>
  </r>
  <r>
    <n v="1591"/>
    <x v="334"/>
    <x v="92"/>
    <x v="0"/>
    <x v="0"/>
    <x v="1"/>
    <x v="0"/>
    <x v="7"/>
    <x v="14"/>
    <n v="8"/>
    <n v="460.47"/>
    <n v="248.36"/>
    <n v="2873.33"/>
    <n v="1986.88"/>
    <n v="886.45"/>
    <x v="13"/>
    <x v="8"/>
    <n v="0.30850963864227221"/>
    <n v="1.4838984732000851"/>
  </r>
  <r>
    <n v="1551"/>
    <x v="335"/>
    <x v="82"/>
    <x v="1"/>
    <x v="0"/>
    <x v="0"/>
    <x v="2"/>
    <x v="6"/>
    <x v="17"/>
    <n v="10"/>
    <n v="977.68"/>
    <n v="742.55"/>
    <n v="7137.06"/>
    <n v="7425.5"/>
    <n v="-288.44"/>
    <x v="24"/>
    <x v="8"/>
    <n v="-4.0414400327305637E-2"/>
    <n v="-0.25522974446060426"/>
  </r>
  <r>
    <n v="1577"/>
    <x v="336"/>
    <x v="32"/>
    <x v="1"/>
    <x v="1"/>
    <x v="0"/>
    <x v="0"/>
    <x v="2"/>
    <x v="2"/>
    <n v="8"/>
    <n v="738.26"/>
    <n v="608.53"/>
    <n v="5315.47"/>
    <n v="4868.24"/>
    <n v="447.23"/>
    <x v="22"/>
    <x v="4"/>
    <n v="8.4137432814031493E-2"/>
    <n v="-0.40108400574173125"/>
  </r>
  <r>
    <n v="1982"/>
    <x v="336"/>
    <x v="192"/>
    <x v="0"/>
    <x v="1"/>
    <x v="1"/>
    <x v="0"/>
    <x v="2"/>
    <x v="2"/>
    <n v="6"/>
    <n v="602.94000000000005"/>
    <n v="403.3"/>
    <n v="3183.52"/>
    <n v="2419.8000000000002"/>
    <n v="763.72"/>
    <x v="2"/>
    <x v="7"/>
    <n v="0.2398979745690305"/>
    <n v="-0.91171721867618227"/>
  </r>
  <r>
    <n v="1233"/>
    <x v="337"/>
    <x v="125"/>
    <x v="2"/>
    <x v="2"/>
    <x v="1"/>
    <x v="1"/>
    <x v="3"/>
    <x v="15"/>
    <n v="4"/>
    <n v="91.25"/>
    <n v="48.83"/>
    <n v="281.05"/>
    <n v="195.32"/>
    <n v="85.73"/>
    <x v="3"/>
    <x v="9"/>
    <n v="0.3050346913360612"/>
    <n v="2.8133428215619998"/>
  </r>
  <r>
    <n v="1525"/>
    <x v="338"/>
    <x v="69"/>
    <x v="2"/>
    <x v="2"/>
    <x v="0"/>
    <x v="1"/>
    <x v="1"/>
    <x v="9"/>
    <n v="3"/>
    <n v="376.05"/>
    <n v="259.08"/>
    <n v="1071.74"/>
    <n v="777.24"/>
    <n v="294.5"/>
    <x v="10"/>
    <x v="3"/>
    <n v="0.27478679530483141"/>
    <n v="-0.16547856756302837"/>
  </r>
  <r>
    <n v="1720"/>
    <x v="338"/>
    <x v="148"/>
    <x v="1"/>
    <x v="0"/>
    <x v="2"/>
    <x v="2"/>
    <x v="6"/>
    <x v="11"/>
    <n v="7"/>
    <n v="129.06"/>
    <n v="67.430000000000007"/>
    <n v="894.39"/>
    <n v="472.01"/>
    <n v="422.38"/>
    <x v="27"/>
    <x v="1"/>
    <n v="0.47225483290287235"/>
    <n v="2.6985990451592703"/>
  </r>
  <r>
    <n v="1491"/>
    <x v="339"/>
    <x v="209"/>
    <x v="2"/>
    <x v="0"/>
    <x v="0"/>
    <x v="2"/>
    <x v="4"/>
    <x v="8"/>
    <n v="5"/>
    <n v="778.35"/>
    <n v="394.29"/>
    <n v="3307.99"/>
    <n v="1971.45"/>
    <n v="1336.54"/>
    <x v="25"/>
    <x v="7"/>
    <n v="0.40403386950988368"/>
    <n v="4.8277050414300693E-3"/>
  </r>
  <r>
    <n v="1905"/>
    <x v="340"/>
    <x v="209"/>
    <x v="0"/>
    <x v="3"/>
    <x v="2"/>
    <x v="1"/>
    <x v="1"/>
    <x v="9"/>
    <n v="9"/>
    <n v="505.93"/>
    <n v="262.52999999999997"/>
    <n v="3323.96"/>
    <n v="2362.77"/>
    <n v="961.19"/>
    <x v="24"/>
    <x v="9"/>
    <n v="0.28917014645182254"/>
    <n v="-0.32302434445661204"/>
  </r>
  <r>
    <n v="1523"/>
    <x v="341"/>
    <x v="6"/>
    <x v="1"/>
    <x v="2"/>
    <x v="3"/>
    <x v="2"/>
    <x v="6"/>
    <x v="27"/>
    <n v="8"/>
    <n v="375.04"/>
    <n v="225.34"/>
    <n v="2250.2399999999998"/>
    <n v="1802.72"/>
    <n v="447.52"/>
    <x v="7"/>
    <x v="8"/>
    <n v="0.19887656427758818"/>
    <n v="0.45086301905574527"/>
  </r>
  <r>
    <n v="1173"/>
    <x v="342"/>
    <x v="28"/>
    <x v="0"/>
    <x v="2"/>
    <x v="1"/>
    <x v="0"/>
    <x v="7"/>
    <x v="12"/>
    <n v="9"/>
    <n v="465.07"/>
    <n v="363.88"/>
    <n v="3264.79"/>
    <n v="3274.92"/>
    <n v="-10.130000000000001"/>
    <x v="13"/>
    <x v="4"/>
    <n v="-3.1028029367891966E-3"/>
    <n v="-0.17531602338894689"/>
  </r>
  <r>
    <n v="1842"/>
    <x v="342"/>
    <x v="41"/>
    <x v="1"/>
    <x v="3"/>
    <x v="3"/>
    <x v="1"/>
    <x v="5"/>
    <x v="22"/>
    <n v="7"/>
    <n v="432.17"/>
    <n v="301.87"/>
    <n v="2692.42"/>
    <n v="2113.09"/>
    <n v="579.33000000000004"/>
    <x v="12"/>
    <x v="2"/>
    <n v="0.2151707385920473"/>
    <n v="-0.74981243639551032"/>
  </r>
  <r>
    <n v="1941"/>
    <x v="343"/>
    <x v="15"/>
    <x v="1"/>
    <x v="1"/>
    <x v="0"/>
    <x v="2"/>
    <x v="6"/>
    <x v="13"/>
    <n v="2"/>
    <n v="350.84"/>
    <n v="224.3"/>
    <n v="673.61"/>
    <n v="448.6"/>
    <n v="225.01"/>
    <x v="16"/>
    <x v="0"/>
    <n v="0.33403601490476681"/>
    <n v="1.2155253039592644"/>
  </r>
  <r>
    <n v="1124"/>
    <x v="344"/>
    <x v="181"/>
    <x v="2"/>
    <x v="0"/>
    <x v="3"/>
    <x v="2"/>
    <x v="8"/>
    <x v="18"/>
    <n v="2"/>
    <n v="777.29"/>
    <n v="453.3"/>
    <n v="1492.4"/>
    <n v="906.6"/>
    <n v="585.79999999999995"/>
    <x v="16"/>
    <x v="1"/>
    <n v="0.39252211203430709"/>
    <n v="-0.59510854998659879"/>
  </r>
  <r>
    <n v="1040"/>
    <x v="345"/>
    <x v="44"/>
    <x v="2"/>
    <x v="3"/>
    <x v="1"/>
    <x v="1"/>
    <x v="5"/>
    <x v="26"/>
    <n v="8"/>
    <n v="82.1"/>
    <n v="49.26"/>
    <n v="604.26"/>
    <n v="394.08"/>
    <n v="210.18"/>
    <x v="14"/>
    <x v="5"/>
    <n v="0.34783040413067223"/>
    <n v="-0.26016946347598713"/>
  </r>
  <r>
    <n v="1682"/>
    <x v="345"/>
    <x v="160"/>
    <x v="2"/>
    <x v="3"/>
    <x v="2"/>
    <x v="1"/>
    <x v="5"/>
    <x v="26"/>
    <n v="1"/>
    <n v="502.3"/>
    <n v="366.98"/>
    <n v="447.05"/>
    <n v="366.98"/>
    <n v="80.069999999999993"/>
    <x v="12"/>
    <x v="1"/>
    <n v="0.17910748238452073"/>
    <n v="5.7988815568728329"/>
  </r>
  <r>
    <n v="1843"/>
    <x v="345"/>
    <x v="196"/>
    <x v="2"/>
    <x v="3"/>
    <x v="1"/>
    <x v="0"/>
    <x v="7"/>
    <x v="14"/>
    <n v="9"/>
    <n v="355.49"/>
    <n v="181.47"/>
    <n v="3039.44"/>
    <n v="1633.23"/>
    <n v="1406.21"/>
    <x v="10"/>
    <x v="5"/>
    <n v="0.46265430474034691"/>
    <n v="0.47063603821756633"/>
  </r>
  <r>
    <n v="1978"/>
    <x v="345"/>
    <x v="39"/>
    <x v="1"/>
    <x v="2"/>
    <x v="0"/>
    <x v="1"/>
    <x v="1"/>
    <x v="23"/>
    <n v="9"/>
    <n v="570.87"/>
    <n v="483.99"/>
    <n v="4469.91"/>
    <n v="4355.91"/>
    <n v="114"/>
    <x v="6"/>
    <x v="3"/>
    <n v="2.5503869205420245E-2"/>
    <n v="-0.48928054479844113"/>
  </r>
  <r>
    <n v="1693"/>
    <x v="346"/>
    <x v="210"/>
    <x v="2"/>
    <x v="0"/>
    <x v="1"/>
    <x v="2"/>
    <x v="8"/>
    <x v="18"/>
    <n v="7"/>
    <n v="346.94"/>
    <n v="221.96"/>
    <n v="2282.87"/>
    <n v="1553.72"/>
    <n v="729.15"/>
    <x v="15"/>
    <x v="7"/>
    <n v="0.31940057909561209"/>
    <n v="-8.2488271342651992E-2"/>
  </r>
  <r>
    <n v="1439"/>
    <x v="347"/>
    <x v="139"/>
    <x v="1"/>
    <x v="2"/>
    <x v="1"/>
    <x v="2"/>
    <x v="6"/>
    <x v="13"/>
    <n v="3"/>
    <n v="719.78"/>
    <n v="391.01"/>
    <n v="2094.56"/>
    <n v="1173.03"/>
    <n v="921.53"/>
    <x v="28"/>
    <x v="0"/>
    <n v="0.43996352455885723"/>
    <n v="2.3161284470246737"/>
  </r>
  <r>
    <n v="1443"/>
    <x v="347"/>
    <x v="66"/>
    <x v="2"/>
    <x v="0"/>
    <x v="2"/>
    <x v="1"/>
    <x v="1"/>
    <x v="1"/>
    <n v="9"/>
    <n v="821.02"/>
    <n v="470.18"/>
    <n v="6945.83"/>
    <n v="4231.62"/>
    <n v="2714.21"/>
    <x v="15"/>
    <x v="7"/>
    <n v="0.39076827391398872"/>
    <n v="-0.90950109634125798"/>
  </r>
  <r>
    <n v="1515"/>
    <x v="348"/>
    <x v="200"/>
    <x v="2"/>
    <x v="1"/>
    <x v="2"/>
    <x v="0"/>
    <x v="7"/>
    <x v="25"/>
    <n v="1"/>
    <n v="861.08"/>
    <n v="451.85"/>
    <n v="628.59"/>
    <n v="451.85"/>
    <n v="176.74"/>
    <x v="24"/>
    <x v="5"/>
    <n v="0.28116896546238407"/>
    <n v="7.6136273246472248"/>
  </r>
  <r>
    <n v="1629"/>
    <x v="348"/>
    <x v="134"/>
    <x v="1"/>
    <x v="1"/>
    <x v="1"/>
    <x v="2"/>
    <x v="8"/>
    <x v="24"/>
    <n v="7"/>
    <n v="889.07"/>
    <n v="592.73"/>
    <n v="5414.44"/>
    <n v="4149.1099999999997"/>
    <n v="1265.33"/>
    <x v="6"/>
    <x v="5"/>
    <n v="0.23369545142249246"/>
    <n v="-0.21532790094635812"/>
  </r>
  <r>
    <n v="1039"/>
    <x v="349"/>
    <x v="179"/>
    <x v="0"/>
    <x v="3"/>
    <x v="1"/>
    <x v="1"/>
    <x v="3"/>
    <x v="4"/>
    <n v="7"/>
    <n v="831.42"/>
    <n v="575.14"/>
    <n v="4248.5600000000004"/>
    <n v="4025.98"/>
    <n v="222.58"/>
    <x v="24"/>
    <x v="0"/>
    <n v="5.2389515506430409E-2"/>
    <n v="-1.4828553674659393E-4"/>
  </r>
  <r>
    <n v="1279"/>
    <x v="350"/>
    <x v="146"/>
    <x v="2"/>
    <x v="1"/>
    <x v="0"/>
    <x v="0"/>
    <x v="2"/>
    <x v="5"/>
    <n v="10"/>
    <n v="589.99"/>
    <n v="451.6"/>
    <n v="4247.93"/>
    <n v="4516"/>
    <n v="-268.07"/>
    <x v="11"/>
    <x v="2"/>
    <n v="-6.3106030466603721E-2"/>
    <n v="-0.8083960893894202"/>
  </r>
  <r>
    <n v="1158"/>
    <x v="351"/>
    <x v="117"/>
    <x v="0"/>
    <x v="3"/>
    <x v="3"/>
    <x v="1"/>
    <x v="1"/>
    <x v="23"/>
    <n v="4"/>
    <n v="282.61"/>
    <n v="170.83"/>
    <n v="813.92"/>
    <n v="683.32"/>
    <n v="130.6"/>
    <x v="11"/>
    <x v="3"/>
    <n v="0.16045803027324554"/>
    <n v="-0.84860919992136818"/>
  </r>
  <r>
    <n v="1785"/>
    <x v="351"/>
    <x v="207"/>
    <x v="2"/>
    <x v="2"/>
    <x v="1"/>
    <x v="1"/>
    <x v="5"/>
    <x v="22"/>
    <n v="5"/>
    <n v="25.94"/>
    <n v="14.45"/>
    <n v="123.22"/>
    <n v="72.25"/>
    <n v="50.97"/>
    <x v="10"/>
    <x v="4"/>
    <n v="0.41365038143158578"/>
    <n v="17.090082778769681"/>
  </r>
  <r>
    <n v="1189"/>
    <x v="352"/>
    <x v="201"/>
    <x v="0"/>
    <x v="2"/>
    <x v="2"/>
    <x v="1"/>
    <x v="3"/>
    <x v="15"/>
    <n v="3"/>
    <n v="917.31"/>
    <n v="632.71"/>
    <n v="2229.06"/>
    <n v="1898.13"/>
    <n v="330.93"/>
    <x v="21"/>
    <x v="7"/>
    <n v="0.14846168340017765"/>
    <n v="0.58488331404269078"/>
  </r>
  <r>
    <n v="1995"/>
    <x v="352"/>
    <x v="76"/>
    <x v="1"/>
    <x v="3"/>
    <x v="3"/>
    <x v="0"/>
    <x v="0"/>
    <x v="3"/>
    <n v="5"/>
    <n v="768"/>
    <n v="390.32"/>
    <n v="3532.8"/>
    <n v="1951.6"/>
    <n v="1581.2"/>
    <x v="14"/>
    <x v="3"/>
    <n v="0.44757699275362317"/>
    <n v="-0.82648041213768109"/>
  </r>
  <r>
    <n v="1878"/>
    <x v="353"/>
    <x v="142"/>
    <x v="1"/>
    <x v="1"/>
    <x v="0"/>
    <x v="2"/>
    <x v="8"/>
    <x v="19"/>
    <n v="2"/>
    <n v="336.82"/>
    <n v="179.89"/>
    <n v="613.01"/>
    <n v="359.78"/>
    <n v="253.23"/>
    <x v="5"/>
    <x v="0"/>
    <n v="0.41309277173292441"/>
    <n v="0.76300549746333668"/>
  </r>
  <r>
    <n v="1438"/>
    <x v="354"/>
    <x v="39"/>
    <x v="0"/>
    <x v="0"/>
    <x v="0"/>
    <x v="2"/>
    <x v="4"/>
    <x v="8"/>
    <n v="9"/>
    <n v="139.63"/>
    <n v="90.03"/>
    <n v="1080.74"/>
    <n v="810.27"/>
    <n v="270.47000000000003"/>
    <x v="9"/>
    <x v="8"/>
    <n v="0.2502637081999371"/>
    <n v="-0.9118474378666469"/>
  </r>
  <r>
    <n v="1741"/>
    <x v="354"/>
    <x v="72"/>
    <x v="1"/>
    <x v="1"/>
    <x v="3"/>
    <x v="1"/>
    <x v="3"/>
    <x v="15"/>
    <n v="6"/>
    <n v="16.54"/>
    <n v="8.9499999999999993"/>
    <n v="95.27"/>
    <n v="53.7"/>
    <n v="41.57"/>
    <x v="16"/>
    <x v="6"/>
    <n v="0.43633882649312483"/>
    <n v="17.599769077359085"/>
  </r>
  <r>
    <n v="1505"/>
    <x v="355"/>
    <x v="49"/>
    <x v="1"/>
    <x v="2"/>
    <x v="3"/>
    <x v="2"/>
    <x v="8"/>
    <x v="24"/>
    <n v="3"/>
    <n v="686.82"/>
    <n v="576.24"/>
    <n v="1772"/>
    <n v="1728.72"/>
    <n v="43.28"/>
    <x v="9"/>
    <x v="8"/>
    <n v="2.4424379232505643E-2"/>
    <n v="0.66331828442437923"/>
  </r>
  <r>
    <n v="1079"/>
    <x v="356"/>
    <x v="211"/>
    <x v="1"/>
    <x v="2"/>
    <x v="0"/>
    <x v="0"/>
    <x v="0"/>
    <x v="3"/>
    <n v="5"/>
    <n v="640.74"/>
    <n v="415.53"/>
    <n v="2947.4"/>
    <n v="2077.65"/>
    <n v="869.75"/>
    <x v="14"/>
    <x v="3"/>
    <n v="0.29509058831512519"/>
    <n v="0.14530094320417988"/>
  </r>
  <r>
    <n v="1449"/>
    <x v="356"/>
    <x v="174"/>
    <x v="2"/>
    <x v="2"/>
    <x v="1"/>
    <x v="0"/>
    <x v="2"/>
    <x v="2"/>
    <n v="6"/>
    <n v="562.61"/>
    <n v="406.84"/>
    <n v="3375.66"/>
    <n v="2441.04"/>
    <n v="934.62"/>
    <x v="18"/>
    <x v="1"/>
    <n v="0.27687030091893144"/>
    <n v="-4.0172884709952922E-2"/>
  </r>
  <r>
    <n v="1166"/>
    <x v="357"/>
    <x v="71"/>
    <x v="2"/>
    <x v="3"/>
    <x v="2"/>
    <x v="1"/>
    <x v="1"/>
    <x v="1"/>
    <n v="5"/>
    <n v="720.01"/>
    <n v="363.55"/>
    <n v="3240.05"/>
    <n v="1817.75"/>
    <n v="1422.3"/>
    <x v="22"/>
    <x v="3"/>
    <n v="0.43897470718044473"/>
    <n v="-0.77240166046820269"/>
  </r>
  <r>
    <n v="1876"/>
    <x v="357"/>
    <x v="187"/>
    <x v="0"/>
    <x v="1"/>
    <x v="1"/>
    <x v="0"/>
    <x v="2"/>
    <x v="16"/>
    <n v="1"/>
    <n v="957.7"/>
    <n v="619.94000000000005"/>
    <n v="737.43"/>
    <n v="619.94000000000005"/>
    <n v="117.49"/>
    <x v="3"/>
    <x v="9"/>
    <n v="0.15932359681596897"/>
    <n v="-0.38198879893684817"/>
  </r>
  <r>
    <n v="1433"/>
    <x v="358"/>
    <x v="166"/>
    <x v="0"/>
    <x v="2"/>
    <x v="1"/>
    <x v="0"/>
    <x v="0"/>
    <x v="0"/>
    <n v="3"/>
    <n v="197.29"/>
    <n v="100.87"/>
    <n v="455.74"/>
    <n v="302.61"/>
    <n v="153.13"/>
    <x v="3"/>
    <x v="7"/>
    <n v="0.33600298415763374"/>
    <n v="-0.69375082283758283"/>
  </r>
  <r>
    <n v="1664"/>
    <x v="358"/>
    <x v="18"/>
    <x v="0"/>
    <x v="3"/>
    <x v="3"/>
    <x v="2"/>
    <x v="4"/>
    <x v="8"/>
    <n v="3"/>
    <n v="62.03"/>
    <n v="42.02"/>
    <n v="139.57"/>
    <n v="126.06"/>
    <n v="13.51"/>
    <x v="7"/>
    <x v="7"/>
    <n v="9.6797306011320486E-2"/>
    <n v="4.0879845238948196"/>
  </r>
  <r>
    <n v="1046"/>
    <x v="359"/>
    <x v="38"/>
    <x v="1"/>
    <x v="0"/>
    <x v="3"/>
    <x v="2"/>
    <x v="4"/>
    <x v="28"/>
    <n v="1"/>
    <n v="755.46"/>
    <n v="628.82000000000005"/>
    <n v="710.13"/>
    <n v="628.82000000000005"/>
    <n v="81.31"/>
    <x v="15"/>
    <x v="7"/>
    <n v="0.1145001619421796"/>
    <n v="6.5056820582146937"/>
  </r>
  <r>
    <n v="1157"/>
    <x v="360"/>
    <x v="72"/>
    <x v="1"/>
    <x v="0"/>
    <x v="2"/>
    <x v="1"/>
    <x v="5"/>
    <x v="22"/>
    <n v="6"/>
    <n v="998.13"/>
    <n v="666.18"/>
    <n v="5330.01"/>
    <n v="3997.08"/>
    <n v="1332.93"/>
    <x v="12"/>
    <x v="8"/>
    <n v="0.25008020622850613"/>
    <n v="-0.25615899407318193"/>
  </r>
  <r>
    <n v="1171"/>
    <x v="360"/>
    <x v="37"/>
    <x v="1"/>
    <x v="2"/>
    <x v="2"/>
    <x v="1"/>
    <x v="3"/>
    <x v="6"/>
    <n v="9"/>
    <n v="449.51"/>
    <n v="335.48"/>
    <n v="3964.68"/>
    <n v="3019.32"/>
    <n v="945.36"/>
    <x v="0"/>
    <x v="9"/>
    <n v="0.23844547353128123"/>
    <n v="-0.9362167942936126"/>
  </r>
  <r>
    <n v="1608"/>
    <x v="360"/>
    <x v="8"/>
    <x v="0"/>
    <x v="2"/>
    <x v="2"/>
    <x v="0"/>
    <x v="7"/>
    <x v="25"/>
    <n v="1"/>
    <n v="337.18"/>
    <n v="180.71"/>
    <n v="252.88"/>
    <n v="180.71"/>
    <n v="72.17"/>
    <x v="7"/>
    <x v="4"/>
    <n v="0.28539228092375829"/>
    <n v="2.4618396077190763"/>
  </r>
  <r>
    <n v="1613"/>
    <x v="361"/>
    <x v="98"/>
    <x v="2"/>
    <x v="2"/>
    <x v="3"/>
    <x v="1"/>
    <x v="3"/>
    <x v="6"/>
    <n v="8"/>
    <n v="133.44999999999999"/>
    <n v="76.040000000000006"/>
    <n v="875.43"/>
    <n v="608.32000000000005"/>
    <n v="267.11"/>
    <x v="23"/>
    <x v="2"/>
    <n v="0.30511862741738349"/>
    <n v="-0.72048022114846422"/>
  </r>
  <r>
    <n v="1317"/>
    <x v="362"/>
    <x v="166"/>
    <x v="0"/>
    <x v="1"/>
    <x v="0"/>
    <x v="2"/>
    <x v="4"/>
    <x v="28"/>
    <n v="1"/>
    <n v="344.65"/>
    <n v="272.43"/>
    <n v="244.7"/>
    <n v="272.43"/>
    <n v="-27.73"/>
    <x v="19"/>
    <x v="3"/>
    <n v="-0.11332243563547201"/>
    <n v="6.8467511238250918"/>
  </r>
  <r>
    <n v="1288"/>
    <x v="363"/>
    <x v="115"/>
    <x v="1"/>
    <x v="2"/>
    <x v="0"/>
    <x v="2"/>
    <x v="6"/>
    <x v="13"/>
    <n v="5"/>
    <n v="426.69"/>
    <n v="269.57"/>
    <n v="1920.1"/>
    <n v="1347.85"/>
    <n v="572.25"/>
    <x v="22"/>
    <x v="3"/>
    <n v="0.2980313525337222"/>
    <n v="2.1146554866934015"/>
  </r>
  <r>
    <n v="1527"/>
    <x v="363"/>
    <x v="211"/>
    <x v="1"/>
    <x v="2"/>
    <x v="1"/>
    <x v="0"/>
    <x v="7"/>
    <x v="12"/>
    <n v="8"/>
    <n v="900.67"/>
    <n v="494.29"/>
    <n v="5980.45"/>
    <n v="3954.32"/>
    <n v="2026.13"/>
    <x v="30"/>
    <x v="3"/>
    <n v="0.33879223135382791"/>
    <n v="-0.88416925147773151"/>
  </r>
  <r>
    <n v="1769"/>
    <x v="363"/>
    <x v="86"/>
    <x v="2"/>
    <x v="2"/>
    <x v="2"/>
    <x v="1"/>
    <x v="3"/>
    <x v="4"/>
    <n v="3"/>
    <n v="233.24"/>
    <n v="127.42"/>
    <n v="692.72"/>
    <n v="382.26"/>
    <n v="310.45999999999998"/>
    <x v="27"/>
    <x v="1"/>
    <n v="0.44817530892712781"/>
    <n v="0.21698521769257412"/>
  </r>
  <r>
    <n v="1797"/>
    <x v="363"/>
    <x v="196"/>
    <x v="2"/>
    <x v="0"/>
    <x v="3"/>
    <x v="0"/>
    <x v="2"/>
    <x v="2"/>
    <n v="8"/>
    <n v="148.41999999999999"/>
    <n v="118.54"/>
    <n v="843.03"/>
    <n v="948.32"/>
    <n v="-105.29"/>
    <x v="19"/>
    <x v="4"/>
    <n v="-0.12489472498013121"/>
    <n v="2.4780494169839744"/>
  </r>
  <r>
    <n v="1332"/>
    <x v="364"/>
    <x v="30"/>
    <x v="1"/>
    <x v="0"/>
    <x v="0"/>
    <x v="1"/>
    <x v="1"/>
    <x v="9"/>
    <n v="4"/>
    <n v="904.97"/>
    <n v="646.87"/>
    <n v="2932.1"/>
    <n v="2587.48"/>
    <n v="344.62"/>
    <x v="21"/>
    <x v="7"/>
    <n v="0.11753350840694383"/>
    <n v="1.9832440912656457"/>
  </r>
  <r>
    <n v="1980"/>
    <x v="364"/>
    <x v="13"/>
    <x v="1"/>
    <x v="3"/>
    <x v="3"/>
    <x v="1"/>
    <x v="1"/>
    <x v="1"/>
    <n v="10"/>
    <n v="901.77"/>
    <n v="552.63"/>
    <n v="8747.17"/>
    <n v="5526.3"/>
    <n v="3220.87"/>
    <x v="28"/>
    <x v="5"/>
    <n v="0.36821852096163671"/>
    <n v="-0.84139555993538484"/>
  </r>
  <r>
    <n v="1388"/>
    <x v="365"/>
    <x v="90"/>
    <x v="1"/>
    <x v="3"/>
    <x v="1"/>
    <x v="2"/>
    <x v="4"/>
    <x v="8"/>
    <n v="3"/>
    <n v="592.88"/>
    <n v="391.18"/>
    <n v="1387.34"/>
    <n v="1173.54"/>
    <n v="213.8"/>
    <x v="13"/>
    <x v="9"/>
    <n v="0.15410786108668389"/>
    <n v="-0.20307206596796751"/>
  </r>
  <r>
    <n v="1376"/>
    <x v="366"/>
    <x v="212"/>
    <x v="1"/>
    <x v="3"/>
    <x v="1"/>
    <x v="1"/>
    <x v="5"/>
    <x v="26"/>
    <n v="2"/>
    <n v="699.75"/>
    <n v="462.55"/>
    <n v="1105.6099999999999"/>
    <n v="925.1"/>
    <n v="180.51"/>
    <x v="1"/>
    <x v="7"/>
    <n v="0.16326733658342454"/>
    <n v="5.7188610812130865"/>
  </r>
  <r>
    <n v="1721"/>
    <x v="366"/>
    <x v="114"/>
    <x v="2"/>
    <x v="0"/>
    <x v="0"/>
    <x v="0"/>
    <x v="2"/>
    <x v="16"/>
    <n v="10"/>
    <n v="790.26"/>
    <n v="406.71"/>
    <n v="7428.44"/>
    <n v="4067.1"/>
    <n v="3361.34"/>
    <x v="15"/>
    <x v="7"/>
    <n v="0.45249608262300028"/>
    <n v="-0.9424993672964983"/>
  </r>
  <r>
    <n v="1900"/>
    <x v="366"/>
    <x v="44"/>
    <x v="2"/>
    <x v="0"/>
    <x v="0"/>
    <x v="2"/>
    <x v="8"/>
    <x v="18"/>
    <n v="1"/>
    <n v="554.73"/>
    <n v="287.49"/>
    <n v="427.14"/>
    <n v="287.49"/>
    <n v="139.65"/>
    <x v="3"/>
    <x v="8"/>
    <n v="0.32694198623402165"/>
    <n v="15.31554057217774"/>
  </r>
  <r>
    <n v="1205"/>
    <x v="367"/>
    <x v="151"/>
    <x v="0"/>
    <x v="3"/>
    <x v="3"/>
    <x v="1"/>
    <x v="3"/>
    <x v="4"/>
    <n v="8"/>
    <n v="967.92"/>
    <n v="748.87"/>
    <n v="6969.02"/>
    <n v="5990.96"/>
    <n v="978.06"/>
    <x v="22"/>
    <x v="3"/>
    <n v="0.1403439794978347"/>
    <n v="-0.14684848084809632"/>
  </r>
  <r>
    <n v="1273"/>
    <x v="368"/>
    <x v="176"/>
    <x v="2"/>
    <x v="2"/>
    <x v="2"/>
    <x v="1"/>
    <x v="1"/>
    <x v="23"/>
    <n v="8"/>
    <n v="844.55"/>
    <n v="513.41999999999996"/>
    <n v="5945.63"/>
    <n v="4107.3599999999997"/>
    <n v="1838.27"/>
    <x v="2"/>
    <x v="0"/>
    <n v="0.30918001961104208"/>
    <n v="-0.84951132176068811"/>
  </r>
  <r>
    <n v="1290"/>
    <x v="369"/>
    <x v="23"/>
    <x v="0"/>
    <x v="3"/>
    <x v="3"/>
    <x v="0"/>
    <x v="7"/>
    <x v="14"/>
    <n v="5"/>
    <n v="192.42"/>
    <n v="131.05000000000001"/>
    <n v="894.75"/>
    <n v="655.25"/>
    <n v="239.5"/>
    <x v="4"/>
    <x v="7"/>
    <n v="0.26767253422743781"/>
    <n v="0.81561329980441466"/>
  </r>
  <r>
    <n v="1051"/>
    <x v="370"/>
    <x v="22"/>
    <x v="1"/>
    <x v="3"/>
    <x v="3"/>
    <x v="2"/>
    <x v="8"/>
    <x v="19"/>
    <n v="8"/>
    <n v="247.64"/>
    <n v="164.1"/>
    <n v="1624.52"/>
    <n v="1312.8"/>
    <n v="311.72000000000003"/>
    <x v="23"/>
    <x v="4"/>
    <n v="0.1918843719991136"/>
    <n v="-0.76601088321473432"/>
  </r>
  <r>
    <n v="1643"/>
    <x v="370"/>
    <x v="213"/>
    <x v="1"/>
    <x v="2"/>
    <x v="0"/>
    <x v="0"/>
    <x v="7"/>
    <x v="14"/>
    <n v="2"/>
    <n v="250.08"/>
    <n v="173.59"/>
    <n v="380.12"/>
    <n v="347.18"/>
    <n v="32.94"/>
    <x v="17"/>
    <x v="3"/>
    <n v="8.66568452067768E-2"/>
    <n v="13.123119015047878"/>
  </r>
  <r>
    <n v="1481"/>
    <x v="371"/>
    <x v="179"/>
    <x v="1"/>
    <x v="0"/>
    <x v="3"/>
    <x v="2"/>
    <x v="8"/>
    <x v="20"/>
    <n v="8"/>
    <n v="754"/>
    <n v="485.98"/>
    <n v="5368.48"/>
    <n v="3887.84"/>
    <n v="1480.64"/>
    <x v="12"/>
    <x v="0"/>
    <n v="0.27580246177689033"/>
    <n v="-2.4783551396298259E-2"/>
  </r>
  <r>
    <n v="1343"/>
    <x v="372"/>
    <x v="214"/>
    <x v="1"/>
    <x v="3"/>
    <x v="2"/>
    <x v="1"/>
    <x v="3"/>
    <x v="15"/>
    <n v="6"/>
    <n v="958.87"/>
    <n v="536.03"/>
    <n v="5235.43"/>
    <n v="3216.18"/>
    <n v="2019.25"/>
    <x v="5"/>
    <x v="1"/>
    <n v="0.38568942761148556"/>
    <n v="-0.92617989353310048"/>
  </r>
  <r>
    <n v="1906"/>
    <x v="372"/>
    <x v="24"/>
    <x v="2"/>
    <x v="2"/>
    <x v="2"/>
    <x v="0"/>
    <x v="7"/>
    <x v="14"/>
    <n v="4"/>
    <n v="127.13"/>
    <n v="95.82"/>
    <n v="386.48"/>
    <n v="383.28"/>
    <n v="3.2"/>
    <x v="17"/>
    <x v="7"/>
    <n v="8.2798592423928789E-3"/>
    <n v="6.4157265576485205"/>
  </r>
  <r>
    <n v="1345"/>
    <x v="373"/>
    <x v="190"/>
    <x v="2"/>
    <x v="0"/>
    <x v="3"/>
    <x v="2"/>
    <x v="4"/>
    <x v="28"/>
    <n v="5"/>
    <n v="734.88"/>
    <n v="528.61"/>
    <n v="2866.03"/>
    <n v="2643.05"/>
    <n v="222.98"/>
    <x v="13"/>
    <x v="7"/>
    <n v="7.7800999989532549E-2"/>
    <n v="-0.39791977055369282"/>
  </r>
  <r>
    <n v="1719"/>
    <x v="373"/>
    <x v="150"/>
    <x v="2"/>
    <x v="1"/>
    <x v="2"/>
    <x v="2"/>
    <x v="8"/>
    <x v="24"/>
    <n v="3"/>
    <n v="810.13"/>
    <n v="459.47"/>
    <n v="1725.58"/>
    <n v="1378.41"/>
    <n v="347.17"/>
    <x v="19"/>
    <x v="4"/>
    <n v="0.20119032441266127"/>
    <n v="7.0161916572978461E-2"/>
  </r>
  <r>
    <n v="1401"/>
    <x v="374"/>
    <x v="85"/>
    <x v="1"/>
    <x v="3"/>
    <x v="1"/>
    <x v="1"/>
    <x v="5"/>
    <x v="10"/>
    <n v="7"/>
    <n v="361.38"/>
    <n v="197.73"/>
    <n v="1846.65"/>
    <n v="1384.11"/>
    <n v="462.54"/>
    <x v="24"/>
    <x v="0"/>
    <n v="0.25047518479408659"/>
    <n v="-0.70301898031570675"/>
  </r>
  <r>
    <n v="1286"/>
    <x v="375"/>
    <x v="62"/>
    <x v="2"/>
    <x v="1"/>
    <x v="3"/>
    <x v="0"/>
    <x v="2"/>
    <x v="2"/>
    <n v="2"/>
    <n v="288.64"/>
    <n v="183.37"/>
    <n v="548.41999999999996"/>
    <n v="366.74"/>
    <n v="181.68"/>
    <x v="10"/>
    <x v="9"/>
    <n v="0.33127894679260422"/>
    <n v="5.3641187411108282"/>
  </r>
  <r>
    <n v="1942"/>
    <x v="375"/>
    <x v="202"/>
    <x v="1"/>
    <x v="2"/>
    <x v="0"/>
    <x v="0"/>
    <x v="0"/>
    <x v="3"/>
    <n v="4"/>
    <n v="890.36"/>
    <n v="689.13"/>
    <n v="3490.21"/>
    <n v="2756.52"/>
    <n v="733.69"/>
    <x v="0"/>
    <x v="5"/>
    <n v="0.2102137120689013"/>
    <n v="0.89245059752851552"/>
  </r>
  <r>
    <n v="1050"/>
    <x v="376"/>
    <x v="65"/>
    <x v="0"/>
    <x v="1"/>
    <x v="2"/>
    <x v="0"/>
    <x v="2"/>
    <x v="16"/>
    <n v="9"/>
    <n v="965.65"/>
    <n v="574.11"/>
    <n v="6605.05"/>
    <n v="5166.99"/>
    <n v="1438.06"/>
    <x v="17"/>
    <x v="6"/>
    <n v="0.21772128901370918"/>
    <n v="-0.77544908819766689"/>
  </r>
  <r>
    <n v="1940"/>
    <x v="376"/>
    <x v="49"/>
    <x v="0"/>
    <x v="3"/>
    <x v="1"/>
    <x v="0"/>
    <x v="2"/>
    <x v="5"/>
    <n v="2"/>
    <n v="963.1"/>
    <n v="783.85"/>
    <n v="1483.17"/>
    <n v="1567.7"/>
    <n v="-84.53"/>
    <x v="3"/>
    <x v="4"/>
    <n v="-5.6992792464788257E-2"/>
    <n v="0.30364017610927935"/>
  </r>
  <r>
    <n v="1837"/>
    <x v="377"/>
    <x v="28"/>
    <x v="0"/>
    <x v="0"/>
    <x v="1"/>
    <x v="1"/>
    <x v="5"/>
    <x v="10"/>
    <n v="7"/>
    <n v="378.38"/>
    <n v="230.72"/>
    <n v="1933.52"/>
    <n v="1615.04"/>
    <n v="318.48"/>
    <x v="24"/>
    <x v="8"/>
    <n v="0.16471513095287352"/>
    <n v="-0.30923393603376231"/>
  </r>
  <r>
    <n v="1490"/>
    <x v="378"/>
    <x v="2"/>
    <x v="1"/>
    <x v="1"/>
    <x v="2"/>
    <x v="1"/>
    <x v="1"/>
    <x v="23"/>
    <n v="3"/>
    <n v="542.92999999999995"/>
    <n v="353.41"/>
    <n v="1335.61"/>
    <n v="1060.23"/>
    <n v="275.38"/>
    <x v="23"/>
    <x v="2"/>
    <n v="0.20618294262546702"/>
    <n v="-0.6029379833933558"/>
  </r>
  <r>
    <n v="1791"/>
    <x v="378"/>
    <x v="40"/>
    <x v="2"/>
    <x v="0"/>
    <x v="3"/>
    <x v="0"/>
    <x v="2"/>
    <x v="16"/>
    <n v="6"/>
    <n v="122.76"/>
    <n v="101.05"/>
    <n v="530.32000000000005"/>
    <n v="606.29999999999995"/>
    <n v="-75.98"/>
    <x v="11"/>
    <x v="7"/>
    <n v="-0.14327198672499622"/>
    <n v="4.7091001659375467"/>
  </r>
  <r>
    <n v="1038"/>
    <x v="379"/>
    <x v="143"/>
    <x v="2"/>
    <x v="0"/>
    <x v="0"/>
    <x v="0"/>
    <x v="2"/>
    <x v="5"/>
    <n v="9"/>
    <n v="467.23"/>
    <n v="324.77"/>
    <n v="3027.65"/>
    <n v="2922.93"/>
    <n v="104.72"/>
    <x v="11"/>
    <x v="2"/>
    <n v="3.4587881690419958E-2"/>
    <n v="-0.78460852476343035"/>
  </r>
  <r>
    <n v="1468"/>
    <x v="379"/>
    <x v="52"/>
    <x v="2"/>
    <x v="0"/>
    <x v="2"/>
    <x v="2"/>
    <x v="4"/>
    <x v="8"/>
    <n v="1"/>
    <n v="758.29"/>
    <n v="554.54"/>
    <n v="652.13"/>
    <n v="554.54"/>
    <n v="97.59"/>
    <x v="9"/>
    <x v="3"/>
    <n v="0.14964807630380447"/>
    <n v="1.4602916596384157"/>
  </r>
  <r>
    <n v="1611"/>
    <x v="379"/>
    <x v="96"/>
    <x v="0"/>
    <x v="1"/>
    <x v="1"/>
    <x v="2"/>
    <x v="8"/>
    <x v="19"/>
    <n v="4"/>
    <n v="471.89"/>
    <n v="308.3"/>
    <n v="1604.43"/>
    <n v="1233.2"/>
    <n v="371.23"/>
    <x v="25"/>
    <x v="9"/>
    <n v="0.23137812182519649"/>
    <n v="-0.16108524522727699"/>
  </r>
  <r>
    <n v="1925"/>
    <x v="379"/>
    <x v="148"/>
    <x v="2"/>
    <x v="2"/>
    <x v="1"/>
    <x v="2"/>
    <x v="8"/>
    <x v="24"/>
    <n v="7"/>
    <n v="267.06"/>
    <n v="185.37"/>
    <n v="1345.98"/>
    <n v="1297.5899999999999"/>
    <n v="48.39"/>
    <x v="11"/>
    <x v="2"/>
    <n v="3.5951500022288592E-2"/>
    <n v="-0.52115930400154531"/>
  </r>
  <r>
    <n v="1242"/>
    <x v="380"/>
    <x v="189"/>
    <x v="0"/>
    <x v="0"/>
    <x v="1"/>
    <x v="1"/>
    <x v="5"/>
    <x v="26"/>
    <n v="3"/>
    <n v="258.83999999999997"/>
    <n v="138.74"/>
    <n v="644.51"/>
    <n v="416.22"/>
    <n v="228.29"/>
    <x v="30"/>
    <x v="2"/>
    <n v="0.35420707203922358"/>
    <n v="-0.94080774541900047"/>
  </r>
  <r>
    <n v="1315"/>
    <x v="381"/>
    <x v="166"/>
    <x v="2"/>
    <x v="0"/>
    <x v="1"/>
    <x v="0"/>
    <x v="2"/>
    <x v="16"/>
    <n v="9"/>
    <n v="5.17"/>
    <n v="2.75"/>
    <n v="38.15"/>
    <n v="24.75"/>
    <n v="13.4"/>
    <x v="23"/>
    <x v="9"/>
    <n v="0.35124508519003933"/>
    <n v="181.98820445609439"/>
  </r>
  <r>
    <n v="1068"/>
    <x v="382"/>
    <x v="153"/>
    <x v="2"/>
    <x v="2"/>
    <x v="3"/>
    <x v="1"/>
    <x v="5"/>
    <x v="26"/>
    <n v="8"/>
    <n v="881.44"/>
    <n v="590.26"/>
    <n v="6981"/>
    <n v="4722.08"/>
    <n v="2258.92"/>
    <x v="27"/>
    <x v="9"/>
    <n v="0.32358114883254552"/>
    <n v="-0.90068758057584875"/>
  </r>
  <r>
    <n v="1793"/>
    <x v="383"/>
    <x v="32"/>
    <x v="0"/>
    <x v="0"/>
    <x v="0"/>
    <x v="2"/>
    <x v="4"/>
    <x v="28"/>
    <n v="6"/>
    <n v="152.04"/>
    <n v="99.79"/>
    <n v="693.3"/>
    <n v="598.74"/>
    <n v="94.56"/>
    <x v="17"/>
    <x v="0"/>
    <n v="0.13639117265253139"/>
    <n v="-0.23872782345305063"/>
  </r>
  <r>
    <n v="1010"/>
    <x v="384"/>
    <x v="193"/>
    <x v="1"/>
    <x v="0"/>
    <x v="3"/>
    <x v="1"/>
    <x v="3"/>
    <x v="4"/>
    <n v="4"/>
    <n v="157.08000000000001"/>
    <n v="120.46"/>
    <n v="527.79"/>
    <n v="481.84"/>
    <n v="45.95"/>
    <x v="29"/>
    <x v="6"/>
    <n v="8.7061141741980722E-2"/>
    <n v="3.5238636578942386"/>
  </r>
  <r>
    <n v="1807"/>
    <x v="384"/>
    <x v="85"/>
    <x v="0"/>
    <x v="3"/>
    <x v="2"/>
    <x v="1"/>
    <x v="3"/>
    <x v="6"/>
    <n v="6"/>
    <n v="410.25"/>
    <n v="311.58999999999997"/>
    <n v="2387.65"/>
    <n v="1869.54"/>
    <n v="518.11"/>
    <x v="28"/>
    <x v="8"/>
    <n v="0.21699579084036605"/>
    <n v="1.4615751889933617"/>
  </r>
  <r>
    <n v="1894"/>
    <x v="384"/>
    <x v="70"/>
    <x v="1"/>
    <x v="2"/>
    <x v="0"/>
    <x v="0"/>
    <x v="0"/>
    <x v="3"/>
    <n v="7"/>
    <n v="874.61"/>
    <n v="611.53"/>
    <n v="5877.38"/>
    <n v="4280.71"/>
    <n v="1596.67"/>
    <x v="16"/>
    <x v="6"/>
    <n v="0.27166356437732458"/>
    <n v="-0.38164624373445311"/>
  </r>
  <r>
    <n v="1358"/>
    <x v="385"/>
    <x v="50"/>
    <x v="2"/>
    <x v="1"/>
    <x v="2"/>
    <x v="1"/>
    <x v="3"/>
    <x v="6"/>
    <n v="7"/>
    <n v="524.42999999999995"/>
    <n v="330.2"/>
    <n v="3634.3"/>
    <n v="2311.4"/>
    <n v="1322.9"/>
    <x v="27"/>
    <x v="6"/>
    <n v="0.36400407231103654"/>
    <n v="-0.5650166469471426"/>
  </r>
  <r>
    <n v="1320"/>
    <x v="386"/>
    <x v="13"/>
    <x v="2"/>
    <x v="0"/>
    <x v="1"/>
    <x v="1"/>
    <x v="1"/>
    <x v="1"/>
    <n v="3"/>
    <n v="693.36"/>
    <n v="388.82"/>
    <n v="1580.86"/>
    <n v="1166.46"/>
    <n v="414.4"/>
    <x v="17"/>
    <x v="2"/>
    <n v="0.26213579950153715"/>
    <n v="-0.66916741520438239"/>
  </r>
  <r>
    <n v="1034"/>
    <x v="387"/>
    <x v="149"/>
    <x v="0"/>
    <x v="3"/>
    <x v="1"/>
    <x v="1"/>
    <x v="1"/>
    <x v="1"/>
    <n v="3"/>
    <n v="195.88"/>
    <n v="143.53"/>
    <n v="523"/>
    <n v="430.59"/>
    <n v="92.41"/>
    <x v="12"/>
    <x v="8"/>
    <n v="0.17669216061185467"/>
    <n v="1.2198087954110899"/>
  </r>
  <r>
    <n v="1099"/>
    <x v="387"/>
    <x v="93"/>
    <x v="1"/>
    <x v="1"/>
    <x v="2"/>
    <x v="2"/>
    <x v="6"/>
    <x v="13"/>
    <n v="2"/>
    <n v="763.79"/>
    <n v="535.37"/>
    <n v="1160.96"/>
    <n v="1070.74"/>
    <n v="90.22"/>
    <x v="17"/>
    <x v="6"/>
    <n v="7.771154906284454E-2"/>
    <n v="8.0218095369349401E-2"/>
  </r>
  <r>
    <n v="1111"/>
    <x v="387"/>
    <x v="27"/>
    <x v="0"/>
    <x v="1"/>
    <x v="0"/>
    <x v="2"/>
    <x v="6"/>
    <x v="13"/>
    <n v="2"/>
    <n v="646.44000000000005"/>
    <n v="544.35"/>
    <n v="1254.0899999999999"/>
    <n v="1088.7"/>
    <n v="165.39"/>
    <x v="28"/>
    <x v="9"/>
    <n v="0.13188048704638422"/>
    <n v="1.0618376671530754"/>
  </r>
  <r>
    <n v="1112"/>
    <x v="387"/>
    <x v="66"/>
    <x v="1"/>
    <x v="0"/>
    <x v="1"/>
    <x v="1"/>
    <x v="3"/>
    <x v="6"/>
    <n v="6"/>
    <n v="606.98"/>
    <n v="410"/>
    <n v="2585.73"/>
    <n v="2460"/>
    <n v="125.73"/>
    <x v="19"/>
    <x v="0"/>
    <n v="4.862456637003864E-2"/>
    <n v="0.41857038437887945"/>
  </r>
  <r>
    <n v="1127"/>
    <x v="387"/>
    <x v="212"/>
    <x v="0"/>
    <x v="1"/>
    <x v="0"/>
    <x v="1"/>
    <x v="1"/>
    <x v="9"/>
    <n v="5"/>
    <n v="748.58"/>
    <n v="467.85"/>
    <n v="3668.04"/>
    <n v="2339.25"/>
    <n v="1328.79"/>
    <x v="0"/>
    <x v="1"/>
    <n v="0.36226158929564561"/>
    <n v="-9.4022965943664771E-2"/>
  </r>
  <r>
    <n v="1154"/>
    <x v="387"/>
    <x v="160"/>
    <x v="1"/>
    <x v="1"/>
    <x v="3"/>
    <x v="0"/>
    <x v="2"/>
    <x v="2"/>
    <n v="6"/>
    <n v="675.44"/>
    <n v="569.37"/>
    <n v="3323.16"/>
    <n v="3416.22"/>
    <n v="-93.06"/>
    <x v="23"/>
    <x v="7"/>
    <n v="-2.8003466580002169E-2"/>
    <n v="0.93807701103768715"/>
  </r>
  <r>
    <n v="1346"/>
    <x v="387"/>
    <x v="109"/>
    <x v="1"/>
    <x v="1"/>
    <x v="2"/>
    <x v="2"/>
    <x v="4"/>
    <x v="21"/>
    <n v="9"/>
    <n v="894.52"/>
    <n v="616.22"/>
    <n v="6440.54"/>
    <n v="5545.98"/>
    <n v="894.56"/>
    <x v="20"/>
    <x v="8"/>
    <n v="0.13889518580740123"/>
    <n v="-0.95524909402006664"/>
  </r>
  <r>
    <n v="1334"/>
    <x v="388"/>
    <x v="130"/>
    <x v="2"/>
    <x v="3"/>
    <x v="2"/>
    <x v="0"/>
    <x v="7"/>
    <x v="12"/>
    <n v="2"/>
    <n v="171.56"/>
    <n v="143.19999999999999"/>
    <n v="288.22000000000003"/>
    <n v="286.39999999999998"/>
    <n v="1.82"/>
    <x v="29"/>
    <x v="7"/>
    <n v="6.3146207757962666E-3"/>
    <n v="2.687599750190826"/>
  </r>
  <r>
    <n v="1070"/>
    <x v="389"/>
    <x v="209"/>
    <x v="0"/>
    <x v="1"/>
    <x v="1"/>
    <x v="2"/>
    <x v="6"/>
    <x v="27"/>
    <n v="7"/>
    <n v="194.66"/>
    <n v="138.16999999999999"/>
    <n v="1062.8399999999999"/>
    <n v="967.19"/>
    <n v="95.65"/>
    <x v="13"/>
    <x v="8"/>
    <n v="8.9994731097813419E-2"/>
    <n v="1.4524199315042718"/>
  </r>
  <r>
    <n v="1036"/>
    <x v="390"/>
    <x v="200"/>
    <x v="1"/>
    <x v="2"/>
    <x v="0"/>
    <x v="0"/>
    <x v="7"/>
    <x v="14"/>
    <n v="10"/>
    <n v="338.51"/>
    <n v="266.22000000000003"/>
    <n v="2606.5300000000002"/>
    <n v="2662.2"/>
    <n v="-55.67"/>
    <x v="3"/>
    <x v="3"/>
    <n v="-2.1357897281059492E-2"/>
    <n v="-0.56666909646157926"/>
  </r>
  <r>
    <n v="1920"/>
    <x v="390"/>
    <x v="86"/>
    <x v="1"/>
    <x v="3"/>
    <x v="2"/>
    <x v="0"/>
    <x v="7"/>
    <x v="12"/>
    <n v="3"/>
    <n v="384.18"/>
    <n v="326.26"/>
    <n v="1129.49"/>
    <n v="978.78"/>
    <n v="150.71"/>
    <x v="0"/>
    <x v="2"/>
    <n v="0.1334319028942266"/>
    <n v="0.51011518472939121"/>
  </r>
  <r>
    <n v="1814"/>
    <x v="391"/>
    <x v="215"/>
    <x v="0"/>
    <x v="3"/>
    <x v="0"/>
    <x v="1"/>
    <x v="1"/>
    <x v="1"/>
    <n v="8"/>
    <n v="266.51"/>
    <n v="214.92"/>
    <n v="1705.66"/>
    <n v="1719.36"/>
    <n v="-13.7"/>
    <x v="20"/>
    <x v="9"/>
    <n v="-8.0320814230268635E-3"/>
    <n v="1.6958420787261235"/>
  </r>
  <r>
    <n v="1950"/>
    <x v="391"/>
    <x v="43"/>
    <x v="0"/>
    <x v="3"/>
    <x v="1"/>
    <x v="2"/>
    <x v="8"/>
    <x v="19"/>
    <n v="10"/>
    <n v="474.04"/>
    <n v="285.33999999999997"/>
    <n v="4598.1899999999996"/>
    <n v="2853.4"/>
    <n v="1744.79"/>
    <x v="28"/>
    <x v="4"/>
    <n v="0.37945147982140803"/>
    <n v="-0.5090068048514742"/>
  </r>
  <r>
    <n v="1093"/>
    <x v="392"/>
    <x v="31"/>
    <x v="0"/>
    <x v="2"/>
    <x v="0"/>
    <x v="1"/>
    <x v="3"/>
    <x v="4"/>
    <n v="5"/>
    <n v="460.75"/>
    <n v="385.84"/>
    <n v="2257.6799999999998"/>
    <n v="1929.2"/>
    <n v="328.48"/>
    <x v="0"/>
    <x v="0"/>
    <n v="0.14549448991885477"/>
    <n v="0.15600527975620995"/>
  </r>
  <r>
    <n v="1370"/>
    <x v="392"/>
    <x v="60"/>
    <x v="1"/>
    <x v="3"/>
    <x v="1"/>
    <x v="0"/>
    <x v="7"/>
    <x v="25"/>
    <n v="4"/>
    <n v="758.69"/>
    <n v="634.59"/>
    <n v="2609.89"/>
    <n v="2538.36"/>
    <n v="71.53"/>
    <x v="9"/>
    <x v="0"/>
    <n v="2.7407285364517281E-2"/>
    <n v="-0.48936545218380845"/>
  </r>
  <r>
    <n v="1130"/>
    <x v="393"/>
    <x v="91"/>
    <x v="1"/>
    <x v="1"/>
    <x v="3"/>
    <x v="2"/>
    <x v="4"/>
    <x v="28"/>
    <n v="5"/>
    <n v="360.19"/>
    <n v="278.52999999999997"/>
    <n v="1332.7"/>
    <n v="1392.65"/>
    <n v="-59.95"/>
    <x v="26"/>
    <x v="5"/>
    <n v="-4.4983867336985069E-2"/>
    <n v="0.1271403916860509"/>
  </r>
  <r>
    <n v="1681"/>
    <x v="394"/>
    <x v="4"/>
    <x v="1"/>
    <x v="1"/>
    <x v="1"/>
    <x v="0"/>
    <x v="2"/>
    <x v="2"/>
    <n v="4"/>
    <n v="431.65"/>
    <n v="358.13"/>
    <n v="1502.14"/>
    <n v="1432.52"/>
    <n v="69.62"/>
    <x v="6"/>
    <x v="0"/>
    <n v="4.6347211311861744E-2"/>
    <n v="-0.93304885030689555"/>
  </r>
  <r>
    <n v="1351"/>
    <x v="395"/>
    <x v="48"/>
    <x v="2"/>
    <x v="1"/>
    <x v="3"/>
    <x v="0"/>
    <x v="0"/>
    <x v="7"/>
    <n v="10"/>
    <n v="11.56"/>
    <n v="9.35"/>
    <n v="100.57"/>
    <n v="93.5"/>
    <n v="7.07"/>
    <x v="6"/>
    <x v="1"/>
    <n v="7.0299294024062847E-2"/>
    <n v="3.6826091279705682"/>
  </r>
  <r>
    <n v="1231"/>
    <x v="396"/>
    <x v="153"/>
    <x v="2"/>
    <x v="0"/>
    <x v="3"/>
    <x v="2"/>
    <x v="6"/>
    <x v="27"/>
    <n v="8"/>
    <n v="75.47"/>
    <n v="47.85"/>
    <n v="470.93"/>
    <n v="382.8"/>
    <n v="88.13"/>
    <x v="13"/>
    <x v="2"/>
    <n v="0.18714033932856261"/>
    <n v="4.2175482555793851"/>
  </r>
  <r>
    <n v="1312"/>
    <x v="396"/>
    <x v="152"/>
    <x v="1"/>
    <x v="0"/>
    <x v="1"/>
    <x v="1"/>
    <x v="3"/>
    <x v="6"/>
    <n v="8"/>
    <n v="349.02"/>
    <n v="257.12"/>
    <n v="2457.1"/>
    <n v="2056.96"/>
    <n v="400.14"/>
    <x v="2"/>
    <x v="6"/>
    <n v="0.16285051483456106"/>
    <n v="0.87604493101623881"/>
  </r>
  <r>
    <n v="1385"/>
    <x v="397"/>
    <x v="22"/>
    <x v="2"/>
    <x v="2"/>
    <x v="0"/>
    <x v="2"/>
    <x v="4"/>
    <x v="28"/>
    <n v="5"/>
    <n v="940.74"/>
    <n v="701.08"/>
    <n v="4609.63"/>
    <n v="3505.4"/>
    <n v="1104.23"/>
    <x v="0"/>
    <x v="8"/>
    <n v="0.23954851040105171"/>
    <n v="-0.2651319086347495"/>
  </r>
  <r>
    <n v="1398"/>
    <x v="397"/>
    <x v="27"/>
    <x v="0"/>
    <x v="3"/>
    <x v="2"/>
    <x v="0"/>
    <x v="2"/>
    <x v="16"/>
    <n v="4"/>
    <n v="973.41"/>
    <n v="567.1"/>
    <n v="3387.47"/>
    <n v="2268.4"/>
    <n v="1119.07"/>
    <x v="6"/>
    <x v="7"/>
    <n v="0.33035569318695074"/>
    <n v="-0.86611541947234949"/>
  </r>
  <r>
    <n v="1436"/>
    <x v="397"/>
    <x v="195"/>
    <x v="0"/>
    <x v="0"/>
    <x v="2"/>
    <x v="1"/>
    <x v="3"/>
    <x v="15"/>
    <n v="1"/>
    <n v="559.91"/>
    <n v="381.1"/>
    <n v="453.53"/>
    <n v="381.1"/>
    <n v="72.430000000000007"/>
    <x v="21"/>
    <x v="7"/>
    <n v="0.15970277600158758"/>
    <n v="1.3761603422044852"/>
  </r>
  <r>
    <n v="1706"/>
    <x v="397"/>
    <x v="75"/>
    <x v="1"/>
    <x v="3"/>
    <x v="0"/>
    <x v="2"/>
    <x v="4"/>
    <x v="21"/>
    <n v="6"/>
    <n v="246.04"/>
    <n v="169.46"/>
    <n v="1077.6600000000001"/>
    <n v="1016.76"/>
    <n v="60.9"/>
    <x v="24"/>
    <x v="1"/>
    <n v="5.6511330104114466E-2"/>
    <n v="3.9871016832767285"/>
  </r>
  <r>
    <n v="1276"/>
    <x v="398"/>
    <x v="124"/>
    <x v="1"/>
    <x v="1"/>
    <x v="2"/>
    <x v="0"/>
    <x v="0"/>
    <x v="0"/>
    <n v="7"/>
    <n v="903.26"/>
    <n v="677.45"/>
    <n v="5374.4"/>
    <n v="4742.1499999999996"/>
    <n v="632.25"/>
    <x v="25"/>
    <x v="6"/>
    <n v="0.1176410389997023"/>
    <n v="-0.46756289074129198"/>
  </r>
  <r>
    <n v="1958"/>
    <x v="398"/>
    <x v="216"/>
    <x v="0"/>
    <x v="2"/>
    <x v="2"/>
    <x v="0"/>
    <x v="7"/>
    <x v="14"/>
    <n v="4"/>
    <n v="803.8"/>
    <n v="669.72"/>
    <n v="2861.53"/>
    <n v="2678.88"/>
    <n v="182.65"/>
    <x v="12"/>
    <x v="9"/>
    <n v="6.3829489818383864E-2"/>
    <n v="-0.90558197887144298"/>
  </r>
  <r>
    <n v="1190"/>
    <x v="399"/>
    <x v="8"/>
    <x v="2"/>
    <x v="0"/>
    <x v="0"/>
    <x v="0"/>
    <x v="2"/>
    <x v="16"/>
    <n v="4"/>
    <n v="72.63"/>
    <n v="40.15"/>
    <n v="270.18"/>
    <n v="160.6"/>
    <n v="109.58"/>
    <x v="4"/>
    <x v="0"/>
    <n v="0.40558146420904578"/>
    <n v="7.4906358723813753"/>
  </r>
  <r>
    <n v="1456"/>
    <x v="399"/>
    <x v="44"/>
    <x v="0"/>
    <x v="2"/>
    <x v="0"/>
    <x v="1"/>
    <x v="3"/>
    <x v="6"/>
    <n v="4"/>
    <n v="725.95"/>
    <n v="479.69"/>
    <n v="2294"/>
    <n v="1918.76"/>
    <n v="375.24"/>
    <x v="1"/>
    <x v="6"/>
    <n v="0.16357454228421972"/>
    <n v="0.77258936355710561"/>
  </r>
  <r>
    <n v="1572"/>
    <x v="400"/>
    <x v="55"/>
    <x v="2"/>
    <x v="2"/>
    <x v="0"/>
    <x v="0"/>
    <x v="0"/>
    <x v="3"/>
    <n v="7"/>
    <n v="806.81"/>
    <n v="613.49"/>
    <n v="4066.32"/>
    <n v="4294.43"/>
    <n v="-228.11"/>
    <x v="11"/>
    <x v="1"/>
    <n v="-5.6097405024690628E-2"/>
    <n v="-0.96360837317279502"/>
  </r>
  <r>
    <n v="1593"/>
    <x v="401"/>
    <x v="192"/>
    <x v="2"/>
    <x v="1"/>
    <x v="0"/>
    <x v="2"/>
    <x v="6"/>
    <x v="11"/>
    <n v="6"/>
    <n v="30.83"/>
    <n v="22.77"/>
    <n v="147.97999999999999"/>
    <n v="136.62"/>
    <n v="11.36"/>
    <x v="20"/>
    <x v="4"/>
    <n v="7.6767130693336932E-2"/>
    <n v="8.1178537640221649"/>
  </r>
  <r>
    <n v="1476"/>
    <x v="402"/>
    <x v="217"/>
    <x v="0"/>
    <x v="1"/>
    <x v="0"/>
    <x v="1"/>
    <x v="3"/>
    <x v="6"/>
    <n v="4"/>
    <n v="475.09"/>
    <n v="360.87"/>
    <n v="1349.26"/>
    <n v="1443.48"/>
    <n v="-94.22"/>
    <x v="19"/>
    <x v="2"/>
    <n v="-6.9830870254806332E-2"/>
    <n v="0.42343210352341276"/>
  </r>
  <r>
    <n v="1600"/>
    <x v="402"/>
    <x v="52"/>
    <x v="1"/>
    <x v="0"/>
    <x v="3"/>
    <x v="0"/>
    <x v="0"/>
    <x v="0"/>
    <n v="8"/>
    <n v="303.89"/>
    <n v="256.62"/>
    <n v="1920.58"/>
    <n v="2052.96"/>
    <n v="-132.38"/>
    <x v="1"/>
    <x v="3"/>
    <n v="-6.8927094940070183E-2"/>
    <n v="-0.86521259202949119"/>
  </r>
  <r>
    <n v="1774"/>
    <x v="403"/>
    <x v="0"/>
    <x v="2"/>
    <x v="3"/>
    <x v="2"/>
    <x v="1"/>
    <x v="1"/>
    <x v="23"/>
    <n v="2"/>
    <n v="134.83000000000001"/>
    <n v="102.46"/>
    <n v="258.87"/>
    <n v="204.92"/>
    <n v="53.95"/>
    <x v="16"/>
    <x v="9"/>
    <n v="0.20840576351064241"/>
    <n v="-0.41175107196662419"/>
  </r>
  <r>
    <n v="1892"/>
    <x v="403"/>
    <x v="142"/>
    <x v="2"/>
    <x v="0"/>
    <x v="0"/>
    <x v="1"/>
    <x v="3"/>
    <x v="6"/>
    <n v="4"/>
    <n v="38.07"/>
    <n v="20.91"/>
    <n v="152.28"/>
    <n v="83.64"/>
    <n v="68.64"/>
    <x v="18"/>
    <x v="4"/>
    <n v="0.4507486209613869"/>
    <n v="33.744549514053062"/>
  </r>
  <r>
    <n v="1183"/>
    <x v="404"/>
    <x v="17"/>
    <x v="2"/>
    <x v="3"/>
    <x v="2"/>
    <x v="0"/>
    <x v="7"/>
    <x v="12"/>
    <n v="8"/>
    <n v="847.9"/>
    <n v="451.39"/>
    <n v="5290.9"/>
    <n v="3611.12"/>
    <n v="1679.78"/>
    <x v="13"/>
    <x v="1"/>
    <n v="0.31748473794628512"/>
    <n v="-0.71416772193766653"/>
  </r>
  <r>
    <n v="1484"/>
    <x v="404"/>
    <x v="109"/>
    <x v="2"/>
    <x v="3"/>
    <x v="1"/>
    <x v="1"/>
    <x v="3"/>
    <x v="15"/>
    <n v="6"/>
    <n v="273.97000000000003"/>
    <n v="213.92"/>
    <n v="1512.31"/>
    <n v="1283.52"/>
    <n v="228.79"/>
    <x v="14"/>
    <x v="9"/>
    <n v="0.15128512011426229"/>
    <n v="3.0081993771118354"/>
  </r>
  <r>
    <n v="1744"/>
    <x v="404"/>
    <x v="54"/>
    <x v="1"/>
    <x v="0"/>
    <x v="2"/>
    <x v="1"/>
    <x v="5"/>
    <x v="10"/>
    <n v="10"/>
    <n v="696.74"/>
    <n v="349.67"/>
    <n v="6061.64"/>
    <n v="3496.7"/>
    <n v="2564.94"/>
    <x v="6"/>
    <x v="5"/>
    <n v="0.42314291181924363"/>
    <n v="-0.47469826647573926"/>
  </r>
  <r>
    <n v="1516"/>
    <x v="405"/>
    <x v="116"/>
    <x v="0"/>
    <x v="3"/>
    <x v="2"/>
    <x v="1"/>
    <x v="5"/>
    <x v="22"/>
    <n v="6"/>
    <n v="737.08"/>
    <n v="382.68"/>
    <n v="3184.19"/>
    <n v="2296.08"/>
    <n v="888.11"/>
    <x v="11"/>
    <x v="5"/>
    <n v="0.27891237645994743"/>
    <n v="0.3637000304630062"/>
  </r>
  <r>
    <n v="1409"/>
    <x v="406"/>
    <x v="143"/>
    <x v="2"/>
    <x v="2"/>
    <x v="2"/>
    <x v="1"/>
    <x v="3"/>
    <x v="4"/>
    <n v="7"/>
    <n v="747.38"/>
    <n v="574.14"/>
    <n v="4342.28"/>
    <n v="4018.98"/>
    <n v="323.3"/>
    <x v="30"/>
    <x v="0"/>
    <n v="7.4453973488582043E-2"/>
    <n v="-0.41921064509888817"/>
  </r>
  <r>
    <n v="1541"/>
    <x v="406"/>
    <x v="103"/>
    <x v="1"/>
    <x v="0"/>
    <x v="1"/>
    <x v="0"/>
    <x v="2"/>
    <x v="5"/>
    <n v="3"/>
    <n v="923.79"/>
    <n v="616.94000000000005"/>
    <n v="2521.9499999999998"/>
    <n v="1850.82"/>
    <n v="671.13"/>
    <x v="5"/>
    <x v="5"/>
    <n v="0.26611550585856186"/>
    <n v="1.0777057435714428"/>
  </r>
  <r>
    <n v="1751"/>
    <x v="406"/>
    <x v="34"/>
    <x v="1"/>
    <x v="1"/>
    <x v="0"/>
    <x v="0"/>
    <x v="7"/>
    <x v="12"/>
    <n v="6"/>
    <n v="909.7"/>
    <n v="702.58"/>
    <n v="5239.87"/>
    <n v="4215.4799999999996"/>
    <n v="1024.3900000000001"/>
    <x v="16"/>
    <x v="1"/>
    <n v="0.19549912497829147"/>
    <n v="-0.40397757959644037"/>
  </r>
  <r>
    <n v="1909"/>
    <x v="407"/>
    <x v="100"/>
    <x v="0"/>
    <x v="0"/>
    <x v="3"/>
    <x v="2"/>
    <x v="4"/>
    <x v="21"/>
    <n v="5"/>
    <n v="811.19"/>
    <n v="573.38"/>
    <n v="3123.08"/>
    <n v="2866.9"/>
    <n v="256.18"/>
    <x v="3"/>
    <x v="5"/>
    <n v="8.2027998001972413E-2"/>
    <n v="0.36139324000666007"/>
  </r>
  <r>
    <n v="1339"/>
    <x v="408"/>
    <x v="93"/>
    <x v="1"/>
    <x v="1"/>
    <x v="3"/>
    <x v="1"/>
    <x v="5"/>
    <x v="26"/>
    <n v="6"/>
    <n v="957.6"/>
    <n v="482.54"/>
    <n v="4251.74"/>
    <n v="2895.24"/>
    <n v="1356.5"/>
    <x v="26"/>
    <x v="8"/>
    <n v="0.31904584946398418"/>
    <n v="-0.59906297186563606"/>
  </r>
  <r>
    <n v="1576"/>
    <x v="409"/>
    <x v="141"/>
    <x v="0"/>
    <x v="1"/>
    <x v="0"/>
    <x v="0"/>
    <x v="0"/>
    <x v="7"/>
    <n v="2"/>
    <n v="936.64"/>
    <n v="716.37"/>
    <n v="1704.68"/>
    <n v="1432.74"/>
    <n v="271.94"/>
    <x v="5"/>
    <x v="8"/>
    <n v="0.15952554145059483"/>
    <n v="-0.40903864654949906"/>
  </r>
  <r>
    <n v="1729"/>
    <x v="409"/>
    <x v="156"/>
    <x v="0"/>
    <x v="0"/>
    <x v="3"/>
    <x v="2"/>
    <x v="4"/>
    <x v="8"/>
    <n v="2"/>
    <n v="645.77"/>
    <n v="408.1"/>
    <n v="1007.4"/>
    <n v="816.2"/>
    <n v="191.2"/>
    <x v="13"/>
    <x v="4"/>
    <n v="0.18979551320230295"/>
    <n v="-0.47457812189795517"/>
  </r>
  <r>
    <n v="1821"/>
    <x v="410"/>
    <x v="86"/>
    <x v="2"/>
    <x v="1"/>
    <x v="3"/>
    <x v="1"/>
    <x v="3"/>
    <x v="15"/>
    <n v="1"/>
    <n v="563.1"/>
    <n v="457.7"/>
    <n v="529.30999999999995"/>
    <n v="457.7"/>
    <n v="71.61"/>
    <x v="15"/>
    <x v="9"/>
    <n v="0.13528933895070944"/>
    <n v="1.0904196028792204"/>
  </r>
  <r>
    <n v="1946"/>
    <x v="410"/>
    <x v="91"/>
    <x v="1"/>
    <x v="2"/>
    <x v="3"/>
    <x v="2"/>
    <x v="6"/>
    <x v="13"/>
    <n v="7"/>
    <n v="219.54"/>
    <n v="166.12"/>
    <n v="1106.48"/>
    <n v="1162.8399999999999"/>
    <n v="-56.36"/>
    <x v="11"/>
    <x v="7"/>
    <n v="-5.0936302508856918E-2"/>
    <n v="0.93815523100281994"/>
  </r>
  <r>
    <n v="1150"/>
    <x v="411"/>
    <x v="8"/>
    <x v="2"/>
    <x v="1"/>
    <x v="2"/>
    <x v="0"/>
    <x v="7"/>
    <x v="25"/>
    <n v="7"/>
    <n v="369.11"/>
    <n v="236.31"/>
    <n v="2144.5300000000002"/>
    <n v="1654.17"/>
    <n v="490.36"/>
    <x v="30"/>
    <x v="1"/>
    <n v="0.22865616242253545"/>
    <n v="2.5678820067800401"/>
  </r>
  <r>
    <n v="1215"/>
    <x v="411"/>
    <x v="218"/>
    <x v="0"/>
    <x v="2"/>
    <x v="1"/>
    <x v="2"/>
    <x v="6"/>
    <x v="17"/>
    <n v="9"/>
    <n v="966.09"/>
    <n v="589.02"/>
    <n v="7651.43"/>
    <n v="5301.18"/>
    <n v="2350.25"/>
    <x v="2"/>
    <x v="4"/>
    <n v="0.30716480448752714"/>
    <n v="-0.63721160619648876"/>
  </r>
  <r>
    <n v="1452"/>
    <x v="411"/>
    <x v="180"/>
    <x v="0"/>
    <x v="1"/>
    <x v="0"/>
    <x v="1"/>
    <x v="1"/>
    <x v="1"/>
    <n v="6"/>
    <n v="557.4"/>
    <n v="282.35000000000002"/>
    <n v="2775.85"/>
    <n v="1694.1"/>
    <n v="1081.75"/>
    <x v="30"/>
    <x v="5"/>
    <n v="0.38970045211376697"/>
    <n v="0.85313327449249798"/>
  </r>
  <r>
    <n v="1783"/>
    <x v="412"/>
    <x v="14"/>
    <x v="1"/>
    <x v="0"/>
    <x v="1"/>
    <x v="1"/>
    <x v="1"/>
    <x v="1"/>
    <n v="10"/>
    <n v="553.12"/>
    <n v="434.7"/>
    <n v="5144.0200000000004"/>
    <n v="4347"/>
    <n v="797.02"/>
    <x v="4"/>
    <x v="3"/>
    <n v="0.15494107721198594"/>
    <n v="-0.9762325962962819"/>
  </r>
  <r>
    <n v="1924"/>
    <x v="412"/>
    <x v="88"/>
    <x v="0"/>
    <x v="2"/>
    <x v="3"/>
    <x v="0"/>
    <x v="0"/>
    <x v="7"/>
    <n v="2"/>
    <n v="86.1"/>
    <n v="55.74"/>
    <n v="122.26"/>
    <n v="111.48"/>
    <n v="10.78"/>
    <x v="19"/>
    <x v="9"/>
    <n v="8.8172746605594626E-2"/>
    <n v="0.77351545885817119"/>
  </r>
  <r>
    <n v="1043"/>
    <x v="413"/>
    <x v="147"/>
    <x v="1"/>
    <x v="2"/>
    <x v="1"/>
    <x v="2"/>
    <x v="6"/>
    <x v="17"/>
    <n v="8"/>
    <n v="33.880000000000003"/>
    <n v="20.93"/>
    <n v="216.83"/>
    <n v="167.44"/>
    <n v="49.39"/>
    <x v="20"/>
    <x v="4"/>
    <n v="0.22778213346861595"/>
    <n v="7.1526541530231054"/>
  </r>
  <r>
    <n v="1072"/>
    <x v="413"/>
    <x v="214"/>
    <x v="0"/>
    <x v="1"/>
    <x v="1"/>
    <x v="0"/>
    <x v="2"/>
    <x v="16"/>
    <n v="4"/>
    <n v="573.94000000000005"/>
    <n v="333.89"/>
    <n v="1767.74"/>
    <n v="1335.56"/>
    <n v="432.18"/>
    <x v="3"/>
    <x v="7"/>
    <n v="0.24448165454195753"/>
    <n v="-0.90014368628870767"/>
  </r>
  <r>
    <n v="1015"/>
    <x v="414"/>
    <x v="201"/>
    <x v="1"/>
    <x v="1"/>
    <x v="2"/>
    <x v="0"/>
    <x v="0"/>
    <x v="0"/>
    <n v="2"/>
    <n v="101.45"/>
    <n v="66.03"/>
    <n v="176.52"/>
    <n v="132.06"/>
    <n v="44.46"/>
    <x v="6"/>
    <x v="0"/>
    <n v="0.25186947654656694"/>
    <n v="0.31169272603670961"/>
  </r>
  <r>
    <n v="1041"/>
    <x v="415"/>
    <x v="134"/>
    <x v="2"/>
    <x v="2"/>
    <x v="1"/>
    <x v="1"/>
    <x v="5"/>
    <x v="22"/>
    <n v="4"/>
    <n v="68.91"/>
    <n v="44.29"/>
    <n v="231.54"/>
    <n v="177.16"/>
    <n v="54.38"/>
    <x v="29"/>
    <x v="4"/>
    <n v="0.23486222682905764"/>
    <n v="13.600889695085083"/>
  </r>
  <r>
    <n v="1640"/>
    <x v="416"/>
    <x v="210"/>
    <x v="2"/>
    <x v="2"/>
    <x v="3"/>
    <x v="2"/>
    <x v="8"/>
    <x v="19"/>
    <n v="7"/>
    <n v="680.22"/>
    <n v="354.14"/>
    <n v="3380.69"/>
    <n v="2478.98"/>
    <n v="901.71"/>
    <x v="19"/>
    <x v="8"/>
    <n v="0.26672365700493095"/>
    <n v="-0.88737506248724374"/>
  </r>
  <r>
    <n v="1262"/>
    <x v="417"/>
    <x v="63"/>
    <x v="0"/>
    <x v="0"/>
    <x v="0"/>
    <x v="2"/>
    <x v="8"/>
    <x v="20"/>
    <n v="1"/>
    <n v="528.82000000000005"/>
    <n v="264.54000000000002"/>
    <n v="380.75"/>
    <n v="264.54000000000002"/>
    <n v="116.21"/>
    <x v="11"/>
    <x v="1"/>
    <n v="0.3052133946158897"/>
    <n v="13.17946158896914"/>
  </r>
  <r>
    <n v="1196"/>
    <x v="418"/>
    <x v="96"/>
    <x v="2"/>
    <x v="2"/>
    <x v="3"/>
    <x v="2"/>
    <x v="8"/>
    <x v="20"/>
    <n v="7"/>
    <n v="929.23"/>
    <n v="561.95000000000005"/>
    <n v="5398.83"/>
    <n v="3933.65"/>
    <n v="1465.18"/>
    <x v="30"/>
    <x v="9"/>
    <n v="0.27138843045622851"/>
    <n v="-0.3927073088057968"/>
  </r>
  <r>
    <n v="1828"/>
    <x v="419"/>
    <x v="34"/>
    <x v="0"/>
    <x v="0"/>
    <x v="3"/>
    <x v="0"/>
    <x v="2"/>
    <x v="5"/>
    <n v="8"/>
    <n v="553.83000000000004"/>
    <n v="299.11"/>
    <n v="3278.67"/>
    <n v="2392.88"/>
    <n v="885.79"/>
    <x v="26"/>
    <x v="2"/>
    <n v="0.27016747644624189"/>
    <n v="6.8369186285902467E-2"/>
  </r>
  <r>
    <n v="1574"/>
    <x v="420"/>
    <x v="66"/>
    <x v="1"/>
    <x v="2"/>
    <x v="3"/>
    <x v="2"/>
    <x v="6"/>
    <x v="17"/>
    <n v="6"/>
    <n v="822.26"/>
    <n v="417.19"/>
    <n v="3502.83"/>
    <n v="2503.14"/>
    <n v="999.69"/>
    <x v="19"/>
    <x v="9"/>
    <n v="0.28539495208160259"/>
    <n v="0.11634021633935988"/>
  </r>
  <r>
    <n v="1955"/>
    <x v="420"/>
    <x v="214"/>
    <x v="1"/>
    <x v="2"/>
    <x v="3"/>
    <x v="0"/>
    <x v="7"/>
    <x v="25"/>
    <n v="9"/>
    <n v="557.03"/>
    <n v="422.72"/>
    <n v="3910.35"/>
    <n v="3804.48"/>
    <n v="105.87"/>
    <x v="13"/>
    <x v="2"/>
    <n v="2.7074302811768768E-2"/>
    <n v="-0.24264835628524292"/>
  </r>
  <r>
    <n v="1556"/>
    <x v="421"/>
    <x v="219"/>
    <x v="2"/>
    <x v="1"/>
    <x v="0"/>
    <x v="0"/>
    <x v="0"/>
    <x v="7"/>
    <n v="7"/>
    <n v="445.34"/>
    <n v="228.28"/>
    <n v="2961.51"/>
    <n v="1597.96"/>
    <n v="1363.55"/>
    <x v="10"/>
    <x v="3"/>
    <n v="0.46042390537259703"/>
    <n v="-0.75242021806443338"/>
  </r>
  <r>
    <n v="1318"/>
    <x v="422"/>
    <x v="97"/>
    <x v="1"/>
    <x v="0"/>
    <x v="0"/>
    <x v="2"/>
    <x v="6"/>
    <x v="27"/>
    <n v="7"/>
    <n v="111.43"/>
    <n v="79.540000000000006"/>
    <n v="733.21"/>
    <n v="556.78"/>
    <n v="176.43"/>
    <x v="15"/>
    <x v="4"/>
    <n v="0.24062683269458954"/>
    <n v="0.73294144924373628"/>
  </r>
  <r>
    <n v="1095"/>
    <x v="423"/>
    <x v="199"/>
    <x v="0"/>
    <x v="3"/>
    <x v="1"/>
    <x v="1"/>
    <x v="3"/>
    <x v="15"/>
    <n v="2"/>
    <n v="794.13"/>
    <n v="428.87"/>
    <n v="1270.6099999999999"/>
    <n v="857.74"/>
    <n v="412.87"/>
    <x v="20"/>
    <x v="6"/>
    <n v="0.32493841540677315"/>
    <n v="3.859602867913837"/>
  </r>
  <r>
    <n v="1754"/>
    <x v="424"/>
    <x v="139"/>
    <x v="0"/>
    <x v="1"/>
    <x v="2"/>
    <x v="0"/>
    <x v="2"/>
    <x v="16"/>
    <n v="9"/>
    <n v="714.66"/>
    <n v="521.80999999999995"/>
    <n v="6174.66"/>
    <n v="4696.29"/>
    <n v="1478.37"/>
    <x v="16"/>
    <x v="9"/>
    <n v="0.23942532868206506"/>
    <n v="-0.39735305263771609"/>
  </r>
  <r>
    <n v="1327"/>
    <x v="425"/>
    <x v="121"/>
    <x v="1"/>
    <x v="3"/>
    <x v="2"/>
    <x v="1"/>
    <x v="1"/>
    <x v="23"/>
    <n v="6"/>
    <n v="756.33"/>
    <n v="522.86"/>
    <n v="3721.14"/>
    <n v="3137.16"/>
    <n v="583.98"/>
    <x v="23"/>
    <x v="1"/>
    <n v="0.15693577774552961"/>
    <n v="-0.27066974099335145"/>
  </r>
  <r>
    <n v="1780"/>
    <x v="425"/>
    <x v="134"/>
    <x v="2"/>
    <x v="0"/>
    <x v="2"/>
    <x v="0"/>
    <x v="2"/>
    <x v="16"/>
    <n v="3"/>
    <n v="942.34"/>
    <n v="562.78"/>
    <n v="2713.94"/>
    <n v="1688.34"/>
    <n v="1025.5999999999999"/>
    <x v="16"/>
    <x v="7"/>
    <n v="0.37790076420259838"/>
    <n v="-0.45910005379632562"/>
  </r>
  <r>
    <n v="1244"/>
    <x v="426"/>
    <x v="59"/>
    <x v="1"/>
    <x v="1"/>
    <x v="2"/>
    <x v="0"/>
    <x v="2"/>
    <x v="2"/>
    <n v="6"/>
    <n v="274.89999999999998"/>
    <n v="144.94"/>
    <n v="1467.97"/>
    <n v="869.64"/>
    <n v="598.33000000000004"/>
    <x v="12"/>
    <x v="6"/>
    <n v="0.40759007336662195"/>
    <n v="-0.10001566789512042"/>
  </r>
  <r>
    <n v="1833"/>
    <x v="426"/>
    <x v="218"/>
    <x v="2"/>
    <x v="0"/>
    <x v="0"/>
    <x v="2"/>
    <x v="6"/>
    <x v="11"/>
    <n v="10"/>
    <n v="157.28"/>
    <n v="112.67"/>
    <n v="1321.15"/>
    <n v="1126.7"/>
    <n v="194.45"/>
    <x v="29"/>
    <x v="2"/>
    <n v="0.14718237898800285"/>
    <n v="1.3982288158044127"/>
  </r>
  <r>
    <n v="1140"/>
    <x v="427"/>
    <x v="0"/>
    <x v="0"/>
    <x v="2"/>
    <x v="0"/>
    <x v="2"/>
    <x v="6"/>
    <x v="17"/>
    <n v="8"/>
    <n v="528.07000000000005"/>
    <n v="406.2"/>
    <n v="3168.42"/>
    <n v="3249.6"/>
    <n v="-81.180000000000007"/>
    <x v="7"/>
    <x v="2"/>
    <n v="-2.5621603196545915E-2"/>
    <n v="-0.26470291186143252"/>
  </r>
  <r>
    <n v="1403"/>
    <x v="427"/>
    <x v="40"/>
    <x v="1"/>
    <x v="2"/>
    <x v="1"/>
    <x v="0"/>
    <x v="0"/>
    <x v="3"/>
    <n v="6"/>
    <n v="456.81"/>
    <n v="352.46"/>
    <n v="2329.73"/>
    <n v="2114.7600000000002"/>
    <n v="214.97"/>
    <x v="25"/>
    <x v="8"/>
    <n v="9.2272495095998247E-2"/>
    <n v="1.2665459087533746"/>
  </r>
  <r>
    <n v="1201"/>
    <x v="428"/>
    <x v="169"/>
    <x v="2"/>
    <x v="0"/>
    <x v="0"/>
    <x v="0"/>
    <x v="7"/>
    <x v="12"/>
    <n v="10"/>
    <n v="600.04999999999995"/>
    <n v="368.16"/>
    <n v="5280.44"/>
    <n v="3681.6"/>
    <n v="1598.84"/>
    <x v="2"/>
    <x v="3"/>
    <n v="0.30278537394611055"/>
    <n v="-0.86056843747869494"/>
  </r>
  <r>
    <n v="1218"/>
    <x v="428"/>
    <x v="13"/>
    <x v="0"/>
    <x v="2"/>
    <x v="2"/>
    <x v="0"/>
    <x v="0"/>
    <x v="3"/>
    <n v="1"/>
    <n v="866.19"/>
    <n v="721.66"/>
    <n v="736.26"/>
    <n v="721.66"/>
    <n v="14.6"/>
    <x v="25"/>
    <x v="1"/>
    <n v="1.9829951375872654E-2"/>
    <n v="0.39980441691793644"/>
  </r>
  <r>
    <n v="1467"/>
    <x v="428"/>
    <x v="126"/>
    <x v="0"/>
    <x v="2"/>
    <x v="3"/>
    <x v="0"/>
    <x v="2"/>
    <x v="16"/>
    <n v="2"/>
    <n v="687.08"/>
    <n v="486.96"/>
    <n v="1030.6199999999999"/>
    <n v="973.92"/>
    <n v="56.7"/>
    <x v="7"/>
    <x v="5"/>
    <n v="5.5015427606683362E-2"/>
    <n v="2.9187382352370421"/>
  </r>
  <r>
    <n v="1533"/>
    <x v="429"/>
    <x v="159"/>
    <x v="1"/>
    <x v="2"/>
    <x v="2"/>
    <x v="2"/>
    <x v="6"/>
    <x v="13"/>
    <n v="9"/>
    <n v="493.13"/>
    <n v="388.58"/>
    <n v="4038.73"/>
    <n v="3497.22"/>
    <n v="541.51"/>
    <x v="5"/>
    <x v="9"/>
    <n v="0.13407927739660735"/>
    <n v="0.11589534333812861"/>
  </r>
  <r>
    <n v="1647"/>
    <x v="429"/>
    <x v="60"/>
    <x v="0"/>
    <x v="2"/>
    <x v="3"/>
    <x v="1"/>
    <x v="1"/>
    <x v="1"/>
    <n v="5"/>
    <n v="979.74"/>
    <n v="732.57"/>
    <n v="4506.8"/>
    <n v="3662.85"/>
    <n v="843.95"/>
    <x v="14"/>
    <x v="5"/>
    <n v="0.18726147155409603"/>
    <n v="-0.24079613029200325"/>
  </r>
  <r>
    <n v="1549"/>
    <x v="430"/>
    <x v="43"/>
    <x v="2"/>
    <x v="3"/>
    <x v="1"/>
    <x v="2"/>
    <x v="6"/>
    <x v="13"/>
    <n v="8"/>
    <n v="602.39"/>
    <n v="366.98"/>
    <n v="3421.58"/>
    <n v="2935.84"/>
    <n v="485.74"/>
    <x v="19"/>
    <x v="0"/>
    <n v="0.14196365421822668"/>
    <n v="-0.96447255361558115"/>
  </r>
  <r>
    <n v="1152"/>
    <x v="431"/>
    <x v="206"/>
    <x v="2"/>
    <x v="2"/>
    <x v="1"/>
    <x v="1"/>
    <x v="5"/>
    <x v="10"/>
    <n v="1"/>
    <n v="141.35"/>
    <n v="87.15"/>
    <n v="121.56"/>
    <n v="87.15"/>
    <n v="34.409999999999997"/>
    <x v="9"/>
    <x v="0"/>
    <n v="0.28307008884501478"/>
    <n v="17.253537347811783"/>
  </r>
  <r>
    <n v="1419"/>
    <x v="432"/>
    <x v="194"/>
    <x v="0"/>
    <x v="2"/>
    <x v="2"/>
    <x v="2"/>
    <x v="8"/>
    <x v="19"/>
    <n v="7"/>
    <n v="326.79000000000002"/>
    <n v="269.08999999999997"/>
    <n v="2218.9"/>
    <n v="1883.63"/>
    <n v="335.27"/>
    <x v="28"/>
    <x v="4"/>
    <n v="0.15109739059894542"/>
    <n v="-0.78462301140204604"/>
  </r>
  <r>
    <n v="1632"/>
    <x v="432"/>
    <x v="118"/>
    <x v="2"/>
    <x v="1"/>
    <x v="0"/>
    <x v="2"/>
    <x v="6"/>
    <x v="13"/>
    <n v="1"/>
    <n v="525.16"/>
    <n v="284.22000000000003"/>
    <n v="477.9"/>
    <n v="284.22000000000003"/>
    <n v="193.68"/>
    <x v="5"/>
    <x v="5"/>
    <n v="0.40527306967984938"/>
    <n v="0.54274952919020714"/>
  </r>
  <r>
    <n v="1637"/>
    <x v="433"/>
    <x v="165"/>
    <x v="1"/>
    <x v="0"/>
    <x v="2"/>
    <x v="1"/>
    <x v="3"/>
    <x v="4"/>
    <n v="1"/>
    <n v="957.51"/>
    <n v="653.61"/>
    <n v="737.28"/>
    <n v="653.61"/>
    <n v="83.67"/>
    <x v="3"/>
    <x v="6"/>
    <n v="0.11348470052083334"/>
    <n v="4.346232096354167"/>
  </r>
  <r>
    <n v="1951"/>
    <x v="433"/>
    <x v="55"/>
    <x v="0"/>
    <x v="2"/>
    <x v="1"/>
    <x v="2"/>
    <x v="6"/>
    <x v="17"/>
    <n v="6"/>
    <n v="763.89"/>
    <n v="573"/>
    <n v="3941.67"/>
    <n v="3438"/>
    <n v="503.67"/>
    <x v="9"/>
    <x v="9"/>
    <n v="0.12778086445592857"/>
    <n v="0.53828199722452652"/>
  </r>
  <r>
    <n v="1953"/>
    <x v="433"/>
    <x v="89"/>
    <x v="0"/>
    <x v="2"/>
    <x v="0"/>
    <x v="2"/>
    <x v="6"/>
    <x v="17"/>
    <n v="9"/>
    <n v="724.42"/>
    <n v="505.88"/>
    <n v="6063.4"/>
    <n v="4552.92"/>
    <n v="1510.48"/>
    <x v="4"/>
    <x v="0"/>
    <n v="0.24911435828083256"/>
    <n v="-0.85783223933766528"/>
  </r>
  <r>
    <n v="1098"/>
    <x v="434"/>
    <x v="123"/>
    <x v="2"/>
    <x v="1"/>
    <x v="3"/>
    <x v="1"/>
    <x v="1"/>
    <x v="1"/>
    <n v="1"/>
    <n v="968.56"/>
    <n v="687.82"/>
    <n v="862.02"/>
    <n v="687.82"/>
    <n v="174.2"/>
    <x v="12"/>
    <x v="9"/>
    <n v="0.20208347834156978"/>
    <n v="4.0620867265260667"/>
  </r>
  <r>
    <n v="1280"/>
    <x v="435"/>
    <x v="50"/>
    <x v="0"/>
    <x v="3"/>
    <x v="1"/>
    <x v="0"/>
    <x v="0"/>
    <x v="3"/>
    <n v="8"/>
    <n v="574.16"/>
    <n v="382.14"/>
    <n v="4363.62"/>
    <n v="3057.12"/>
    <n v="1306.5"/>
    <x v="10"/>
    <x v="4"/>
    <n v="0.29940737277764795"/>
    <n v="-0.95161127687562175"/>
  </r>
  <r>
    <n v="1750"/>
    <x v="436"/>
    <x v="52"/>
    <x v="1"/>
    <x v="2"/>
    <x v="1"/>
    <x v="2"/>
    <x v="6"/>
    <x v="17"/>
    <n v="7"/>
    <n v="30.78"/>
    <n v="21.89"/>
    <n v="211.15"/>
    <n v="153.22999999999999"/>
    <n v="57.92"/>
    <x v="0"/>
    <x v="2"/>
    <n v="0.27430736443286763"/>
    <n v="5.8263319914752545"/>
  </r>
  <r>
    <n v="1101"/>
    <x v="437"/>
    <x v="57"/>
    <x v="2"/>
    <x v="2"/>
    <x v="0"/>
    <x v="2"/>
    <x v="4"/>
    <x v="8"/>
    <n v="4"/>
    <n v="379.31"/>
    <n v="249.88"/>
    <n v="1441.38"/>
    <n v="999.52"/>
    <n v="441.86"/>
    <x v="10"/>
    <x v="3"/>
    <n v="0.30655344184045846"/>
    <n v="0.20465109825306288"/>
  </r>
  <r>
    <n v="1195"/>
    <x v="437"/>
    <x v="129"/>
    <x v="1"/>
    <x v="0"/>
    <x v="2"/>
    <x v="2"/>
    <x v="4"/>
    <x v="8"/>
    <n v="8"/>
    <n v="274.74"/>
    <n v="226.24"/>
    <n v="1736.36"/>
    <n v="1809.92"/>
    <n v="-73.56"/>
    <x v="1"/>
    <x v="3"/>
    <n v="-4.2364486627197127E-2"/>
    <n v="-3.111681909281484E-2"/>
  </r>
  <r>
    <n v="1567"/>
    <x v="437"/>
    <x v="166"/>
    <x v="2"/>
    <x v="2"/>
    <x v="3"/>
    <x v="0"/>
    <x v="2"/>
    <x v="5"/>
    <n v="3"/>
    <n v="747.7"/>
    <n v="574.19000000000005"/>
    <n v="1682.33"/>
    <n v="1722.57"/>
    <n v="-40.24"/>
    <x v="7"/>
    <x v="4"/>
    <n v="-2.3919207289889621E-2"/>
    <n v="3.082427347785512"/>
  </r>
  <r>
    <n v="1466"/>
    <x v="438"/>
    <x v="182"/>
    <x v="1"/>
    <x v="2"/>
    <x v="2"/>
    <x v="1"/>
    <x v="3"/>
    <x v="6"/>
    <n v="10"/>
    <n v="837.56"/>
    <n v="452.29"/>
    <n v="6867.99"/>
    <n v="4522.8999999999996"/>
    <n v="2345.09"/>
    <x v="23"/>
    <x v="5"/>
    <n v="0.34145215703575577"/>
    <n v="-0.91727273918570063"/>
  </r>
  <r>
    <n v="1811"/>
    <x v="438"/>
    <x v="153"/>
    <x v="2"/>
    <x v="0"/>
    <x v="2"/>
    <x v="0"/>
    <x v="7"/>
    <x v="12"/>
    <n v="8"/>
    <n v="98.64"/>
    <n v="60.15"/>
    <n v="568.16999999999996"/>
    <n v="481.2"/>
    <n v="86.97"/>
    <x v="11"/>
    <x v="8"/>
    <n v="0.15307038386398439"/>
    <n v="9.2753929281730752E-3"/>
  </r>
  <r>
    <n v="1167"/>
    <x v="439"/>
    <x v="174"/>
    <x v="2"/>
    <x v="2"/>
    <x v="1"/>
    <x v="0"/>
    <x v="7"/>
    <x v="25"/>
    <n v="2"/>
    <n v="403.83"/>
    <n v="215.4"/>
    <n v="573.44000000000005"/>
    <n v="430.8"/>
    <n v="142.63999999999999"/>
    <x v="19"/>
    <x v="0"/>
    <n v="0.2487444196428571"/>
    <n v="1.7489536830357137"/>
  </r>
  <r>
    <n v="1644"/>
    <x v="439"/>
    <x v="66"/>
    <x v="2"/>
    <x v="2"/>
    <x v="2"/>
    <x v="0"/>
    <x v="7"/>
    <x v="12"/>
    <n v="4"/>
    <n v="539.85"/>
    <n v="349.99"/>
    <n v="1576.36"/>
    <n v="1399.96"/>
    <n v="176.4"/>
    <x v="24"/>
    <x v="0"/>
    <n v="0.11190337232611841"/>
    <n v="1.0014146514755513"/>
  </r>
  <r>
    <n v="1684"/>
    <x v="439"/>
    <x v="174"/>
    <x v="1"/>
    <x v="1"/>
    <x v="1"/>
    <x v="2"/>
    <x v="6"/>
    <x v="11"/>
    <n v="9"/>
    <n v="389.5"/>
    <n v="259.47000000000003"/>
    <n v="3154.95"/>
    <n v="2335.23"/>
    <n v="819.72"/>
    <x v="22"/>
    <x v="0"/>
    <n v="0.25982028241335048"/>
    <n v="0.18075088353222721"/>
  </r>
  <r>
    <n v="1893"/>
    <x v="439"/>
    <x v="30"/>
    <x v="2"/>
    <x v="3"/>
    <x v="2"/>
    <x v="1"/>
    <x v="3"/>
    <x v="4"/>
    <n v="9"/>
    <n v="498.69"/>
    <n v="394.63"/>
    <n v="3725.21"/>
    <n v="3551.67"/>
    <n v="173.54"/>
    <x v="30"/>
    <x v="0"/>
    <n v="4.6585293178102706E-2"/>
    <n v="-0.41490278400412323"/>
  </r>
  <r>
    <n v="1911"/>
    <x v="439"/>
    <x v="37"/>
    <x v="0"/>
    <x v="2"/>
    <x v="1"/>
    <x v="0"/>
    <x v="7"/>
    <x v="12"/>
    <n v="3"/>
    <n v="908.17"/>
    <n v="543.30999999999995"/>
    <n v="2179.61"/>
    <n v="1629.93"/>
    <n v="549.67999999999995"/>
    <x v="20"/>
    <x v="3"/>
    <n v="0.25219190589142093"/>
    <n v="-0.60975128578048365"/>
  </r>
  <r>
    <n v="1702"/>
    <x v="440"/>
    <x v="210"/>
    <x v="2"/>
    <x v="3"/>
    <x v="1"/>
    <x v="1"/>
    <x v="3"/>
    <x v="6"/>
    <n v="6"/>
    <n v="179.45"/>
    <n v="137.57"/>
    <n v="850.59"/>
    <n v="825.42"/>
    <n v="25.17"/>
    <x v="1"/>
    <x v="0"/>
    <n v="2.9591224914471134E-2"/>
    <n v="2.8149284614208958"/>
  </r>
  <r>
    <n v="1998"/>
    <x v="440"/>
    <x v="51"/>
    <x v="2"/>
    <x v="3"/>
    <x v="3"/>
    <x v="2"/>
    <x v="8"/>
    <x v="24"/>
    <n v="7"/>
    <n v="515.07000000000005"/>
    <n v="388.31"/>
    <n v="3244.94"/>
    <n v="2718.17"/>
    <n v="526.77"/>
    <x v="22"/>
    <x v="3"/>
    <n v="0.1623358213094849"/>
    <n v="0.52132242814967311"/>
  </r>
  <r>
    <n v="1021"/>
    <x v="441"/>
    <x v="120"/>
    <x v="1"/>
    <x v="0"/>
    <x v="0"/>
    <x v="0"/>
    <x v="7"/>
    <x v="14"/>
    <n v="10"/>
    <n v="525.16999999999996"/>
    <n v="434.39"/>
    <n v="4936.6000000000004"/>
    <n v="4343.8999999999996"/>
    <n v="592.70000000000005"/>
    <x v="15"/>
    <x v="5"/>
    <n v="0.12006239111939392"/>
    <n v="-0.98400721144107284"/>
  </r>
  <r>
    <n v="1918"/>
    <x v="442"/>
    <x v="35"/>
    <x v="1"/>
    <x v="1"/>
    <x v="0"/>
    <x v="1"/>
    <x v="1"/>
    <x v="9"/>
    <n v="3"/>
    <n v="29.57"/>
    <n v="21.07"/>
    <n v="78.95"/>
    <n v="63.21"/>
    <n v="15.74"/>
    <x v="12"/>
    <x v="4"/>
    <n v="0.19936668777707409"/>
    <n v="3.6303989867004431"/>
  </r>
  <r>
    <n v="1277"/>
    <x v="443"/>
    <x v="108"/>
    <x v="2"/>
    <x v="0"/>
    <x v="1"/>
    <x v="2"/>
    <x v="8"/>
    <x v="20"/>
    <n v="4"/>
    <n v="130.56"/>
    <n v="84.63"/>
    <n v="365.57"/>
    <n v="338.52"/>
    <n v="27.05"/>
    <x v="8"/>
    <x v="4"/>
    <n v="7.3994036709795666E-2"/>
    <n v="22.640014224361956"/>
  </r>
  <r>
    <n v="1558"/>
    <x v="443"/>
    <x v="130"/>
    <x v="1"/>
    <x v="2"/>
    <x v="0"/>
    <x v="0"/>
    <x v="0"/>
    <x v="7"/>
    <n v="10"/>
    <n v="971.02"/>
    <n v="695.18"/>
    <n v="8642.08"/>
    <n v="6951.8"/>
    <n v="1690.28"/>
    <x v="12"/>
    <x v="3"/>
    <n v="0.19558717345824153"/>
    <n v="-0.92307291763094079"/>
  </r>
  <r>
    <n v="1834"/>
    <x v="443"/>
    <x v="135"/>
    <x v="1"/>
    <x v="2"/>
    <x v="1"/>
    <x v="1"/>
    <x v="3"/>
    <x v="15"/>
    <n v="3"/>
    <n v="243.52"/>
    <n v="198.29"/>
    <n v="664.81"/>
    <n v="594.87"/>
    <n v="69.94"/>
    <x v="5"/>
    <x v="6"/>
    <n v="0.10520299032806366"/>
    <n v="3.9396218468434592"/>
  </r>
  <r>
    <n v="1373"/>
    <x v="444"/>
    <x v="63"/>
    <x v="1"/>
    <x v="2"/>
    <x v="1"/>
    <x v="1"/>
    <x v="5"/>
    <x v="10"/>
    <n v="4"/>
    <n v="873.38"/>
    <n v="499.9"/>
    <n v="3283.91"/>
    <n v="1999.6"/>
    <n v="1284.31"/>
    <x v="15"/>
    <x v="1"/>
    <n v="0.39109171688627276"/>
    <n v="1.1801845970200158"/>
  </r>
  <r>
    <n v="1622"/>
    <x v="445"/>
    <x v="100"/>
    <x v="1"/>
    <x v="3"/>
    <x v="1"/>
    <x v="0"/>
    <x v="7"/>
    <x v="14"/>
    <n v="9"/>
    <n v="874.18"/>
    <n v="657.86"/>
    <n v="7159.53"/>
    <n v="5920.74"/>
    <n v="1238.79"/>
    <x v="5"/>
    <x v="5"/>
    <n v="0.17302672102777697"/>
    <n v="-0.91948912847631059"/>
  </r>
  <r>
    <n v="1379"/>
    <x v="446"/>
    <x v="136"/>
    <x v="2"/>
    <x v="3"/>
    <x v="2"/>
    <x v="1"/>
    <x v="1"/>
    <x v="9"/>
    <n v="4"/>
    <n v="150.11000000000001"/>
    <n v="125.45"/>
    <n v="576.41999999999996"/>
    <n v="501.8"/>
    <n v="74.62"/>
    <x v="16"/>
    <x v="7"/>
    <n v="0.12945421741091567"/>
    <n v="6.2550050310537459"/>
  </r>
  <r>
    <n v="1922"/>
    <x v="446"/>
    <x v="60"/>
    <x v="2"/>
    <x v="3"/>
    <x v="2"/>
    <x v="0"/>
    <x v="2"/>
    <x v="2"/>
    <n v="6"/>
    <n v="749.45"/>
    <n v="405"/>
    <n v="4181.93"/>
    <n v="2430"/>
    <n v="1751.93"/>
    <x v="4"/>
    <x v="4"/>
    <n v="0.41892858082273016"/>
    <n v="3.3632796340445588E-2"/>
  </r>
  <r>
    <n v="1065"/>
    <x v="447"/>
    <x v="219"/>
    <x v="2"/>
    <x v="1"/>
    <x v="1"/>
    <x v="0"/>
    <x v="2"/>
    <x v="16"/>
    <n v="7"/>
    <n v="636.61"/>
    <n v="427.87"/>
    <n v="4322.58"/>
    <n v="2995.09"/>
    <n v="1327.49"/>
    <x v="28"/>
    <x v="5"/>
    <n v="0.30710594135909575"/>
    <n v="-0.67559420531256797"/>
  </r>
  <r>
    <n v="1479"/>
    <x v="448"/>
    <x v="5"/>
    <x v="2"/>
    <x v="3"/>
    <x v="0"/>
    <x v="0"/>
    <x v="0"/>
    <x v="0"/>
    <n v="3"/>
    <n v="508.07"/>
    <n v="405.44"/>
    <n v="1402.27"/>
    <n v="1216.32"/>
    <n v="185.95"/>
    <x v="14"/>
    <x v="8"/>
    <n v="0.13260641673857387"/>
    <n v="-0.86017671347172808"/>
  </r>
  <r>
    <n v="1659"/>
    <x v="448"/>
    <x v="1"/>
    <x v="2"/>
    <x v="0"/>
    <x v="1"/>
    <x v="0"/>
    <x v="7"/>
    <x v="12"/>
    <n v="3"/>
    <n v="66.69"/>
    <n v="52.07"/>
    <n v="196.07"/>
    <n v="156.21"/>
    <n v="39.86"/>
    <x v="0"/>
    <x v="9"/>
    <n v="0.20329474167389197"/>
    <n v="29.405977457030655"/>
  </r>
  <r>
    <n v="1666"/>
    <x v="448"/>
    <x v="0"/>
    <x v="1"/>
    <x v="3"/>
    <x v="1"/>
    <x v="0"/>
    <x v="2"/>
    <x v="5"/>
    <n v="8"/>
    <n v="876.72"/>
    <n v="717.76"/>
    <n v="5961.7"/>
    <n v="5742.08"/>
    <n v="219.62"/>
    <x v="25"/>
    <x v="7"/>
    <n v="3.6838485666839997E-2"/>
    <n v="-0.17340355938742302"/>
  </r>
  <r>
    <n v="1208"/>
    <x v="449"/>
    <x v="124"/>
    <x v="1"/>
    <x v="1"/>
    <x v="0"/>
    <x v="0"/>
    <x v="7"/>
    <x v="14"/>
    <n v="10"/>
    <n v="639.99"/>
    <n v="339.03"/>
    <n v="4927.92"/>
    <n v="3390.3"/>
    <n v="1537.62"/>
    <x v="3"/>
    <x v="5"/>
    <n v="0.31202211074855107"/>
    <n v="-0.88650181009431983"/>
  </r>
  <r>
    <n v="1085"/>
    <x v="450"/>
    <x v="91"/>
    <x v="1"/>
    <x v="3"/>
    <x v="0"/>
    <x v="1"/>
    <x v="5"/>
    <x v="26"/>
    <n v="1"/>
    <n v="621.45000000000005"/>
    <n v="515.87"/>
    <n v="559.30999999999995"/>
    <n v="515.87"/>
    <n v="43.44"/>
    <x v="22"/>
    <x v="9"/>
    <n v="7.7667125565428832E-2"/>
    <n v="1.2204144392197533"/>
  </r>
  <r>
    <n v="1673"/>
    <x v="450"/>
    <x v="9"/>
    <x v="2"/>
    <x v="0"/>
    <x v="1"/>
    <x v="1"/>
    <x v="3"/>
    <x v="6"/>
    <n v="3"/>
    <n v="511.07"/>
    <n v="389.92"/>
    <n v="1241.9000000000001"/>
    <n v="1169.76"/>
    <n v="72.14"/>
    <x v="21"/>
    <x v="6"/>
    <n v="5.8088412915693693E-2"/>
    <n v="1.2965858764795877"/>
  </r>
  <r>
    <n v="1371"/>
    <x v="451"/>
    <x v="113"/>
    <x v="0"/>
    <x v="0"/>
    <x v="3"/>
    <x v="2"/>
    <x v="6"/>
    <x v="27"/>
    <n v="4"/>
    <n v="801.16"/>
    <n v="516.23"/>
    <n v="2852.13"/>
    <n v="2064.92"/>
    <n v="787.21"/>
    <x v="12"/>
    <x v="6"/>
    <n v="0.27600775560721286"/>
    <n v="0.88953518948996002"/>
  </r>
  <r>
    <n v="1216"/>
    <x v="452"/>
    <x v="23"/>
    <x v="0"/>
    <x v="1"/>
    <x v="2"/>
    <x v="1"/>
    <x v="3"/>
    <x v="15"/>
    <n v="10"/>
    <n v="592.22"/>
    <n v="435.42"/>
    <n v="5389.2"/>
    <n v="4354.2"/>
    <n v="1035"/>
    <x v="5"/>
    <x v="1"/>
    <n v="0.19205076820307282"/>
    <n v="-0.7055871001261782"/>
  </r>
  <r>
    <n v="1963"/>
    <x v="452"/>
    <x v="174"/>
    <x v="0"/>
    <x v="3"/>
    <x v="3"/>
    <x v="1"/>
    <x v="3"/>
    <x v="4"/>
    <n v="8"/>
    <n v="213.26"/>
    <n v="106.83"/>
    <n v="1586.65"/>
    <n v="854.64"/>
    <n v="732.01"/>
    <x v="4"/>
    <x v="1"/>
    <n v="0.46135568650931202"/>
    <n v="-0.25812245926953026"/>
  </r>
  <r>
    <n v="1562"/>
    <x v="453"/>
    <x v="183"/>
    <x v="0"/>
    <x v="1"/>
    <x v="3"/>
    <x v="1"/>
    <x v="5"/>
    <x v="26"/>
    <n v="2"/>
    <n v="692.41"/>
    <n v="396.11"/>
    <n v="1177.0999999999999"/>
    <n v="792.22"/>
    <n v="384.88"/>
    <x v="25"/>
    <x v="5"/>
    <n v="0.3269730694078668"/>
    <n v="3.7310593832299723"/>
  </r>
  <r>
    <n v="1301"/>
    <x v="454"/>
    <x v="191"/>
    <x v="2"/>
    <x v="3"/>
    <x v="0"/>
    <x v="0"/>
    <x v="7"/>
    <x v="25"/>
    <n v="9"/>
    <n v="625.02"/>
    <n v="442.44"/>
    <n v="5568.93"/>
    <n v="3981.96"/>
    <n v="1586.97"/>
    <x v="27"/>
    <x v="2"/>
    <n v="0.2849685666725924"/>
    <n v="-0.49710626637433047"/>
  </r>
  <r>
    <n v="1639"/>
    <x v="454"/>
    <x v="157"/>
    <x v="2"/>
    <x v="3"/>
    <x v="1"/>
    <x v="2"/>
    <x v="6"/>
    <x v="11"/>
    <n v="9"/>
    <n v="320.8"/>
    <n v="189.28"/>
    <n v="2800.58"/>
    <n v="1703.52"/>
    <n v="1097.06"/>
    <x v="28"/>
    <x v="2"/>
    <n v="0.39172599961436561"/>
    <n v="0.89904591191824568"/>
  </r>
  <r>
    <n v="1261"/>
    <x v="455"/>
    <x v="206"/>
    <x v="1"/>
    <x v="3"/>
    <x v="0"/>
    <x v="1"/>
    <x v="3"/>
    <x v="15"/>
    <n v="10"/>
    <n v="565.79"/>
    <n v="394.41"/>
    <n v="5318.43"/>
    <n v="3944.1"/>
    <n v="1374.33"/>
    <x v="15"/>
    <x v="0"/>
    <n v="0.25840896655591966"/>
    <n v="-0.2810622683761938"/>
  </r>
  <r>
    <n v="1487"/>
    <x v="456"/>
    <x v="148"/>
    <x v="2"/>
    <x v="0"/>
    <x v="0"/>
    <x v="2"/>
    <x v="4"/>
    <x v="28"/>
    <n v="7"/>
    <n v="658.11"/>
    <n v="536.34"/>
    <n v="3823.62"/>
    <n v="3754.38"/>
    <n v="69.239999999999995"/>
    <x v="30"/>
    <x v="8"/>
    <n v="1.8108494044910321E-2"/>
    <n v="0.6626678383312149"/>
  </r>
  <r>
    <n v="1836"/>
    <x v="457"/>
    <x v="1"/>
    <x v="2"/>
    <x v="3"/>
    <x v="3"/>
    <x v="2"/>
    <x v="8"/>
    <x v="24"/>
    <n v="8"/>
    <n v="845.4"/>
    <n v="692.76"/>
    <n v="6357.41"/>
    <n v="5542.08"/>
    <n v="815.33"/>
    <x v="15"/>
    <x v="2"/>
    <n v="0.12824876797312115"/>
    <n v="-0.33016118199077932"/>
  </r>
  <r>
    <n v="1155"/>
    <x v="458"/>
    <x v="6"/>
    <x v="1"/>
    <x v="2"/>
    <x v="0"/>
    <x v="1"/>
    <x v="1"/>
    <x v="23"/>
    <n v="9"/>
    <n v="630.88"/>
    <n v="452.28"/>
    <n v="4258.4399999999996"/>
    <n v="4070.52"/>
    <n v="187.92"/>
    <x v="7"/>
    <x v="8"/>
    <n v="4.4128835911742333E-2"/>
    <n v="-0.77593203144813594"/>
  </r>
  <r>
    <n v="1874"/>
    <x v="458"/>
    <x v="63"/>
    <x v="1"/>
    <x v="1"/>
    <x v="3"/>
    <x v="1"/>
    <x v="5"/>
    <x v="22"/>
    <n v="4"/>
    <n v="253.77"/>
    <n v="163.86"/>
    <n v="954.18"/>
    <n v="655.44"/>
    <n v="298.74"/>
    <x v="15"/>
    <x v="3"/>
    <n v="0.31308558133685471"/>
    <n v="-0.50182355530403067"/>
  </r>
  <r>
    <n v="1984"/>
    <x v="458"/>
    <x v="103"/>
    <x v="2"/>
    <x v="2"/>
    <x v="2"/>
    <x v="1"/>
    <x v="1"/>
    <x v="23"/>
    <n v="2"/>
    <n v="312.73"/>
    <n v="240.19"/>
    <n v="475.35"/>
    <n v="480.38"/>
    <n v="-5.03"/>
    <x v="17"/>
    <x v="0"/>
    <n v="-1.0581676659303671E-2"/>
    <n v="-0.63458504260018933"/>
  </r>
  <r>
    <n v="1988"/>
    <x v="458"/>
    <x v="124"/>
    <x v="2"/>
    <x v="3"/>
    <x v="1"/>
    <x v="1"/>
    <x v="3"/>
    <x v="4"/>
    <n v="1"/>
    <n v="225.59"/>
    <n v="160.84"/>
    <n v="173.7"/>
    <n v="160.84"/>
    <n v="12.86"/>
    <x v="3"/>
    <x v="5"/>
    <n v="7.4035693724812904E-2"/>
    <n v="25.118364997121478"/>
  </r>
  <r>
    <n v="1064"/>
    <x v="459"/>
    <x v="79"/>
    <x v="0"/>
    <x v="3"/>
    <x v="3"/>
    <x v="2"/>
    <x v="8"/>
    <x v="20"/>
    <n v="10"/>
    <n v="589.19000000000005"/>
    <n v="298.87"/>
    <n v="4536.76"/>
    <n v="2988.7"/>
    <n v="1548.06"/>
    <x v="3"/>
    <x v="3"/>
    <n v="0.34122589689558186"/>
    <n v="-0.85688905738897359"/>
  </r>
  <r>
    <n v="1104"/>
    <x v="460"/>
    <x v="121"/>
    <x v="2"/>
    <x v="3"/>
    <x v="2"/>
    <x v="2"/>
    <x v="6"/>
    <x v="13"/>
    <n v="6"/>
    <n v="124.38"/>
    <n v="83.84"/>
    <n v="649.26"/>
    <n v="503.04"/>
    <n v="146.22"/>
    <x v="6"/>
    <x v="8"/>
    <n v="0.22521023934941317"/>
    <n v="9.6854880941379413"/>
  </r>
  <r>
    <n v="1536"/>
    <x v="460"/>
    <x v="199"/>
    <x v="1"/>
    <x v="1"/>
    <x v="1"/>
    <x v="0"/>
    <x v="7"/>
    <x v="14"/>
    <n v="8"/>
    <n v="974.39"/>
    <n v="766.26"/>
    <n v="6937.66"/>
    <n v="6130.08"/>
    <n v="807.58"/>
    <x v="12"/>
    <x v="9"/>
    <n v="0.11640524326646161"/>
    <n v="-0.48991734965391787"/>
  </r>
  <r>
    <n v="1291"/>
    <x v="461"/>
    <x v="67"/>
    <x v="0"/>
    <x v="2"/>
    <x v="0"/>
    <x v="1"/>
    <x v="1"/>
    <x v="9"/>
    <n v="5"/>
    <n v="907.38"/>
    <n v="582.17999999999995"/>
    <n v="3538.78"/>
    <n v="2910.9"/>
    <n v="627.88"/>
    <x v="13"/>
    <x v="9"/>
    <n v="0.17742837927195246"/>
    <n v="0.27388252448583961"/>
  </r>
  <r>
    <n v="1545"/>
    <x v="462"/>
    <x v="120"/>
    <x v="2"/>
    <x v="2"/>
    <x v="3"/>
    <x v="2"/>
    <x v="8"/>
    <x v="20"/>
    <n v="5"/>
    <n v="949.05"/>
    <n v="590.05999999999995"/>
    <n v="4507.99"/>
    <n v="2950.3"/>
    <n v="1557.69"/>
    <x v="10"/>
    <x v="6"/>
    <n v="0.34553980820720548"/>
    <n v="-0.890836048882096"/>
  </r>
  <r>
    <n v="1748"/>
    <x v="462"/>
    <x v="20"/>
    <x v="1"/>
    <x v="3"/>
    <x v="3"/>
    <x v="2"/>
    <x v="4"/>
    <x v="8"/>
    <n v="7"/>
    <n v="78.989999999999995"/>
    <n v="46.54"/>
    <n v="492.11"/>
    <n v="325.77999999999997"/>
    <n v="166.33"/>
    <x v="12"/>
    <x v="8"/>
    <n v="0.33799353803011523"/>
    <n v="0.47538152039178216"/>
  </r>
  <r>
    <n v="1787"/>
    <x v="463"/>
    <x v="65"/>
    <x v="0"/>
    <x v="0"/>
    <x v="0"/>
    <x v="2"/>
    <x v="4"/>
    <x v="28"/>
    <n v="3"/>
    <n v="252.1"/>
    <n v="133.43"/>
    <n v="726.05"/>
    <n v="400.29"/>
    <n v="325.76"/>
    <x v="16"/>
    <x v="9"/>
    <n v="0.44867433372357279"/>
    <n v="2.0087735004476279"/>
  </r>
  <r>
    <n v="1511"/>
    <x v="464"/>
    <x v="179"/>
    <x v="1"/>
    <x v="2"/>
    <x v="2"/>
    <x v="2"/>
    <x v="6"/>
    <x v="17"/>
    <n v="4"/>
    <n v="593.62"/>
    <n v="470.71"/>
    <n v="2184.52"/>
    <n v="1882.84"/>
    <n v="301.68"/>
    <x v="14"/>
    <x v="4"/>
    <n v="0.13809898742057752"/>
    <n v="-0.72255232270704772"/>
  </r>
  <r>
    <n v="1993"/>
    <x v="464"/>
    <x v="142"/>
    <x v="0"/>
    <x v="3"/>
    <x v="1"/>
    <x v="1"/>
    <x v="1"/>
    <x v="1"/>
    <n v="6"/>
    <n v="116.11"/>
    <n v="65.319999999999993"/>
    <n v="606.09"/>
    <n v="391.92"/>
    <n v="214.17"/>
    <x v="6"/>
    <x v="4"/>
    <n v="0.35336336187694894"/>
    <n v="2.8253889686350213"/>
  </r>
  <r>
    <n v="1792"/>
    <x v="465"/>
    <x v="220"/>
    <x v="0"/>
    <x v="3"/>
    <x v="2"/>
    <x v="1"/>
    <x v="1"/>
    <x v="23"/>
    <n v="5"/>
    <n v="626.63"/>
    <n v="376.26"/>
    <n v="2318.5300000000002"/>
    <n v="1881.3"/>
    <n v="437.23"/>
    <x v="26"/>
    <x v="3"/>
    <n v="0.18858069552690712"/>
    <n v="-0.80323308303105845"/>
  </r>
  <r>
    <n v="1635"/>
    <x v="466"/>
    <x v="179"/>
    <x v="2"/>
    <x v="1"/>
    <x v="1"/>
    <x v="1"/>
    <x v="1"/>
    <x v="23"/>
    <n v="6"/>
    <n v="93.87"/>
    <n v="67.459999999999994"/>
    <n v="456.21"/>
    <n v="404.76"/>
    <n v="51.45"/>
    <x v="21"/>
    <x v="4"/>
    <n v="0.11277701058722958"/>
    <n v="3.5911531969926136"/>
  </r>
  <r>
    <n v="1709"/>
    <x v="466"/>
    <x v="112"/>
    <x v="0"/>
    <x v="1"/>
    <x v="2"/>
    <x v="0"/>
    <x v="0"/>
    <x v="0"/>
    <n v="6"/>
    <n v="401.25"/>
    <n v="224.19"/>
    <n v="2094.5300000000002"/>
    <n v="1345.14"/>
    <n v="749.39"/>
    <x v="6"/>
    <x v="6"/>
    <n v="0.3577843239294734"/>
    <n v="-0.50775591660181529"/>
  </r>
  <r>
    <n v="1846"/>
    <x v="467"/>
    <x v="95"/>
    <x v="1"/>
    <x v="0"/>
    <x v="1"/>
    <x v="1"/>
    <x v="1"/>
    <x v="9"/>
    <n v="6"/>
    <n v="202.16"/>
    <n v="104.59"/>
    <n v="1031.02"/>
    <n v="627.54"/>
    <n v="403.48"/>
    <x v="25"/>
    <x v="7"/>
    <n v="0.3913406141490951"/>
    <n v="0.50238598669278967"/>
  </r>
  <r>
    <n v="1005"/>
    <x v="468"/>
    <x v="198"/>
    <x v="1"/>
    <x v="2"/>
    <x v="2"/>
    <x v="0"/>
    <x v="0"/>
    <x v="7"/>
    <n v="9"/>
    <n v="223.52"/>
    <n v="137.13"/>
    <n v="1548.99"/>
    <n v="1234.17"/>
    <n v="314.82"/>
    <x v="3"/>
    <x v="7"/>
    <n v="0.20324211260240543"/>
    <n v="-0.91951529706453883"/>
  </r>
  <r>
    <n v="1304"/>
    <x v="468"/>
    <x v="88"/>
    <x v="0"/>
    <x v="2"/>
    <x v="3"/>
    <x v="1"/>
    <x v="1"/>
    <x v="9"/>
    <n v="3"/>
    <n v="44.21"/>
    <n v="29.79"/>
    <n v="124.67"/>
    <n v="89.37"/>
    <n v="35.299999999999997"/>
    <x v="15"/>
    <x v="0"/>
    <n v="0.28314750942488165"/>
    <n v="17.682281222427207"/>
  </r>
  <r>
    <n v="1710"/>
    <x v="469"/>
    <x v="208"/>
    <x v="2"/>
    <x v="1"/>
    <x v="0"/>
    <x v="0"/>
    <x v="0"/>
    <x v="0"/>
    <n v="5"/>
    <n v="597.21"/>
    <n v="330.54"/>
    <n v="2329.12"/>
    <n v="1652.7"/>
    <n v="676.42"/>
    <x v="13"/>
    <x v="3"/>
    <n v="0.29041869890774197"/>
    <n v="-0.93940629937487119"/>
  </r>
  <r>
    <n v="1240"/>
    <x v="470"/>
    <x v="181"/>
    <x v="0"/>
    <x v="2"/>
    <x v="0"/>
    <x v="2"/>
    <x v="4"/>
    <x v="28"/>
    <n v="1"/>
    <n v="168.01"/>
    <n v="140.05000000000001"/>
    <n v="141.13"/>
    <n v="140.05000000000001"/>
    <n v="1.08"/>
    <x v="29"/>
    <x v="3"/>
    <n v="7.6525189541557436E-3"/>
    <n v="2.4315878976829874"/>
  </r>
  <r>
    <n v="1432"/>
    <x v="470"/>
    <x v="144"/>
    <x v="1"/>
    <x v="2"/>
    <x v="2"/>
    <x v="2"/>
    <x v="4"/>
    <x v="28"/>
    <n v="6"/>
    <n v="84.08"/>
    <n v="64.989999999999995"/>
    <n v="484.3"/>
    <n v="389.94"/>
    <n v="94.36"/>
    <x v="16"/>
    <x v="9"/>
    <n v="0.1948379103861243"/>
    <n v="3.0834813132355978"/>
  </r>
  <r>
    <n v="1447"/>
    <x v="470"/>
    <x v="158"/>
    <x v="1"/>
    <x v="0"/>
    <x v="1"/>
    <x v="1"/>
    <x v="3"/>
    <x v="4"/>
    <n v="5"/>
    <n v="429.92"/>
    <n v="342.53"/>
    <n v="1977.63"/>
    <n v="1712.65"/>
    <n v="264.98"/>
    <x v="14"/>
    <x v="9"/>
    <n v="0.13398866319786815"/>
    <n v="0.20591819501120026"/>
  </r>
  <r>
    <n v="1313"/>
    <x v="471"/>
    <x v="121"/>
    <x v="1"/>
    <x v="2"/>
    <x v="1"/>
    <x v="0"/>
    <x v="2"/>
    <x v="5"/>
    <n v="8"/>
    <n v="324.02999999999997"/>
    <n v="199.54"/>
    <n v="2384.86"/>
    <n v="1596.32"/>
    <n v="788.54"/>
    <x v="14"/>
    <x v="6"/>
    <n v="0.33064414682622878"/>
    <n v="0.14282180086042773"/>
  </r>
  <r>
    <n v="1546"/>
    <x v="471"/>
    <x v="104"/>
    <x v="1"/>
    <x v="0"/>
    <x v="0"/>
    <x v="1"/>
    <x v="5"/>
    <x v="22"/>
    <n v="4"/>
    <n v="717.23"/>
    <n v="600.66999999999996"/>
    <n v="2725.47"/>
    <n v="2402.6799999999998"/>
    <n v="322.79000000000002"/>
    <x v="10"/>
    <x v="6"/>
    <n v="0.11843461861623868"/>
    <n v="-0.50408920296315862"/>
  </r>
  <r>
    <n v="1364"/>
    <x v="472"/>
    <x v="166"/>
    <x v="1"/>
    <x v="0"/>
    <x v="2"/>
    <x v="0"/>
    <x v="7"/>
    <x v="12"/>
    <n v="2"/>
    <n v="824.14"/>
    <n v="548.12"/>
    <n v="1351.59"/>
    <n v="1096.24"/>
    <n v="255.35"/>
    <x v="23"/>
    <x v="2"/>
    <n v="0.18892563573272961"/>
    <n v="3.1603148883907104"/>
  </r>
  <r>
    <n v="1383"/>
    <x v="472"/>
    <x v="55"/>
    <x v="1"/>
    <x v="2"/>
    <x v="2"/>
    <x v="1"/>
    <x v="1"/>
    <x v="9"/>
    <n v="10"/>
    <n v="573.78"/>
    <n v="457.37"/>
    <n v="5623.04"/>
    <n v="4573.7"/>
    <n v="1049.3399999999999"/>
    <x v="0"/>
    <x v="8"/>
    <n v="0.18661435806965626"/>
    <n v="0.31056154677896658"/>
  </r>
  <r>
    <n v="1126"/>
    <x v="473"/>
    <x v="15"/>
    <x v="1"/>
    <x v="1"/>
    <x v="2"/>
    <x v="1"/>
    <x v="3"/>
    <x v="6"/>
    <n v="9"/>
    <n v="974.78"/>
    <n v="510.48"/>
    <n v="7369.34"/>
    <n v="4594.32"/>
    <n v="2775.02"/>
    <x v="29"/>
    <x v="6"/>
    <n v="0.3765628943704592"/>
    <n v="-0.75922402820333978"/>
  </r>
  <r>
    <n v="1367"/>
    <x v="473"/>
    <x v="83"/>
    <x v="2"/>
    <x v="3"/>
    <x v="2"/>
    <x v="1"/>
    <x v="5"/>
    <x v="10"/>
    <n v="2"/>
    <n v="996.83"/>
    <n v="770.44"/>
    <n v="1774.36"/>
    <n v="1540.88"/>
    <n v="233.48"/>
    <x v="12"/>
    <x v="4"/>
    <n v="0.13158547307198087"/>
    <n v="1.9842196623007735"/>
  </r>
  <r>
    <n v="1035"/>
    <x v="474"/>
    <x v="144"/>
    <x v="0"/>
    <x v="0"/>
    <x v="3"/>
    <x v="0"/>
    <x v="2"/>
    <x v="2"/>
    <n v="10"/>
    <n v="608.63"/>
    <n v="372.96"/>
    <n v="5295.08"/>
    <n v="3729.6"/>
    <n v="1565.48"/>
    <x v="6"/>
    <x v="1"/>
    <n v="0.2956480355348739"/>
    <n v="3.7208125278560558E-2"/>
  </r>
  <r>
    <n v="1451"/>
    <x v="474"/>
    <x v="8"/>
    <x v="2"/>
    <x v="2"/>
    <x v="3"/>
    <x v="0"/>
    <x v="7"/>
    <x v="25"/>
    <n v="8"/>
    <n v="798.27"/>
    <n v="579.53"/>
    <n v="5492.1"/>
    <n v="4636.24"/>
    <n v="855.86"/>
    <x v="9"/>
    <x v="0"/>
    <n v="0.15583474445112069"/>
    <n v="-0.65706196172684406"/>
  </r>
  <r>
    <n v="1480"/>
    <x v="474"/>
    <x v="45"/>
    <x v="0"/>
    <x v="0"/>
    <x v="0"/>
    <x v="1"/>
    <x v="5"/>
    <x v="22"/>
    <n v="3"/>
    <n v="660.86"/>
    <n v="415.96"/>
    <n v="1883.45"/>
    <n v="1247.8800000000001"/>
    <n v="635.57000000000005"/>
    <x v="10"/>
    <x v="1"/>
    <n v="0.33744989248453638"/>
    <n v="-0.7171414160184767"/>
  </r>
  <r>
    <n v="1257"/>
    <x v="475"/>
    <x v="101"/>
    <x v="0"/>
    <x v="1"/>
    <x v="1"/>
    <x v="1"/>
    <x v="1"/>
    <x v="23"/>
    <n v="2"/>
    <n v="283.38"/>
    <n v="155.30000000000001"/>
    <n v="532.75"/>
    <n v="310.60000000000002"/>
    <n v="222.15"/>
    <x v="15"/>
    <x v="6"/>
    <n v="0.41698732989206944"/>
    <n v="0.34004692632566863"/>
  </r>
  <r>
    <n v="1704"/>
    <x v="475"/>
    <x v="59"/>
    <x v="2"/>
    <x v="3"/>
    <x v="2"/>
    <x v="1"/>
    <x v="1"/>
    <x v="23"/>
    <n v="10"/>
    <n v="83.99"/>
    <n v="46.04"/>
    <n v="713.91"/>
    <n v="460.4"/>
    <n v="253.51"/>
    <x v="25"/>
    <x v="1"/>
    <n v="0.35510078301186426"/>
    <n v="5.8819459035452653"/>
  </r>
  <r>
    <n v="1822"/>
    <x v="475"/>
    <x v="218"/>
    <x v="1"/>
    <x v="3"/>
    <x v="0"/>
    <x v="2"/>
    <x v="6"/>
    <x v="27"/>
    <n v="8"/>
    <n v="864.98"/>
    <n v="466.88"/>
    <n v="4913.09"/>
    <n v="3735.04"/>
    <n v="1178.05"/>
    <x v="19"/>
    <x v="4"/>
    <n v="0.23977781803305045"/>
    <n v="-0.98325086656259097"/>
  </r>
  <r>
    <n v="1374"/>
    <x v="476"/>
    <x v="151"/>
    <x v="2"/>
    <x v="0"/>
    <x v="0"/>
    <x v="1"/>
    <x v="3"/>
    <x v="15"/>
    <n v="10"/>
    <n v="11.59"/>
    <n v="9.27"/>
    <n v="82.29"/>
    <n v="92.7"/>
    <n v="-10.41"/>
    <x v="19"/>
    <x v="0"/>
    <n v="-0.12650382792562886"/>
    <n v="39.937173411107054"/>
  </r>
  <r>
    <n v="1498"/>
    <x v="476"/>
    <x v="107"/>
    <x v="1"/>
    <x v="2"/>
    <x v="0"/>
    <x v="2"/>
    <x v="4"/>
    <x v="28"/>
    <n v="5"/>
    <n v="821.64"/>
    <n v="438.8"/>
    <n v="3368.72"/>
    <n v="2194"/>
    <n v="1174.72"/>
    <x v="23"/>
    <x v="9"/>
    <n v="0.34871405162791808"/>
    <n v="-0.90880215630862771"/>
  </r>
  <r>
    <n v="1897"/>
    <x v="476"/>
    <x v="21"/>
    <x v="1"/>
    <x v="0"/>
    <x v="1"/>
    <x v="0"/>
    <x v="7"/>
    <x v="12"/>
    <n v="1"/>
    <n v="341.36"/>
    <n v="201.85"/>
    <n v="307.22000000000003"/>
    <n v="201.85"/>
    <n v="105.37"/>
    <x v="22"/>
    <x v="7"/>
    <n v="0.34297897272312999"/>
    <n v="2.8871818240999762E-2"/>
  </r>
  <r>
    <n v="1060"/>
    <x v="477"/>
    <x v="73"/>
    <x v="1"/>
    <x v="0"/>
    <x v="2"/>
    <x v="1"/>
    <x v="5"/>
    <x v="26"/>
    <n v="2"/>
    <n v="161.27000000000001"/>
    <n v="90.45"/>
    <n v="316.08999999999997"/>
    <n v="180.9"/>
    <n v="135.19"/>
    <x v="0"/>
    <x v="7"/>
    <n v="0.42769464393052614"/>
    <n v="8.9625106773387326"/>
  </r>
  <r>
    <n v="1047"/>
    <x v="478"/>
    <x v="89"/>
    <x v="2"/>
    <x v="1"/>
    <x v="0"/>
    <x v="1"/>
    <x v="5"/>
    <x v="26"/>
    <n v="5"/>
    <n v="768.06"/>
    <n v="429.14"/>
    <n v="3149.05"/>
    <n v="2145.6999999999998"/>
    <n v="1003.35"/>
    <x v="23"/>
    <x v="2"/>
    <n v="0.31861990124005651"/>
    <n v="0.39063209539384885"/>
  </r>
  <r>
    <n v="1100"/>
    <x v="478"/>
    <x v="96"/>
    <x v="1"/>
    <x v="0"/>
    <x v="3"/>
    <x v="2"/>
    <x v="8"/>
    <x v="19"/>
    <n v="5"/>
    <n v="921.93"/>
    <n v="574.23"/>
    <n v="4379.17"/>
    <n v="2871.15"/>
    <n v="1508.02"/>
    <x v="10"/>
    <x v="8"/>
    <n v="0.3443620594770242"/>
    <n v="-0.67023203027057643"/>
  </r>
  <r>
    <n v="1677"/>
    <x v="478"/>
    <x v="187"/>
    <x v="0"/>
    <x v="1"/>
    <x v="1"/>
    <x v="0"/>
    <x v="0"/>
    <x v="7"/>
    <n v="6"/>
    <n v="276.64999999999998"/>
    <n v="140.72"/>
    <n v="1444.11"/>
    <n v="844.32"/>
    <n v="599.79"/>
    <x v="6"/>
    <x v="3"/>
    <n v="0.41533539688804871"/>
    <n v="1.5584269896337537"/>
  </r>
  <r>
    <n v="1910"/>
    <x v="478"/>
    <x v="91"/>
    <x v="0"/>
    <x v="0"/>
    <x v="0"/>
    <x v="1"/>
    <x v="1"/>
    <x v="1"/>
    <n v="5"/>
    <n v="859.22"/>
    <n v="711.68"/>
    <n v="3694.65"/>
    <n v="3558.4"/>
    <n v="136.25"/>
    <x v="9"/>
    <x v="9"/>
    <n v="3.6877647409091524E-2"/>
    <n v="-0.95447200682067312"/>
  </r>
  <r>
    <n v="1421"/>
    <x v="479"/>
    <x v="13"/>
    <x v="2"/>
    <x v="2"/>
    <x v="2"/>
    <x v="1"/>
    <x v="1"/>
    <x v="23"/>
    <n v="2"/>
    <n v="116.81"/>
    <n v="60.63"/>
    <n v="168.21"/>
    <n v="121.26"/>
    <n v="46.95"/>
    <x v="11"/>
    <x v="8"/>
    <n v="0.27911539147494202"/>
    <n v="15.884608525057962"/>
  </r>
  <r>
    <n v="1448"/>
    <x v="479"/>
    <x v="118"/>
    <x v="2"/>
    <x v="1"/>
    <x v="1"/>
    <x v="0"/>
    <x v="2"/>
    <x v="16"/>
    <n v="4"/>
    <n v="710.04"/>
    <n v="598.38"/>
    <n v="2840.16"/>
    <n v="2393.52"/>
    <n v="446.64"/>
    <x v="18"/>
    <x v="7"/>
    <n v="0.15725874598614162"/>
    <n v="-0.61603923722607179"/>
  </r>
  <r>
    <n v="1474"/>
    <x v="479"/>
    <x v="13"/>
    <x v="1"/>
    <x v="1"/>
    <x v="1"/>
    <x v="0"/>
    <x v="0"/>
    <x v="0"/>
    <n v="3"/>
    <n v="427.65"/>
    <n v="214.94"/>
    <n v="1090.51"/>
    <n v="644.82000000000005"/>
    <n v="445.69"/>
    <x v="25"/>
    <x v="1"/>
    <n v="0.40869868226792966"/>
    <n v="0.76577931426580215"/>
  </r>
  <r>
    <n v="1671"/>
    <x v="479"/>
    <x v="77"/>
    <x v="1"/>
    <x v="0"/>
    <x v="0"/>
    <x v="2"/>
    <x v="8"/>
    <x v="20"/>
    <n v="4"/>
    <n v="534.89"/>
    <n v="397.44"/>
    <n v="1925.6"/>
    <n v="1589.76"/>
    <n v="335.84"/>
    <x v="22"/>
    <x v="4"/>
    <n v="0.17440797673452429"/>
    <n v="0.3876609887827171"/>
  </r>
  <r>
    <n v="1062"/>
    <x v="480"/>
    <x v="96"/>
    <x v="2"/>
    <x v="1"/>
    <x v="0"/>
    <x v="1"/>
    <x v="5"/>
    <x v="22"/>
    <n v="3"/>
    <n v="908.87"/>
    <n v="717.39"/>
    <n v="2672.08"/>
    <n v="2152.17"/>
    <n v="519.91"/>
    <x v="0"/>
    <x v="8"/>
    <n v="0.19457127032124785"/>
    <n v="1.695559264692674"/>
  </r>
  <r>
    <n v="1970"/>
    <x v="480"/>
    <x v="73"/>
    <x v="2"/>
    <x v="1"/>
    <x v="1"/>
    <x v="0"/>
    <x v="2"/>
    <x v="2"/>
    <n v="9"/>
    <n v="808.39"/>
    <n v="415"/>
    <n v="7202.75"/>
    <n v="3735"/>
    <n v="3467.75"/>
    <x v="27"/>
    <x v="8"/>
    <n v="0.48144805803339003"/>
    <n v="-0.82134046024088025"/>
  </r>
  <r>
    <n v="1335"/>
    <x v="481"/>
    <x v="175"/>
    <x v="1"/>
    <x v="2"/>
    <x v="1"/>
    <x v="2"/>
    <x v="8"/>
    <x v="18"/>
    <n v="2"/>
    <n v="748.16"/>
    <n v="414.34"/>
    <n v="1286.8399999999999"/>
    <n v="828.68"/>
    <n v="458.16"/>
    <x v="9"/>
    <x v="5"/>
    <n v="0.35603493829846761"/>
    <n v="-0.28782910074290502"/>
  </r>
  <r>
    <n v="1660"/>
    <x v="481"/>
    <x v="25"/>
    <x v="2"/>
    <x v="0"/>
    <x v="0"/>
    <x v="0"/>
    <x v="0"/>
    <x v="7"/>
    <n v="2"/>
    <n v="619.22"/>
    <n v="398.71"/>
    <n v="916.45"/>
    <n v="797.42"/>
    <n v="119.03"/>
    <x v="26"/>
    <x v="9"/>
    <n v="0.12988160838016258"/>
    <n v="3.3712150144579627"/>
  </r>
  <r>
    <n v="1082"/>
    <x v="482"/>
    <x v="92"/>
    <x v="1"/>
    <x v="0"/>
    <x v="3"/>
    <x v="0"/>
    <x v="2"/>
    <x v="16"/>
    <n v="6"/>
    <n v="733.7"/>
    <n v="390"/>
    <n v="4006"/>
    <n v="2340"/>
    <n v="1666"/>
    <x v="5"/>
    <x v="4"/>
    <n v="0.41587618572141788"/>
    <n v="-0.82005491762356464"/>
  </r>
  <r>
    <n v="1129"/>
    <x v="483"/>
    <x v="179"/>
    <x v="2"/>
    <x v="0"/>
    <x v="1"/>
    <x v="2"/>
    <x v="6"/>
    <x v="27"/>
    <n v="1"/>
    <n v="792.15"/>
    <n v="641.66"/>
    <n v="720.86"/>
    <n v="641.66"/>
    <n v="79.2"/>
    <x v="5"/>
    <x v="3"/>
    <n v="0.10986876786061094"/>
    <n v="-0.18255972033404547"/>
  </r>
  <r>
    <n v="1646"/>
    <x v="484"/>
    <x v="120"/>
    <x v="1"/>
    <x v="3"/>
    <x v="0"/>
    <x v="2"/>
    <x v="4"/>
    <x v="8"/>
    <n v="10"/>
    <n v="74.59"/>
    <n v="39.64"/>
    <n v="589.26"/>
    <n v="396.4"/>
    <n v="192.86"/>
    <x v="1"/>
    <x v="8"/>
    <n v="0.32729185758408852"/>
    <n v="3.6783083867902109"/>
  </r>
  <r>
    <n v="1295"/>
    <x v="485"/>
    <x v="87"/>
    <x v="1"/>
    <x v="0"/>
    <x v="1"/>
    <x v="2"/>
    <x v="4"/>
    <x v="28"/>
    <n v="7"/>
    <n v="532.19000000000005"/>
    <n v="343.04"/>
    <n v="2756.74"/>
    <n v="2401.2800000000002"/>
    <n v="355.46"/>
    <x v="26"/>
    <x v="8"/>
    <n v="0.12894215631506781"/>
    <n v="-0.76834231737487035"/>
  </r>
  <r>
    <n v="1440"/>
    <x v="485"/>
    <x v="122"/>
    <x v="1"/>
    <x v="1"/>
    <x v="2"/>
    <x v="0"/>
    <x v="7"/>
    <x v="25"/>
    <n v="1"/>
    <n v="769.42"/>
    <n v="630.38"/>
    <n v="638.62"/>
    <n v="630.38"/>
    <n v="8.24"/>
    <x v="30"/>
    <x v="8"/>
    <n v="1.2902821709310702E-2"/>
    <n v="10.393426450784503"/>
  </r>
  <r>
    <n v="1827"/>
    <x v="485"/>
    <x v="10"/>
    <x v="1"/>
    <x v="0"/>
    <x v="0"/>
    <x v="2"/>
    <x v="8"/>
    <x v="24"/>
    <n v="10"/>
    <n v="932.83"/>
    <n v="500.26"/>
    <n v="7276.07"/>
    <n v="5002.6000000000004"/>
    <n v="2273.4699999999998"/>
    <x v="13"/>
    <x v="9"/>
    <n v="0.3124585112567636"/>
    <n v="-0.69461948551896846"/>
  </r>
  <r>
    <n v="1937"/>
    <x v="485"/>
    <x v="109"/>
    <x v="2"/>
    <x v="2"/>
    <x v="1"/>
    <x v="2"/>
    <x v="4"/>
    <x v="28"/>
    <n v="5"/>
    <n v="472.76"/>
    <n v="316.55"/>
    <n v="2221.9699999999998"/>
    <n v="1582.75"/>
    <n v="639.22"/>
    <x v="15"/>
    <x v="0"/>
    <n v="0.28768165186748701"/>
    <n v="-0.11800339338514915"/>
  </r>
  <r>
    <n v="1227"/>
    <x v="486"/>
    <x v="156"/>
    <x v="0"/>
    <x v="0"/>
    <x v="1"/>
    <x v="2"/>
    <x v="6"/>
    <x v="27"/>
    <n v="8"/>
    <n v="272.19"/>
    <n v="215.01"/>
    <n v="1959.77"/>
    <n v="1720.08"/>
    <n v="239.69"/>
    <x v="22"/>
    <x v="9"/>
    <n v="0.12230516846364624"/>
    <n v="0.39256647463732997"/>
  </r>
  <r>
    <n v="1974"/>
    <x v="486"/>
    <x v="19"/>
    <x v="2"/>
    <x v="3"/>
    <x v="3"/>
    <x v="1"/>
    <x v="1"/>
    <x v="23"/>
    <n v="6"/>
    <n v="468.92"/>
    <n v="371.68"/>
    <n v="2729.11"/>
    <n v="2230.08"/>
    <n v="499.03"/>
    <x v="28"/>
    <x v="0"/>
    <n v="0.18285448369615001"/>
    <n v="-0.77792760277159956"/>
  </r>
  <r>
    <n v="1672"/>
    <x v="487"/>
    <x v="29"/>
    <x v="2"/>
    <x v="2"/>
    <x v="3"/>
    <x v="2"/>
    <x v="6"/>
    <x v="27"/>
    <n v="1"/>
    <n v="631.30999999999995"/>
    <n v="377.54"/>
    <n v="606.05999999999995"/>
    <n v="377.54"/>
    <n v="228.52"/>
    <x v="16"/>
    <x v="6"/>
    <n v="0.37705837705837714"/>
    <n v="4.4874764874764876"/>
  </r>
  <r>
    <n v="1961"/>
    <x v="487"/>
    <x v="78"/>
    <x v="2"/>
    <x v="3"/>
    <x v="0"/>
    <x v="2"/>
    <x v="6"/>
    <x v="13"/>
    <n v="7"/>
    <n v="586.54999999999995"/>
    <n v="356.04"/>
    <n v="3325.74"/>
    <n v="2492.2800000000002"/>
    <n v="833.46"/>
    <x v="21"/>
    <x v="4"/>
    <n v="0.25060888704468781"/>
    <n v="-0.45424777643471825"/>
  </r>
  <r>
    <n v="1026"/>
    <x v="488"/>
    <x v="63"/>
    <x v="1"/>
    <x v="1"/>
    <x v="1"/>
    <x v="1"/>
    <x v="5"/>
    <x v="10"/>
    <n v="2"/>
    <n v="945.33"/>
    <n v="701.3"/>
    <n v="1815.03"/>
    <n v="1402.6"/>
    <n v="412.43"/>
    <x v="16"/>
    <x v="7"/>
    <n v="0.22723040390516963"/>
    <n v="0.43408648892855761"/>
  </r>
  <r>
    <n v="1316"/>
    <x v="488"/>
    <x v="60"/>
    <x v="1"/>
    <x v="2"/>
    <x v="1"/>
    <x v="0"/>
    <x v="0"/>
    <x v="0"/>
    <n v="4"/>
    <n v="845.1"/>
    <n v="520.74"/>
    <n v="2602.91"/>
    <n v="2082.96"/>
    <n v="519.95000000000005"/>
    <x v="3"/>
    <x v="9"/>
    <n v="0.19975719483193813"/>
    <n v="-0.93995182315178005"/>
  </r>
  <r>
    <n v="1482"/>
    <x v="488"/>
    <x v="89"/>
    <x v="1"/>
    <x v="3"/>
    <x v="0"/>
    <x v="1"/>
    <x v="1"/>
    <x v="23"/>
    <n v="1"/>
    <n v="171.76"/>
    <n v="109.85"/>
    <n v="156.30000000000001"/>
    <n v="109.85"/>
    <n v="46.45"/>
    <x v="5"/>
    <x v="6"/>
    <n v="0.29718490083173382"/>
    <n v="27.81253998720409"/>
  </r>
  <r>
    <n v="1853"/>
    <x v="488"/>
    <x v="114"/>
    <x v="2"/>
    <x v="2"/>
    <x v="1"/>
    <x v="1"/>
    <x v="1"/>
    <x v="9"/>
    <n v="6"/>
    <n v="773.78"/>
    <n v="517.62"/>
    <n v="4503.3999999999996"/>
    <n v="3105.72"/>
    <n v="1397.68"/>
    <x v="28"/>
    <x v="3"/>
    <n v="0.31036106053204249"/>
    <n v="-0.99512590487187458"/>
  </r>
  <r>
    <n v="1162"/>
    <x v="489"/>
    <x v="140"/>
    <x v="2"/>
    <x v="1"/>
    <x v="3"/>
    <x v="1"/>
    <x v="1"/>
    <x v="23"/>
    <n v="3"/>
    <n v="10.16"/>
    <n v="7.04"/>
    <n v="21.95"/>
    <n v="21.12"/>
    <n v="0.83"/>
    <x v="11"/>
    <x v="4"/>
    <n v="3.7813211845102508E-2"/>
    <n v="52.068337129840543"/>
  </r>
  <r>
    <n v="1675"/>
    <x v="489"/>
    <x v="95"/>
    <x v="1"/>
    <x v="0"/>
    <x v="2"/>
    <x v="2"/>
    <x v="8"/>
    <x v="18"/>
    <n v="4"/>
    <n v="398.92"/>
    <n v="242.18"/>
    <n v="1164.8499999999999"/>
    <n v="968.72"/>
    <n v="196.13"/>
    <x v="24"/>
    <x v="9"/>
    <n v="0.1683736103360948"/>
    <n v="3.1353822380564029"/>
  </r>
  <r>
    <n v="1914"/>
    <x v="489"/>
    <x v="160"/>
    <x v="2"/>
    <x v="1"/>
    <x v="0"/>
    <x v="1"/>
    <x v="5"/>
    <x v="26"/>
    <n v="10"/>
    <n v="553.69000000000005"/>
    <n v="461.59"/>
    <n v="4817.1000000000004"/>
    <n v="4615.8999999999996"/>
    <n v="201.2"/>
    <x v="6"/>
    <x v="3"/>
    <n v="4.1767868634655703E-2"/>
    <n v="-0.83075709451744828"/>
  </r>
  <r>
    <n v="1000"/>
    <x v="490"/>
    <x v="133"/>
    <x v="1"/>
    <x v="3"/>
    <x v="2"/>
    <x v="2"/>
    <x v="8"/>
    <x v="24"/>
    <n v="9"/>
    <n v="91.5"/>
    <n v="59.26"/>
    <n v="815.26"/>
    <n v="533.34"/>
    <n v="281.92"/>
    <x v="27"/>
    <x v="1"/>
    <n v="0.34580379265510391"/>
    <n v="1.5323455094080416"/>
  </r>
  <r>
    <n v="1145"/>
    <x v="490"/>
    <x v="157"/>
    <x v="1"/>
    <x v="3"/>
    <x v="3"/>
    <x v="0"/>
    <x v="2"/>
    <x v="16"/>
    <n v="7"/>
    <n v="300.95"/>
    <n v="158.16"/>
    <n v="2064.52"/>
    <n v="1107.1199999999999"/>
    <n v="957.4"/>
    <x v="0"/>
    <x v="0"/>
    <n v="0.46373975548795843"/>
    <n v="1.5540852110902292"/>
  </r>
  <r>
    <n v="1170"/>
    <x v="490"/>
    <x v="211"/>
    <x v="0"/>
    <x v="2"/>
    <x v="2"/>
    <x v="2"/>
    <x v="6"/>
    <x v="27"/>
    <n v="8"/>
    <n v="749"/>
    <n v="533.29"/>
    <n v="5272.96"/>
    <n v="4266.32"/>
    <n v="1006.64"/>
    <x v="2"/>
    <x v="6"/>
    <n v="0.19090605656026216"/>
    <n v="-0.18982127685398714"/>
  </r>
  <r>
    <n v="1458"/>
    <x v="490"/>
    <x v="2"/>
    <x v="0"/>
    <x v="2"/>
    <x v="2"/>
    <x v="0"/>
    <x v="0"/>
    <x v="3"/>
    <n v="6"/>
    <n v="773.92"/>
    <n v="568.75"/>
    <n v="4272.04"/>
    <n v="3412.5"/>
    <n v="859.54"/>
    <x v="14"/>
    <x v="8"/>
    <n v="0.20120129961329949"/>
    <n v="-0.7599460679207124"/>
  </r>
  <r>
    <n v="1667"/>
    <x v="490"/>
    <x v="155"/>
    <x v="2"/>
    <x v="1"/>
    <x v="2"/>
    <x v="2"/>
    <x v="6"/>
    <x v="13"/>
    <n v="7"/>
    <n v="209.29"/>
    <n v="118.14"/>
    <n v="1025.52"/>
    <n v="826.98"/>
    <n v="198.54"/>
    <x v="8"/>
    <x v="5"/>
    <n v="0.19359934472267726"/>
    <n v="-0.20131250487557525"/>
  </r>
  <r>
    <n v="1685"/>
    <x v="490"/>
    <x v="211"/>
    <x v="2"/>
    <x v="2"/>
    <x v="0"/>
    <x v="1"/>
    <x v="3"/>
    <x v="6"/>
    <n v="1"/>
    <n v="827.34"/>
    <n v="588.39"/>
    <n v="819.07"/>
    <n v="588.39"/>
    <n v="230.68"/>
    <x v="27"/>
    <x v="1"/>
    <n v="0.28163649016567571"/>
    <n v="10.401198920727165"/>
  </r>
  <r>
    <n v="1031"/>
    <x v="491"/>
    <x v="169"/>
    <x v="1"/>
    <x v="3"/>
    <x v="0"/>
    <x v="2"/>
    <x v="6"/>
    <x v="27"/>
    <n v="10"/>
    <n v="962.72"/>
    <n v="570.80999999999995"/>
    <n v="9338.3799999999992"/>
    <n v="5708.1"/>
    <n v="3630.28"/>
    <x v="28"/>
    <x v="4"/>
    <n v="0.38874836963156356"/>
    <n v="-0.83868079902509851"/>
  </r>
  <r>
    <n v="1579"/>
    <x v="491"/>
    <x v="198"/>
    <x v="1"/>
    <x v="1"/>
    <x v="2"/>
    <x v="2"/>
    <x v="6"/>
    <x v="27"/>
    <n v="5"/>
    <n v="317.14999999999998"/>
    <n v="167.7"/>
    <n v="1506.46"/>
    <n v="838.5"/>
    <n v="667.96"/>
    <x v="10"/>
    <x v="6"/>
    <n v="0.44339710314246644"/>
    <n v="-0.82755599219361953"/>
  </r>
  <r>
    <n v="1850"/>
    <x v="491"/>
    <x v="204"/>
    <x v="0"/>
    <x v="0"/>
    <x v="0"/>
    <x v="2"/>
    <x v="8"/>
    <x v="24"/>
    <n v="3"/>
    <n v="109.61"/>
    <n v="67.19"/>
    <n v="259.77999999999997"/>
    <n v="201.57"/>
    <n v="58.21"/>
    <x v="1"/>
    <x v="4"/>
    <n v="0.22407421664485336"/>
    <n v="4.244052659943029"/>
  </r>
  <r>
    <n v="1090"/>
    <x v="492"/>
    <x v="108"/>
    <x v="2"/>
    <x v="0"/>
    <x v="3"/>
    <x v="2"/>
    <x v="8"/>
    <x v="20"/>
    <n v="2"/>
    <n v="830.67"/>
    <n v="576.46"/>
    <n v="1362.3"/>
    <n v="1152.92"/>
    <n v="209.38"/>
    <x v="23"/>
    <x v="1"/>
    <n v="0.15369595536959554"/>
    <n v="4.1390956470674594"/>
  </r>
  <r>
    <n v="1781"/>
    <x v="492"/>
    <x v="12"/>
    <x v="2"/>
    <x v="0"/>
    <x v="0"/>
    <x v="1"/>
    <x v="1"/>
    <x v="1"/>
    <n v="10"/>
    <n v="972.36"/>
    <n v="596.64"/>
    <n v="7000.99"/>
    <n v="5966.4"/>
    <n v="1034.5899999999999"/>
    <x v="11"/>
    <x v="6"/>
    <n v="0.14777767144361012"/>
    <n v="-0.40665677282784291"/>
  </r>
  <r>
    <n v="1110"/>
    <x v="493"/>
    <x v="108"/>
    <x v="0"/>
    <x v="3"/>
    <x v="2"/>
    <x v="0"/>
    <x v="2"/>
    <x v="2"/>
    <n v="8"/>
    <n v="633.23"/>
    <n v="493.11"/>
    <n v="4153.99"/>
    <n v="3944.88"/>
    <n v="209.11"/>
    <x v="23"/>
    <x v="5"/>
    <n v="5.0339553056218247E-2"/>
    <n v="-0.81583971073594297"/>
  </r>
  <r>
    <n v="1553"/>
    <x v="494"/>
    <x v="11"/>
    <x v="0"/>
    <x v="1"/>
    <x v="1"/>
    <x v="1"/>
    <x v="1"/>
    <x v="23"/>
    <n v="8"/>
    <n v="112.5"/>
    <n v="66.12"/>
    <n v="765"/>
    <n v="528.96"/>
    <n v="236.04"/>
    <x v="25"/>
    <x v="8"/>
    <n v="0.30854901960784314"/>
    <n v="1.0871372549019609"/>
  </r>
  <r>
    <n v="1815"/>
    <x v="494"/>
    <x v="38"/>
    <x v="2"/>
    <x v="0"/>
    <x v="2"/>
    <x v="2"/>
    <x v="6"/>
    <x v="17"/>
    <n v="3"/>
    <n v="572.28"/>
    <n v="457.16"/>
    <n v="1596.66"/>
    <n v="1371.48"/>
    <n v="225.18"/>
    <x v="4"/>
    <x v="0"/>
    <n v="0.14103190409980834"/>
    <n v="-0.91052572244560526"/>
  </r>
  <r>
    <n v="1678"/>
    <x v="495"/>
    <x v="23"/>
    <x v="2"/>
    <x v="3"/>
    <x v="0"/>
    <x v="0"/>
    <x v="2"/>
    <x v="5"/>
    <n v="2"/>
    <n v="75.989999999999995"/>
    <n v="39.01"/>
    <n v="142.86000000000001"/>
    <n v="78.02"/>
    <n v="64.84"/>
    <x v="15"/>
    <x v="1"/>
    <n v="0.45387092258154837"/>
    <n v="8.6652666946661068"/>
  </r>
  <r>
    <n v="1690"/>
    <x v="496"/>
    <x v="56"/>
    <x v="0"/>
    <x v="3"/>
    <x v="3"/>
    <x v="0"/>
    <x v="7"/>
    <x v="12"/>
    <n v="7"/>
    <n v="252.89"/>
    <n v="206.1"/>
    <n v="1380.78"/>
    <n v="1442.7"/>
    <n v="-61.92"/>
    <x v="13"/>
    <x v="0"/>
    <n v="-4.4844218485204014E-2"/>
    <n v="2.4476889873839425"/>
  </r>
  <r>
    <n v="1473"/>
    <x v="497"/>
    <x v="84"/>
    <x v="1"/>
    <x v="1"/>
    <x v="1"/>
    <x v="2"/>
    <x v="8"/>
    <x v="20"/>
    <n v="7"/>
    <n v="860.85"/>
    <n v="699.66"/>
    <n v="4760.5"/>
    <n v="4897.62"/>
    <n v="-137.12"/>
    <x v="1"/>
    <x v="4"/>
    <n v="-2.880369709064174E-2"/>
    <n v="-0.56198928683961769"/>
  </r>
  <r>
    <n v="1265"/>
    <x v="498"/>
    <x v="151"/>
    <x v="1"/>
    <x v="3"/>
    <x v="2"/>
    <x v="1"/>
    <x v="3"/>
    <x v="6"/>
    <n v="7"/>
    <n v="310.29000000000002"/>
    <n v="229.92"/>
    <n v="2085.15"/>
    <n v="1609.44"/>
    <n v="475.71"/>
    <x v="16"/>
    <x v="7"/>
    <n v="0.22814186029782027"/>
    <n v="-0.86613433086348701"/>
  </r>
  <r>
    <n v="1309"/>
    <x v="498"/>
    <x v="95"/>
    <x v="2"/>
    <x v="0"/>
    <x v="2"/>
    <x v="1"/>
    <x v="3"/>
    <x v="6"/>
    <n v="3"/>
    <n v="108.19"/>
    <n v="88.6"/>
    <n v="279.13"/>
    <n v="265.8"/>
    <n v="13.33"/>
    <x v="9"/>
    <x v="9"/>
    <n v="4.7755526098950313E-2"/>
    <n v="16.489628488517894"/>
  </r>
  <r>
    <n v="1624"/>
    <x v="498"/>
    <x v="42"/>
    <x v="2"/>
    <x v="3"/>
    <x v="0"/>
    <x v="2"/>
    <x v="4"/>
    <x v="21"/>
    <n v="7"/>
    <n v="726.47"/>
    <n v="551.4"/>
    <n v="4881.88"/>
    <n v="3859.8"/>
    <n v="1022.08"/>
    <x v="16"/>
    <x v="6"/>
    <n v="0.209361967111031"/>
    <n v="0.18066810327169042"/>
  </r>
  <r>
    <n v="1813"/>
    <x v="499"/>
    <x v="115"/>
    <x v="2"/>
    <x v="1"/>
    <x v="0"/>
    <x v="0"/>
    <x v="0"/>
    <x v="7"/>
    <n v="7"/>
    <n v="857.72"/>
    <n v="704.19"/>
    <n v="5763.88"/>
    <n v="4929.33"/>
    <n v="834.55"/>
    <x v="16"/>
    <x v="5"/>
    <n v="0.14478962088037917"/>
    <n v="-0.88843279179996804"/>
  </r>
  <r>
    <n v="1714"/>
    <x v="500"/>
    <x v="221"/>
    <x v="0"/>
    <x v="2"/>
    <x v="2"/>
    <x v="0"/>
    <x v="2"/>
    <x v="2"/>
    <n v="1"/>
    <n v="698.98"/>
    <n v="507.37"/>
    <n v="643.05999999999995"/>
    <n v="507.37"/>
    <n v="135.69"/>
    <x v="14"/>
    <x v="0"/>
    <n v="0.21100674898143254"/>
    <n v="2.4900009330389081"/>
  </r>
  <r>
    <n v="1919"/>
    <x v="501"/>
    <x v="178"/>
    <x v="0"/>
    <x v="0"/>
    <x v="2"/>
    <x v="0"/>
    <x v="2"/>
    <x v="2"/>
    <n v="3"/>
    <n v="912.31"/>
    <n v="464.31"/>
    <n v="2244.2800000000002"/>
    <n v="1392.93"/>
    <n v="851.35"/>
    <x v="23"/>
    <x v="5"/>
    <n v="0.37934214982087794"/>
    <n v="-0.66404815798385231"/>
  </r>
  <r>
    <n v="1163"/>
    <x v="502"/>
    <x v="56"/>
    <x v="0"/>
    <x v="1"/>
    <x v="2"/>
    <x v="0"/>
    <x v="0"/>
    <x v="7"/>
    <n v="1"/>
    <n v="908.4"/>
    <n v="482.64"/>
    <n v="753.97"/>
    <n v="482.64"/>
    <n v="271.33"/>
    <x v="30"/>
    <x v="6"/>
    <n v="0.35986842977837313"/>
    <n v="-0.10899637916627991"/>
  </r>
  <r>
    <n v="1444"/>
    <x v="502"/>
    <x v="76"/>
    <x v="2"/>
    <x v="0"/>
    <x v="3"/>
    <x v="0"/>
    <x v="2"/>
    <x v="5"/>
    <n v="2"/>
    <n v="419.87"/>
    <n v="236.13"/>
    <n v="671.79"/>
    <n v="472.26"/>
    <n v="199.53"/>
    <x v="20"/>
    <x v="9"/>
    <n v="0.29701245925065872"/>
    <n v="0.76724869378823757"/>
  </r>
  <r>
    <n v="1271"/>
    <x v="503"/>
    <x v="5"/>
    <x v="0"/>
    <x v="2"/>
    <x v="0"/>
    <x v="2"/>
    <x v="6"/>
    <x v="27"/>
    <n v="4"/>
    <n v="412.23"/>
    <n v="286.06"/>
    <n v="1187.22"/>
    <n v="1144.24"/>
    <n v="42.98"/>
    <x v="11"/>
    <x v="6"/>
    <n v="3.6202220313000112E-2"/>
    <n v="0.82758039790434779"/>
  </r>
  <r>
    <n v="1302"/>
    <x v="503"/>
    <x v="113"/>
    <x v="2"/>
    <x v="0"/>
    <x v="1"/>
    <x v="0"/>
    <x v="0"/>
    <x v="0"/>
    <n v="9"/>
    <n v="256.47000000000003"/>
    <n v="191.24"/>
    <n v="2169.7399999999998"/>
    <n v="1721.16"/>
    <n v="448.58"/>
    <x v="15"/>
    <x v="7"/>
    <n v="0.20674366513960199"/>
    <n v="-0.94781863264722976"/>
  </r>
  <r>
    <n v="1535"/>
    <x v="503"/>
    <x v="148"/>
    <x v="0"/>
    <x v="1"/>
    <x v="2"/>
    <x v="0"/>
    <x v="7"/>
    <x v="14"/>
    <n v="4"/>
    <n v="33.299999999999997"/>
    <n v="25.56"/>
    <n v="113.22"/>
    <n v="102.24"/>
    <n v="10.98"/>
    <x v="25"/>
    <x v="2"/>
    <n v="9.6979332273449931E-2"/>
    <n v="2.177353824412648"/>
  </r>
  <r>
    <n v="1730"/>
    <x v="503"/>
    <x v="174"/>
    <x v="1"/>
    <x v="1"/>
    <x v="2"/>
    <x v="2"/>
    <x v="6"/>
    <x v="11"/>
    <n v="5"/>
    <n v="92.24"/>
    <n v="49"/>
    <n v="359.74"/>
    <n v="245"/>
    <n v="114.74"/>
    <x v="13"/>
    <x v="1"/>
    <n v="0.31895257686106632"/>
    <n v="2.6711513871129151"/>
  </r>
  <r>
    <n v="1088"/>
    <x v="504"/>
    <x v="126"/>
    <x v="0"/>
    <x v="1"/>
    <x v="3"/>
    <x v="2"/>
    <x v="4"/>
    <x v="21"/>
    <n v="4"/>
    <n v="446.17"/>
    <n v="371.52"/>
    <n v="1320.66"/>
    <n v="1486.08"/>
    <n v="-165.42"/>
    <x v="26"/>
    <x v="2"/>
    <n v="-0.12525555404116123"/>
    <n v="1.135803310465979"/>
  </r>
  <r>
    <n v="1294"/>
    <x v="504"/>
    <x v="175"/>
    <x v="0"/>
    <x v="2"/>
    <x v="3"/>
    <x v="0"/>
    <x v="0"/>
    <x v="7"/>
    <n v="5"/>
    <n v="587.64"/>
    <n v="389.2"/>
    <n v="2820.67"/>
    <n v="1946"/>
    <n v="874.67"/>
    <x v="16"/>
    <x v="7"/>
    <n v="0.31009299209053165"/>
    <n v="-0.50048747283446837"/>
  </r>
  <r>
    <n v="1775"/>
    <x v="504"/>
    <x v="141"/>
    <x v="2"/>
    <x v="1"/>
    <x v="0"/>
    <x v="2"/>
    <x v="4"/>
    <x v="8"/>
    <n v="6"/>
    <n v="304.97000000000003"/>
    <n v="203.1"/>
    <n v="1408.96"/>
    <n v="1218.5999999999999"/>
    <n v="190.36"/>
    <x v="3"/>
    <x v="6"/>
    <n v="0.13510674540086307"/>
    <n v="0.9440225414490121"/>
  </r>
  <r>
    <n v="1972"/>
    <x v="504"/>
    <x v="26"/>
    <x v="2"/>
    <x v="3"/>
    <x v="3"/>
    <x v="1"/>
    <x v="5"/>
    <x v="22"/>
    <n v="6"/>
    <n v="518.76"/>
    <n v="430.15"/>
    <n v="2739.05"/>
    <n v="2580.9"/>
    <n v="158.15"/>
    <x v="2"/>
    <x v="7"/>
    <n v="5.7738997097533815E-2"/>
    <n v="-0.86807104653073142"/>
  </r>
  <r>
    <n v="1430"/>
    <x v="505"/>
    <x v="170"/>
    <x v="2"/>
    <x v="3"/>
    <x v="0"/>
    <x v="1"/>
    <x v="3"/>
    <x v="4"/>
    <n v="2"/>
    <n v="188.21"/>
    <n v="149.41"/>
    <n v="361.36"/>
    <n v="298.82"/>
    <n v="62.54"/>
    <x v="16"/>
    <x v="7"/>
    <n v="0.17306840823555455"/>
    <n v="3.8996015054239535"/>
  </r>
  <r>
    <n v="1128"/>
    <x v="506"/>
    <x v="165"/>
    <x v="1"/>
    <x v="3"/>
    <x v="2"/>
    <x v="2"/>
    <x v="6"/>
    <x v="13"/>
    <n v="3"/>
    <n v="831.23"/>
    <n v="614.80999999999995"/>
    <n v="1770.52"/>
    <n v="1844.43"/>
    <n v="-73.91"/>
    <x v="19"/>
    <x v="0"/>
    <n v="-4.1744798138400013E-2"/>
    <n v="0.49783114565212483"/>
  </r>
  <r>
    <n v="1293"/>
    <x v="507"/>
    <x v="117"/>
    <x v="2"/>
    <x v="3"/>
    <x v="0"/>
    <x v="0"/>
    <x v="2"/>
    <x v="16"/>
    <n v="5"/>
    <n v="726.56"/>
    <n v="505.44"/>
    <n v="2651.94"/>
    <n v="2527.1999999999998"/>
    <n v="124.74"/>
    <x v="24"/>
    <x v="5"/>
    <n v="4.7037263286499695E-2"/>
    <n v="-0.36228195208036379"/>
  </r>
  <r>
    <n v="1235"/>
    <x v="508"/>
    <x v="211"/>
    <x v="2"/>
    <x v="2"/>
    <x v="1"/>
    <x v="0"/>
    <x v="7"/>
    <x v="12"/>
    <n v="4"/>
    <n v="497.41"/>
    <n v="268.33"/>
    <n v="1691.19"/>
    <n v="1073.32"/>
    <n v="617.87"/>
    <x v="25"/>
    <x v="9"/>
    <n v="0.36534629462094736"/>
    <n v="0.17358782868867478"/>
  </r>
  <r>
    <n v="1726"/>
    <x v="508"/>
    <x v="53"/>
    <x v="2"/>
    <x v="1"/>
    <x v="3"/>
    <x v="1"/>
    <x v="5"/>
    <x v="22"/>
    <n v="3"/>
    <n v="870.51"/>
    <n v="702.22"/>
    <n v="1984.76"/>
    <n v="2106.66"/>
    <n v="-121.9"/>
    <x v="17"/>
    <x v="6"/>
    <n v="-6.1418005199621116E-2"/>
    <n v="-0.95242245913863632"/>
  </r>
  <r>
    <n v="1888"/>
    <x v="508"/>
    <x v="161"/>
    <x v="2"/>
    <x v="3"/>
    <x v="3"/>
    <x v="1"/>
    <x v="3"/>
    <x v="15"/>
    <n v="2"/>
    <n v="49.7"/>
    <n v="39.67"/>
    <n v="94.43"/>
    <n v="79.34"/>
    <n v="15.09"/>
    <x v="10"/>
    <x v="2"/>
    <n v="0.15980091072752303"/>
    <n v="11.2552155035476"/>
  </r>
  <r>
    <n v="1274"/>
    <x v="509"/>
    <x v="24"/>
    <x v="1"/>
    <x v="1"/>
    <x v="2"/>
    <x v="0"/>
    <x v="0"/>
    <x v="7"/>
    <n v="3"/>
    <n v="448.55"/>
    <n v="265.61"/>
    <n v="1157.26"/>
    <n v="796.83"/>
    <n v="360.43"/>
    <x v="9"/>
    <x v="1"/>
    <n v="0.31145118642310288"/>
    <n v="-0.92489155418834135"/>
  </r>
  <r>
    <n v="1445"/>
    <x v="509"/>
    <x v="147"/>
    <x v="1"/>
    <x v="2"/>
    <x v="1"/>
    <x v="1"/>
    <x v="3"/>
    <x v="15"/>
    <n v="1"/>
    <n v="97.66"/>
    <n v="59.06"/>
    <n v="86.92"/>
    <n v="59.06"/>
    <n v="27.86"/>
    <x v="12"/>
    <x v="4"/>
    <n v="0.32052462034054302"/>
    <n v="32.477795674183156"/>
  </r>
  <r>
    <n v="1330"/>
    <x v="510"/>
    <x v="55"/>
    <x v="1"/>
    <x v="3"/>
    <x v="0"/>
    <x v="1"/>
    <x v="1"/>
    <x v="1"/>
    <n v="4"/>
    <n v="957.2"/>
    <n v="653.01"/>
    <n v="2909.89"/>
    <n v="2612.04"/>
    <n v="297.85000000000002"/>
    <x v="17"/>
    <x v="8"/>
    <n v="0.10235782108602044"/>
    <n v="-0.77902257473650205"/>
  </r>
  <r>
    <n v="1355"/>
    <x v="510"/>
    <x v="16"/>
    <x v="2"/>
    <x v="2"/>
    <x v="1"/>
    <x v="1"/>
    <x v="1"/>
    <x v="9"/>
    <n v="3"/>
    <n v="223.27"/>
    <n v="143.72999999999999"/>
    <n v="643.02"/>
    <n v="431.19"/>
    <n v="211.83"/>
    <x v="16"/>
    <x v="9"/>
    <n v="0.32942987776429972"/>
    <n v="6.859817735062676E-2"/>
  </r>
  <r>
    <n v="1759"/>
    <x v="510"/>
    <x v="146"/>
    <x v="1"/>
    <x v="0"/>
    <x v="1"/>
    <x v="2"/>
    <x v="4"/>
    <x v="8"/>
    <n v="4"/>
    <n v="178.94"/>
    <n v="112.46"/>
    <n v="687.13"/>
    <n v="449.84"/>
    <n v="237.29"/>
    <x v="16"/>
    <x v="5"/>
    <n v="0.34533494389707914"/>
    <n v="5.9679100024740581"/>
  </r>
  <r>
    <n v="1472"/>
    <x v="511"/>
    <x v="13"/>
    <x v="2"/>
    <x v="2"/>
    <x v="1"/>
    <x v="0"/>
    <x v="0"/>
    <x v="0"/>
    <n v="5"/>
    <n v="997.47"/>
    <n v="732.66"/>
    <n v="4787.8599999999997"/>
    <n v="3663.3"/>
    <n v="1124.56"/>
    <x v="16"/>
    <x v="2"/>
    <n v="0.23487737736692385"/>
    <n v="-0.72546398599791972"/>
  </r>
  <r>
    <n v="1889"/>
    <x v="512"/>
    <x v="195"/>
    <x v="1"/>
    <x v="1"/>
    <x v="3"/>
    <x v="2"/>
    <x v="4"/>
    <x v="28"/>
    <n v="2"/>
    <n v="900.3"/>
    <n v="504.98"/>
    <n v="1314.44"/>
    <n v="1009.96"/>
    <n v="304.48"/>
    <x v="24"/>
    <x v="4"/>
    <n v="0.23164237241715102"/>
    <n v="-0.15405039408417273"/>
  </r>
  <r>
    <n v="1987"/>
    <x v="513"/>
    <x v="91"/>
    <x v="0"/>
    <x v="2"/>
    <x v="0"/>
    <x v="0"/>
    <x v="2"/>
    <x v="2"/>
    <n v="3"/>
    <n v="402.88"/>
    <n v="247.57"/>
    <n v="1111.95"/>
    <n v="742.71"/>
    <n v="369.24"/>
    <x v="14"/>
    <x v="4"/>
    <n v="0.33206529070551732"/>
    <n v="-0.41268042627815998"/>
  </r>
  <r>
    <n v="1029"/>
    <x v="514"/>
    <x v="53"/>
    <x v="2"/>
    <x v="3"/>
    <x v="2"/>
    <x v="1"/>
    <x v="5"/>
    <x v="26"/>
    <n v="1"/>
    <n v="859.3"/>
    <n v="496.55"/>
    <n v="653.07000000000005"/>
    <n v="496.55"/>
    <n v="156.52000000000001"/>
    <x v="17"/>
    <x v="0"/>
    <n v="0.23966802946085411"/>
    <n v="1.1644234155603532"/>
  </r>
  <r>
    <n v="1816"/>
    <x v="514"/>
    <x v="23"/>
    <x v="0"/>
    <x v="1"/>
    <x v="1"/>
    <x v="2"/>
    <x v="8"/>
    <x v="20"/>
    <n v="2"/>
    <n v="917.87"/>
    <n v="755.29"/>
    <n v="1413.52"/>
    <n v="1510.58"/>
    <n v="-97.06"/>
    <x v="3"/>
    <x v="1"/>
    <n v="-6.8665459278963156E-2"/>
    <n v="0.34863319938875997"/>
  </r>
  <r>
    <n v="1587"/>
    <x v="515"/>
    <x v="192"/>
    <x v="1"/>
    <x v="0"/>
    <x v="0"/>
    <x v="0"/>
    <x v="7"/>
    <x v="14"/>
    <n v="7"/>
    <n v="305.99"/>
    <n v="195.27"/>
    <n v="1906.32"/>
    <n v="1366.89"/>
    <n v="539.42999999999995"/>
    <x v="12"/>
    <x v="6"/>
    <n v="0.28296928112803726"/>
    <n v="0.26170842251038645"/>
  </r>
  <r>
    <n v="1696"/>
    <x v="516"/>
    <x v="28"/>
    <x v="1"/>
    <x v="3"/>
    <x v="2"/>
    <x v="0"/>
    <x v="0"/>
    <x v="0"/>
    <n v="4"/>
    <n v="715.84"/>
    <n v="581.58000000000004"/>
    <n v="2405.2199999999998"/>
    <n v="2326.3200000000002"/>
    <n v="78.900000000000006"/>
    <x v="29"/>
    <x v="0"/>
    <n v="3.2803652056776517E-2"/>
    <n v="0.44576379707469604"/>
  </r>
  <r>
    <n v="1323"/>
    <x v="517"/>
    <x v="201"/>
    <x v="1"/>
    <x v="2"/>
    <x v="3"/>
    <x v="1"/>
    <x v="5"/>
    <x v="26"/>
    <n v="9"/>
    <n v="482.97"/>
    <n v="337.95"/>
    <n v="3477.38"/>
    <n v="3041.55"/>
    <n v="435.83"/>
    <x v="20"/>
    <x v="4"/>
    <n v="0.12533286554820008"/>
    <n v="-0.76713502694557389"/>
  </r>
  <r>
    <n v="1650"/>
    <x v="517"/>
    <x v="23"/>
    <x v="0"/>
    <x v="3"/>
    <x v="1"/>
    <x v="2"/>
    <x v="4"/>
    <x v="28"/>
    <n v="2"/>
    <n v="465.38"/>
    <n v="385.19"/>
    <n v="809.76"/>
    <n v="770.38"/>
    <n v="39.380000000000003"/>
    <x v="6"/>
    <x v="1"/>
    <n v="4.863169334123691E-2"/>
    <n v="3.6397698083382735"/>
  </r>
  <r>
    <n v="1245"/>
    <x v="518"/>
    <x v="119"/>
    <x v="2"/>
    <x v="2"/>
    <x v="0"/>
    <x v="0"/>
    <x v="2"/>
    <x v="2"/>
    <n v="5"/>
    <n v="774.66"/>
    <n v="471.57"/>
    <n v="3757.1"/>
    <n v="2357.85"/>
    <n v="1399.25"/>
    <x v="28"/>
    <x v="0"/>
    <n v="0.37242820260307152"/>
    <n v="0.7698570706129727"/>
  </r>
  <r>
    <n v="1830"/>
    <x v="518"/>
    <x v="140"/>
    <x v="0"/>
    <x v="0"/>
    <x v="0"/>
    <x v="2"/>
    <x v="8"/>
    <x v="19"/>
    <n v="9"/>
    <n v="820.93"/>
    <n v="582.84"/>
    <n v="6649.53"/>
    <n v="5245.56"/>
    <n v="1403.97"/>
    <x v="22"/>
    <x v="9"/>
    <n v="0.2111382308223288"/>
    <n v="-0.94341103807336757"/>
  </r>
  <r>
    <n v="1324"/>
    <x v="519"/>
    <x v="163"/>
    <x v="1"/>
    <x v="3"/>
    <x v="1"/>
    <x v="2"/>
    <x v="4"/>
    <x v="28"/>
    <n v="1"/>
    <n v="383.97"/>
    <n v="199.12"/>
    <n v="376.29"/>
    <n v="199.12"/>
    <n v="177.17"/>
    <x v="0"/>
    <x v="3"/>
    <n v="0.47083366552393097"/>
    <n v="2.7766616173695815"/>
  </r>
  <r>
    <n v="1377"/>
    <x v="519"/>
    <x v="186"/>
    <x v="1"/>
    <x v="0"/>
    <x v="3"/>
    <x v="0"/>
    <x v="7"/>
    <x v="25"/>
    <n v="3"/>
    <n v="550.82000000000005"/>
    <n v="321.13"/>
    <n v="1421.12"/>
    <n v="963.39"/>
    <n v="457.73"/>
    <x v="9"/>
    <x v="9"/>
    <n v="0.32209102679576673"/>
    <n v="1.4393858365233057"/>
  </r>
  <r>
    <n v="1994"/>
    <x v="519"/>
    <x v="134"/>
    <x v="2"/>
    <x v="3"/>
    <x v="3"/>
    <x v="2"/>
    <x v="4"/>
    <x v="8"/>
    <n v="8"/>
    <n v="437.71"/>
    <n v="290.06"/>
    <n v="3466.66"/>
    <n v="2320.48"/>
    <n v="1146.18"/>
    <x v="27"/>
    <x v="0"/>
    <n v="0.33062948197977304"/>
    <n v="1.1565426087357862"/>
  </r>
  <r>
    <n v="1679"/>
    <x v="520"/>
    <x v="127"/>
    <x v="0"/>
    <x v="3"/>
    <x v="2"/>
    <x v="1"/>
    <x v="3"/>
    <x v="6"/>
    <n v="9"/>
    <n v="912.82"/>
    <n v="459.14"/>
    <n v="7476"/>
    <n v="4132.26"/>
    <n v="3343.74"/>
    <x v="5"/>
    <x v="5"/>
    <n v="0.44726324237560189"/>
    <n v="-0.32818218298555374"/>
  </r>
  <r>
    <n v="1630"/>
    <x v="521"/>
    <x v="169"/>
    <x v="1"/>
    <x v="1"/>
    <x v="3"/>
    <x v="1"/>
    <x v="1"/>
    <x v="1"/>
    <n v="7"/>
    <n v="996.53"/>
    <n v="738.58"/>
    <n v="5022.51"/>
    <n v="5170.0600000000004"/>
    <n v="-147.55000000000001"/>
    <x v="11"/>
    <x v="4"/>
    <n v="-2.9377741408180374E-2"/>
    <n v="-0.78823337335316412"/>
  </r>
  <r>
    <n v="1310"/>
    <x v="522"/>
    <x v="47"/>
    <x v="1"/>
    <x v="1"/>
    <x v="3"/>
    <x v="1"/>
    <x v="5"/>
    <x v="22"/>
    <n v="3"/>
    <n v="485.66"/>
    <n v="325.8"/>
    <n v="1063.5999999999999"/>
    <n v="977.4"/>
    <n v="86.2"/>
    <x v="24"/>
    <x v="0"/>
    <n v="8.1045505829259123E-2"/>
    <n v="2.5144415193681837"/>
  </r>
  <r>
    <n v="1917"/>
    <x v="522"/>
    <x v="72"/>
    <x v="0"/>
    <x v="0"/>
    <x v="2"/>
    <x v="0"/>
    <x v="2"/>
    <x v="5"/>
    <n v="9"/>
    <n v="446.59"/>
    <n v="303.17"/>
    <n v="3737.96"/>
    <n v="2728.53"/>
    <n v="1009.43"/>
    <x v="4"/>
    <x v="5"/>
    <n v="0.27004836862887777"/>
    <n v="-0.72890560626651968"/>
  </r>
  <r>
    <n v="1009"/>
    <x v="523"/>
    <x v="7"/>
    <x v="1"/>
    <x v="3"/>
    <x v="3"/>
    <x v="2"/>
    <x v="6"/>
    <x v="17"/>
    <n v="3"/>
    <n v="456.46"/>
    <n v="380.61"/>
    <n v="1013.34"/>
    <n v="1141.83"/>
    <n v="-128.49"/>
    <x v="26"/>
    <x v="3"/>
    <n v="-0.12679850790455327"/>
    <n v="2.7558864744310889"/>
  </r>
  <r>
    <n v="1362"/>
    <x v="523"/>
    <x v="42"/>
    <x v="2"/>
    <x v="1"/>
    <x v="1"/>
    <x v="2"/>
    <x v="6"/>
    <x v="17"/>
    <n v="5"/>
    <n v="988.57"/>
    <n v="694.15"/>
    <n v="3805.99"/>
    <n v="3470.75"/>
    <n v="335.24"/>
    <x v="3"/>
    <x v="4"/>
    <n v="8.8082207257507247E-2"/>
    <n v="-0.74804715724423876"/>
  </r>
  <r>
    <n v="1156"/>
    <x v="524"/>
    <x v="140"/>
    <x v="1"/>
    <x v="0"/>
    <x v="2"/>
    <x v="2"/>
    <x v="6"/>
    <x v="13"/>
    <n v="7"/>
    <n v="155.66999999999999"/>
    <n v="115.46"/>
    <n v="958.93"/>
    <n v="808.22"/>
    <n v="150.71"/>
    <x v="2"/>
    <x v="9"/>
    <n v="0.15716475655157314"/>
    <n v="4.0615999082310497"/>
  </r>
  <r>
    <n v="1715"/>
    <x v="524"/>
    <x v="210"/>
    <x v="2"/>
    <x v="2"/>
    <x v="0"/>
    <x v="2"/>
    <x v="8"/>
    <x v="18"/>
    <n v="7"/>
    <n v="707.54"/>
    <n v="595.01"/>
    <n v="4853.72"/>
    <n v="4165.07"/>
    <n v="688.65"/>
    <x v="0"/>
    <x v="1"/>
    <n v="0.14188086663425165"/>
    <n v="-0.9765375835441682"/>
  </r>
  <r>
    <n v="1333"/>
    <x v="525"/>
    <x v="180"/>
    <x v="0"/>
    <x v="0"/>
    <x v="1"/>
    <x v="0"/>
    <x v="7"/>
    <x v="14"/>
    <n v="5"/>
    <n v="29.58"/>
    <n v="20.14"/>
    <n v="113.88"/>
    <n v="100.7"/>
    <n v="13.18"/>
    <x v="3"/>
    <x v="6"/>
    <n v="0.11573586231120478"/>
    <n v="49.818405338953283"/>
  </r>
  <r>
    <n v="1348"/>
    <x v="526"/>
    <x v="179"/>
    <x v="1"/>
    <x v="2"/>
    <x v="1"/>
    <x v="2"/>
    <x v="8"/>
    <x v="20"/>
    <n v="8"/>
    <n v="939.48"/>
    <n v="483.03"/>
    <n v="5787.2"/>
    <n v="3864.24"/>
    <n v="1922.96"/>
    <x v="3"/>
    <x v="1"/>
    <n v="0.33227813104782972"/>
    <n v="-0.47593136577273987"/>
  </r>
  <r>
    <n v="1477"/>
    <x v="526"/>
    <x v="128"/>
    <x v="1"/>
    <x v="3"/>
    <x v="0"/>
    <x v="0"/>
    <x v="7"/>
    <x v="12"/>
    <n v="8"/>
    <n v="456.76"/>
    <n v="373.23"/>
    <n v="3032.89"/>
    <n v="2985.84"/>
    <n v="47.05"/>
    <x v="30"/>
    <x v="5"/>
    <n v="1.551325633306846E-2"/>
    <n v="-0.77714984717546631"/>
  </r>
  <r>
    <n v="1916"/>
    <x v="526"/>
    <x v="30"/>
    <x v="0"/>
    <x v="3"/>
    <x v="0"/>
    <x v="1"/>
    <x v="3"/>
    <x v="6"/>
    <n v="1"/>
    <n v="951.95"/>
    <n v="806.48"/>
    <n v="675.88"/>
    <n v="806.48"/>
    <n v="-130.6"/>
    <x v="19"/>
    <x v="7"/>
    <n v="-0.19322956737882463"/>
    <n v="6.9540746878144049"/>
  </r>
  <r>
    <n v="1612"/>
    <x v="527"/>
    <x v="118"/>
    <x v="1"/>
    <x v="1"/>
    <x v="2"/>
    <x v="0"/>
    <x v="7"/>
    <x v="14"/>
    <n v="7"/>
    <n v="960"/>
    <n v="759.92"/>
    <n v="5376"/>
    <n v="5319.44"/>
    <n v="56.56"/>
    <x v="20"/>
    <x v="5"/>
    <n v="1.0520833333333333E-2"/>
    <n v="-0.32391183035714283"/>
  </r>
  <r>
    <n v="1967"/>
    <x v="527"/>
    <x v="3"/>
    <x v="0"/>
    <x v="3"/>
    <x v="2"/>
    <x v="2"/>
    <x v="6"/>
    <x v="17"/>
    <n v="6"/>
    <n v="729.85"/>
    <n v="419.53"/>
    <n v="3634.65"/>
    <n v="2517.1799999999998"/>
    <n v="1117.47"/>
    <x v="30"/>
    <x v="1"/>
    <n v="0.30744913540505964"/>
    <n v="-0.49332673022161699"/>
  </r>
  <r>
    <n v="1089"/>
    <x v="528"/>
    <x v="145"/>
    <x v="1"/>
    <x v="3"/>
    <x v="0"/>
    <x v="0"/>
    <x v="0"/>
    <x v="0"/>
    <n v="2"/>
    <n v="949.27"/>
    <n v="748.47"/>
    <n v="1841.58"/>
    <n v="1496.94"/>
    <n v="344.64"/>
    <x v="28"/>
    <x v="1"/>
    <n v="0.18714364838888345"/>
    <n v="0.95496801659444619"/>
  </r>
  <r>
    <n v="1033"/>
    <x v="529"/>
    <x v="147"/>
    <x v="1"/>
    <x v="2"/>
    <x v="3"/>
    <x v="0"/>
    <x v="2"/>
    <x v="16"/>
    <n v="6"/>
    <n v="625.04"/>
    <n v="457.65"/>
    <n v="3600.23"/>
    <n v="2745.9"/>
    <n v="854.33"/>
    <x v="16"/>
    <x v="3"/>
    <n v="0.23729872813681349"/>
    <n v="0.11063182074478579"/>
  </r>
  <r>
    <n v="1097"/>
    <x v="529"/>
    <x v="9"/>
    <x v="2"/>
    <x v="0"/>
    <x v="0"/>
    <x v="2"/>
    <x v="6"/>
    <x v="11"/>
    <n v="6"/>
    <n v="812.71"/>
    <n v="564.61"/>
    <n v="3998.53"/>
    <n v="3387.66"/>
    <n v="610.87"/>
    <x v="23"/>
    <x v="6"/>
    <n v="0.1527736443142855"/>
    <n v="-0.78541363951252086"/>
  </r>
  <r>
    <n v="1300"/>
    <x v="529"/>
    <x v="218"/>
    <x v="0"/>
    <x v="3"/>
    <x v="2"/>
    <x v="2"/>
    <x v="6"/>
    <x v="11"/>
    <n v="4"/>
    <n v="228.2"/>
    <n v="192.76"/>
    <n v="858.03"/>
    <n v="771.04"/>
    <n v="86.99"/>
    <x v="15"/>
    <x v="7"/>
    <n v="0.10138340151276762"/>
    <n v="-0.713961050312926"/>
  </r>
  <r>
    <n v="1586"/>
    <x v="529"/>
    <x v="155"/>
    <x v="0"/>
    <x v="1"/>
    <x v="3"/>
    <x v="2"/>
    <x v="8"/>
    <x v="24"/>
    <n v="1"/>
    <n v="336.2"/>
    <n v="195.73"/>
    <n v="245.43"/>
    <n v="195.73"/>
    <n v="49.7"/>
    <x v="24"/>
    <x v="9"/>
    <n v="0.20250173165464697"/>
    <n v="5.6682149696451116"/>
  </r>
  <r>
    <n v="1707"/>
    <x v="529"/>
    <x v="147"/>
    <x v="2"/>
    <x v="1"/>
    <x v="3"/>
    <x v="2"/>
    <x v="6"/>
    <x v="11"/>
    <n v="2"/>
    <n v="870.52"/>
    <n v="456.58"/>
    <n v="1636.58"/>
    <n v="913.16"/>
    <n v="723.42"/>
    <x v="15"/>
    <x v="8"/>
    <n v="0.44203155360568991"/>
    <n v="-0.65059453250070276"/>
  </r>
  <r>
    <n v="1786"/>
    <x v="529"/>
    <x v="168"/>
    <x v="2"/>
    <x v="2"/>
    <x v="0"/>
    <x v="0"/>
    <x v="2"/>
    <x v="2"/>
    <n v="7"/>
    <n v="104.73"/>
    <n v="71.67"/>
    <n v="571.83000000000004"/>
    <n v="501.69"/>
    <n v="70.14"/>
    <x v="13"/>
    <x v="7"/>
    <n v="0.12265883217040029"/>
    <n v="1.0978612524701394"/>
  </r>
  <r>
    <n v="1210"/>
    <x v="530"/>
    <x v="168"/>
    <x v="0"/>
    <x v="3"/>
    <x v="1"/>
    <x v="0"/>
    <x v="7"/>
    <x v="14"/>
    <n v="9"/>
    <n v="154.99"/>
    <n v="131.62"/>
    <n v="1199.6199999999999"/>
    <n v="1184.58"/>
    <n v="15.04"/>
    <x v="9"/>
    <x v="3"/>
    <n v="1.2537303479435154E-2"/>
    <n v="2.1742301728880813"/>
  </r>
  <r>
    <n v="1361"/>
    <x v="530"/>
    <x v="182"/>
    <x v="0"/>
    <x v="3"/>
    <x v="0"/>
    <x v="2"/>
    <x v="6"/>
    <x v="13"/>
    <n v="5"/>
    <n v="855.7"/>
    <n v="554.70000000000005"/>
    <n v="3807.87"/>
    <n v="2773.5"/>
    <n v="1034.3699999999999"/>
    <x v="12"/>
    <x v="3"/>
    <n v="0.27164005073702618"/>
    <n v="-0.94715680944990244"/>
  </r>
  <r>
    <n v="1852"/>
    <x v="530"/>
    <x v="4"/>
    <x v="0"/>
    <x v="3"/>
    <x v="2"/>
    <x v="2"/>
    <x v="4"/>
    <x v="21"/>
    <n v="2"/>
    <n v="130.66"/>
    <n v="104.75"/>
    <n v="201.22"/>
    <n v="209.5"/>
    <n v="-8.2799999999999994"/>
    <x v="3"/>
    <x v="4"/>
    <n v="-4.1148991153960833E-2"/>
    <n v="8.6922274127820298"/>
  </r>
  <r>
    <n v="1939"/>
    <x v="530"/>
    <x v="18"/>
    <x v="0"/>
    <x v="2"/>
    <x v="3"/>
    <x v="0"/>
    <x v="7"/>
    <x v="14"/>
    <n v="3"/>
    <n v="878.5"/>
    <n v="697.74"/>
    <n v="1950.27"/>
    <n v="2093.2199999999998"/>
    <n v="-142.94999999999999"/>
    <x v="26"/>
    <x v="0"/>
    <n v="-7.329754341706532E-2"/>
    <n v="-0.74449178831648954"/>
  </r>
  <r>
    <n v="1013"/>
    <x v="531"/>
    <x v="155"/>
    <x v="0"/>
    <x v="1"/>
    <x v="3"/>
    <x v="0"/>
    <x v="7"/>
    <x v="25"/>
    <n v="2"/>
    <n v="251.67"/>
    <n v="131.47"/>
    <n v="498.31"/>
    <n v="262.94"/>
    <n v="235.37"/>
    <x v="27"/>
    <x v="6"/>
    <n v="0.47233649736108047"/>
    <n v="-0.79113403303164698"/>
  </r>
  <r>
    <n v="1450"/>
    <x v="531"/>
    <x v="45"/>
    <x v="2"/>
    <x v="3"/>
    <x v="3"/>
    <x v="1"/>
    <x v="3"/>
    <x v="15"/>
    <n v="1"/>
    <n v="118.27"/>
    <n v="72.930000000000007"/>
    <n v="104.08"/>
    <n v="72.930000000000007"/>
    <n v="31.15"/>
    <x v="2"/>
    <x v="9"/>
    <n v="0.29928900845503459"/>
    <n v="-0.37730591852421214"/>
  </r>
  <r>
    <n v="1657"/>
    <x v="531"/>
    <x v="25"/>
    <x v="2"/>
    <x v="2"/>
    <x v="2"/>
    <x v="0"/>
    <x v="0"/>
    <x v="0"/>
    <n v="2"/>
    <n v="32.729999999999997"/>
    <n v="21.31"/>
    <n v="64.81"/>
    <n v="42.62"/>
    <n v="22.19"/>
    <x v="27"/>
    <x v="5"/>
    <n v="0.34238543434655144"/>
    <n v="24.073445455948157"/>
  </r>
  <r>
    <n v="1879"/>
    <x v="532"/>
    <x v="35"/>
    <x v="2"/>
    <x v="0"/>
    <x v="0"/>
    <x v="1"/>
    <x v="5"/>
    <x v="22"/>
    <n v="3"/>
    <n v="564.24"/>
    <n v="473.14"/>
    <n v="1625.01"/>
    <n v="1419.42"/>
    <n v="205.59"/>
    <x v="16"/>
    <x v="8"/>
    <n v="0.12651614451603374"/>
    <n v="2.3315302675060461"/>
  </r>
  <r>
    <n v="1605"/>
    <x v="533"/>
    <x v="91"/>
    <x v="1"/>
    <x v="1"/>
    <x v="3"/>
    <x v="1"/>
    <x v="3"/>
    <x v="15"/>
    <n v="7"/>
    <n v="805.62"/>
    <n v="427.52"/>
    <n v="5413.77"/>
    <n v="2992.64"/>
    <n v="2421.13"/>
    <x v="16"/>
    <x v="1"/>
    <n v="0.44721700404708731"/>
    <n v="0.18213186005316062"/>
  </r>
  <r>
    <n v="1169"/>
    <x v="534"/>
    <x v="140"/>
    <x v="1"/>
    <x v="0"/>
    <x v="1"/>
    <x v="0"/>
    <x v="2"/>
    <x v="2"/>
    <n v="9"/>
    <n v="923.49"/>
    <n v="748.7"/>
    <n v="6399.79"/>
    <n v="6738.3"/>
    <n v="-338.51"/>
    <x v="3"/>
    <x v="2"/>
    <n v="-5.2893923081851126E-2"/>
    <n v="-0.64232576381412521"/>
  </r>
  <r>
    <n v="1077"/>
    <x v="535"/>
    <x v="60"/>
    <x v="2"/>
    <x v="0"/>
    <x v="3"/>
    <x v="2"/>
    <x v="6"/>
    <x v="13"/>
    <n v="6"/>
    <n v="433.53"/>
    <n v="253.82"/>
    <n v="2289.04"/>
    <n v="1522.92"/>
    <n v="766.12"/>
    <x v="2"/>
    <x v="8"/>
    <n v="0.33469052528570931"/>
    <n v="0.43377136266731908"/>
  </r>
  <r>
    <n v="1795"/>
    <x v="535"/>
    <x v="41"/>
    <x v="1"/>
    <x v="3"/>
    <x v="2"/>
    <x v="1"/>
    <x v="5"/>
    <x v="26"/>
    <n v="7"/>
    <n v="551.59"/>
    <n v="379.8"/>
    <n v="3281.96"/>
    <n v="2658.6"/>
    <n v="623.36"/>
    <x v="25"/>
    <x v="6"/>
    <n v="0.18993528257504663"/>
    <n v="-0.86287767066021537"/>
  </r>
  <r>
    <n v="1495"/>
    <x v="536"/>
    <x v="221"/>
    <x v="2"/>
    <x v="3"/>
    <x v="1"/>
    <x v="2"/>
    <x v="4"/>
    <x v="21"/>
    <n v="4"/>
    <n v="144.24"/>
    <n v="81.87"/>
    <n v="450.03"/>
    <n v="327.48"/>
    <n v="122.55"/>
    <x v="13"/>
    <x v="9"/>
    <n v="0.27231517898806745"/>
    <n v="2.1329911339244054"/>
  </r>
  <r>
    <n v="1501"/>
    <x v="537"/>
    <x v="145"/>
    <x v="2"/>
    <x v="1"/>
    <x v="2"/>
    <x v="1"/>
    <x v="5"/>
    <x v="10"/>
    <n v="2"/>
    <n v="792.1"/>
    <n v="571.32000000000005"/>
    <n v="1409.94"/>
    <n v="1142.6400000000001"/>
    <n v="267.3"/>
    <x v="12"/>
    <x v="8"/>
    <n v="0.18958253542703946"/>
    <n v="-0.62112572166191471"/>
  </r>
  <r>
    <n v="1697"/>
    <x v="537"/>
    <x v="8"/>
    <x v="1"/>
    <x v="0"/>
    <x v="1"/>
    <x v="1"/>
    <x v="1"/>
    <x v="9"/>
    <n v="1"/>
    <n v="600.21"/>
    <n v="310.33"/>
    <n v="534.19000000000005"/>
    <n v="310.33"/>
    <n v="223.86"/>
    <x v="12"/>
    <x v="1"/>
    <n v="0.41906437784308953"/>
    <n v="14.916509107246483"/>
  </r>
  <r>
    <n v="1824"/>
    <x v="537"/>
    <x v="222"/>
    <x v="2"/>
    <x v="1"/>
    <x v="2"/>
    <x v="0"/>
    <x v="2"/>
    <x v="5"/>
    <n v="10"/>
    <n v="955.33"/>
    <n v="601.47"/>
    <n v="8502.44"/>
    <n v="6014.7"/>
    <n v="2487.7399999999998"/>
    <x v="12"/>
    <x v="3"/>
    <n v="0.29259130320237481"/>
    <n v="-0.8629581625980306"/>
  </r>
  <r>
    <n v="1692"/>
    <x v="538"/>
    <x v="147"/>
    <x v="2"/>
    <x v="1"/>
    <x v="1"/>
    <x v="1"/>
    <x v="5"/>
    <x v="26"/>
    <n v="2"/>
    <n v="756.62"/>
    <n v="511.88"/>
    <n v="1165.19"/>
    <n v="1023.76"/>
    <n v="141.43"/>
    <x v="3"/>
    <x v="4"/>
    <n v="0.1213793458577571"/>
    <n v="-0.58469434169534573"/>
  </r>
  <r>
    <n v="1249"/>
    <x v="539"/>
    <x v="180"/>
    <x v="0"/>
    <x v="0"/>
    <x v="0"/>
    <x v="1"/>
    <x v="5"/>
    <x v="22"/>
    <n v="7"/>
    <n v="79.459999999999994"/>
    <n v="55.52"/>
    <n v="483.91"/>
    <n v="388.64"/>
    <n v="95.27"/>
    <x v="6"/>
    <x v="8"/>
    <n v="0.19687545204686821"/>
    <n v="15.278419540823707"/>
  </r>
  <r>
    <n v="1238"/>
    <x v="540"/>
    <x v="25"/>
    <x v="1"/>
    <x v="2"/>
    <x v="3"/>
    <x v="2"/>
    <x v="6"/>
    <x v="11"/>
    <n v="9"/>
    <n v="921.32"/>
    <n v="774.84"/>
    <n v="7877.29"/>
    <n v="6973.56"/>
    <n v="903.73"/>
    <x v="10"/>
    <x v="5"/>
    <n v="0.11472600348597044"/>
    <n v="-0.72313701793383267"/>
  </r>
  <r>
    <n v="1266"/>
    <x v="540"/>
    <x v="202"/>
    <x v="1"/>
    <x v="0"/>
    <x v="2"/>
    <x v="1"/>
    <x v="1"/>
    <x v="1"/>
    <n v="4"/>
    <n v="641.45000000000005"/>
    <n v="344.1"/>
    <n v="2180.9299999999998"/>
    <n v="1376.4"/>
    <n v="804.53"/>
    <x v="25"/>
    <x v="5"/>
    <n v="0.36889308689412315"/>
    <n v="0.48719124410228676"/>
  </r>
  <r>
    <n v="1410"/>
    <x v="541"/>
    <x v="57"/>
    <x v="2"/>
    <x v="2"/>
    <x v="2"/>
    <x v="1"/>
    <x v="1"/>
    <x v="1"/>
    <n v="6"/>
    <n v="659.24"/>
    <n v="452.81"/>
    <n v="3243.46"/>
    <n v="2716.86"/>
    <n v="526.6"/>
    <x v="23"/>
    <x v="5"/>
    <n v="0.16235748244159015"/>
    <n v="-0.45031848704778232"/>
  </r>
  <r>
    <n v="1264"/>
    <x v="542"/>
    <x v="57"/>
    <x v="1"/>
    <x v="0"/>
    <x v="3"/>
    <x v="0"/>
    <x v="0"/>
    <x v="0"/>
    <n v="3"/>
    <n v="733.69"/>
    <n v="479.03"/>
    <n v="1782.87"/>
    <n v="1437.09"/>
    <n v="345.78"/>
    <x v="21"/>
    <x v="0"/>
    <n v="0.19394571673761968"/>
    <n v="-0.23493019681749086"/>
  </r>
  <r>
    <n v="1454"/>
    <x v="543"/>
    <x v="162"/>
    <x v="1"/>
    <x v="0"/>
    <x v="3"/>
    <x v="0"/>
    <x v="2"/>
    <x v="2"/>
    <n v="4"/>
    <n v="374.73"/>
    <n v="296.14999999999998"/>
    <n v="1364.02"/>
    <n v="1184.5999999999999"/>
    <n v="179.42"/>
    <x v="5"/>
    <x v="6"/>
    <n v="0.13153766073811235"/>
    <n v="1.565504904620167"/>
  </r>
  <r>
    <n v="1862"/>
    <x v="543"/>
    <x v="144"/>
    <x v="1"/>
    <x v="0"/>
    <x v="0"/>
    <x v="2"/>
    <x v="4"/>
    <x v="8"/>
    <n v="10"/>
    <n v="479.37"/>
    <n v="290.91000000000003"/>
    <n v="3499.4"/>
    <n v="2909.1"/>
    <n v="590.29999999999995"/>
    <x v="24"/>
    <x v="1"/>
    <n v="0.1686860604675087"/>
    <n v="-0.91648282562725047"/>
  </r>
  <r>
    <n v="1971"/>
    <x v="543"/>
    <x v="110"/>
    <x v="2"/>
    <x v="0"/>
    <x v="1"/>
    <x v="2"/>
    <x v="8"/>
    <x v="18"/>
    <n v="1"/>
    <n v="317.67"/>
    <n v="254.22"/>
    <n v="292.26"/>
    <n v="254.22"/>
    <n v="38.04"/>
    <x v="14"/>
    <x v="1"/>
    <n v="0.13015807842332169"/>
    <n v="3.9686922603161574"/>
  </r>
  <r>
    <n v="1402"/>
    <x v="544"/>
    <x v="189"/>
    <x v="0"/>
    <x v="1"/>
    <x v="2"/>
    <x v="1"/>
    <x v="5"/>
    <x v="22"/>
    <n v="6"/>
    <n v="327.06"/>
    <n v="217.15"/>
    <n v="1452.15"/>
    <n v="1302.9000000000001"/>
    <n v="149.25"/>
    <x v="26"/>
    <x v="9"/>
    <n v="0.10277863857039561"/>
    <n v="-0.34725751471955379"/>
  </r>
  <r>
    <n v="1557"/>
    <x v="544"/>
    <x v="13"/>
    <x v="0"/>
    <x v="2"/>
    <x v="3"/>
    <x v="1"/>
    <x v="1"/>
    <x v="9"/>
    <n v="2"/>
    <n v="571.01"/>
    <n v="383.54"/>
    <n v="947.88"/>
    <n v="767.08"/>
    <n v="180.8"/>
    <x v="30"/>
    <x v="6"/>
    <n v="0.19074144406464955"/>
    <n v="2.0488563953243024"/>
  </r>
  <r>
    <n v="1934"/>
    <x v="544"/>
    <x v="146"/>
    <x v="2"/>
    <x v="1"/>
    <x v="1"/>
    <x v="0"/>
    <x v="0"/>
    <x v="0"/>
    <n v="3"/>
    <n v="993.11"/>
    <n v="750.86"/>
    <n v="2889.95"/>
    <n v="2252.58"/>
    <n v="637.37"/>
    <x v="28"/>
    <x v="5"/>
    <n v="0.22054706828837869"/>
    <n v="-0.13736569836848389"/>
  </r>
  <r>
    <n v="1936"/>
    <x v="544"/>
    <x v="199"/>
    <x v="2"/>
    <x v="1"/>
    <x v="0"/>
    <x v="1"/>
    <x v="3"/>
    <x v="15"/>
    <n v="4"/>
    <n v="842.22"/>
    <n v="616"/>
    <n v="2492.9699999999998"/>
    <n v="2464"/>
    <n v="28.97"/>
    <x v="26"/>
    <x v="7"/>
    <n v="1.1620677344693279E-2"/>
    <n v="1.4739688002663491"/>
  </r>
  <r>
    <n v="1292"/>
    <x v="545"/>
    <x v="33"/>
    <x v="2"/>
    <x v="3"/>
    <x v="2"/>
    <x v="1"/>
    <x v="3"/>
    <x v="4"/>
    <n v="8"/>
    <n v="906.99"/>
    <n v="666.78"/>
    <n v="6167.53"/>
    <n v="5334.24"/>
    <n v="833.29"/>
    <x v="25"/>
    <x v="8"/>
    <n v="0.13510919282111314"/>
    <n v="-0.70278701522327414"/>
  </r>
  <r>
    <n v="1408"/>
    <x v="545"/>
    <x v="8"/>
    <x v="1"/>
    <x v="3"/>
    <x v="0"/>
    <x v="1"/>
    <x v="5"/>
    <x v="26"/>
    <n v="2"/>
    <n v="944.88"/>
    <n v="790.11"/>
    <n v="1833.07"/>
    <n v="1580.22"/>
    <n v="252.85"/>
    <x v="28"/>
    <x v="1"/>
    <n v="0.13793799473015214"/>
    <n v="1.5231660547605932"/>
  </r>
  <r>
    <n v="1618"/>
    <x v="545"/>
    <x v="200"/>
    <x v="1"/>
    <x v="1"/>
    <x v="0"/>
    <x v="2"/>
    <x v="4"/>
    <x v="21"/>
    <n v="6"/>
    <n v="820.06"/>
    <n v="445.33"/>
    <n v="4625.1400000000003"/>
    <n v="2671.98"/>
    <n v="1953.16"/>
    <x v="15"/>
    <x v="4"/>
    <n v="0.42229208196941065"/>
    <n v="-0.78252117773732255"/>
  </r>
  <r>
    <n v="1802"/>
    <x v="546"/>
    <x v="16"/>
    <x v="1"/>
    <x v="3"/>
    <x v="2"/>
    <x v="0"/>
    <x v="2"/>
    <x v="2"/>
    <n v="2"/>
    <n v="523.89"/>
    <n v="441.26"/>
    <n v="1005.87"/>
    <n v="882.52"/>
    <n v="123.35"/>
    <x v="16"/>
    <x v="1"/>
    <n v="0.12263016095519301"/>
    <n v="-0.5142811695348305"/>
  </r>
  <r>
    <n v="1854"/>
    <x v="546"/>
    <x v="23"/>
    <x v="1"/>
    <x v="2"/>
    <x v="2"/>
    <x v="1"/>
    <x v="5"/>
    <x v="10"/>
    <n v="8"/>
    <n v="64.97"/>
    <n v="32.78"/>
    <n v="488.57"/>
    <n v="262.24"/>
    <n v="226.33"/>
    <x v="15"/>
    <x v="4"/>
    <n v="0.46324989254354548"/>
    <n v="8.6018789528624353"/>
  </r>
  <r>
    <n v="1344"/>
    <x v="547"/>
    <x v="166"/>
    <x v="0"/>
    <x v="3"/>
    <x v="3"/>
    <x v="2"/>
    <x v="4"/>
    <x v="8"/>
    <n v="6"/>
    <n v="878.5"/>
    <n v="581.55999999999995"/>
    <n v="4691.1899999999996"/>
    <n v="3489.36"/>
    <n v="1201.83"/>
    <x v="12"/>
    <x v="3"/>
    <n v="0.25618872823313488"/>
    <n v="-0.8811772705859281"/>
  </r>
  <r>
    <n v="1475"/>
    <x v="547"/>
    <x v="161"/>
    <x v="0"/>
    <x v="3"/>
    <x v="0"/>
    <x v="2"/>
    <x v="4"/>
    <x v="21"/>
    <n v="6"/>
    <n v="117.6"/>
    <n v="78.62"/>
    <n v="557.41999999999996"/>
    <n v="471.72"/>
    <n v="85.7"/>
    <x v="1"/>
    <x v="8"/>
    <n v="0.153744035018478"/>
    <n v="6.7166588927559209E-2"/>
  </r>
  <r>
    <n v="1580"/>
    <x v="548"/>
    <x v="98"/>
    <x v="1"/>
    <x v="2"/>
    <x v="1"/>
    <x v="0"/>
    <x v="0"/>
    <x v="7"/>
    <n v="3"/>
    <n v="264.38"/>
    <n v="195.8"/>
    <n v="594.86"/>
    <n v="587.4"/>
    <n v="7.46"/>
    <x v="7"/>
    <x v="3"/>
    <n v="1.2540765894496184E-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145266-4C08-4CEA-AE8C-2B0C08CEDF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Rep">
  <location ref="Z3:AB14"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axis="axisRow" showAll="0" sortType="descending">
      <items count="11">
        <item x="1"/>
        <item x="4"/>
        <item x="2"/>
        <item x="8"/>
        <item x="9"/>
        <item x="5"/>
        <item x="3"/>
        <item x="7"/>
        <item x="0"/>
        <item x="6"/>
        <item t="default"/>
      </items>
      <autoSortScope>
        <pivotArea dataOnly="0" outline="0" fieldPosition="0">
          <references count="1">
            <reference field="4294967294" count="1" selected="0">
              <x v="1"/>
            </reference>
          </references>
        </pivotArea>
      </autoSortScope>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1">
    <i>
      <x v="5"/>
    </i>
    <i>
      <x v="9"/>
    </i>
    <i>
      <x v="1"/>
    </i>
    <i>
      <x v="6"/>
    </i>
    <i>
      <x v="8"/>
    </i>
    <i>
      <x v="3"/>
    </i>
    <i>
      <x/>
    </i>
    <i>
      <x v="2"/>
    </i>
    <i>
      <x v="4"/>
    </i>
    <i>
      <x v="7"/>
    </i>
    <i t="grand">
      <x/>
    </i>
  </rowItems>
  <colFields count="1">
    <field x="-2"/>
  </colFields>
  <colItems count="2">
    <i>
      <x/>
    </i>
    <i i="1">
      <x v="1"/>
    </i>
  </colItems>
  <dataFields count="2">
    <dataField name="Sum of Quantity" fld="9" baseField="0" baseItem="0"/>
    <dataField name="Sum of Revenue" fld="12" baseField="0" baseItem="0" numFmtId="165"/>
  </dataFields>
  <formats count="1">
    <format dxfId="0">
      <pivotArea outline="0" collapsedLevelsAreSubtotals="1" fieldPosition="0">
        <references count="1">
          <reference field="4294967294" count="1" selected="0">
            <x v="1"/>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8A8760-A51A-4D4C-B8C2-540C4E1F86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te(yr/mth)">
  <location ref="A3:E30"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dataField="1"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sortType="descending">
      <items count="6">
        <item x="0"/>
        <item x="1"/>
        <item x="2"/>
        <item x="3"/>
        <item x="4"/>
        <item t="default"/>
      </items>
      <autoSortScope>
        <pivotArea dataOnly="0" outline="0" fieldPosition="0">
          <references count="1">
            <reference field="4294967294" count="1" selected="0">
              <x v="2"/>
            </reference>
          </references>
        </pivotArea>
      </autoSortScope>
    </pivotField>
  </pivotFields>
  <rowFields count="2">
    <field x="21"/>
    <field x="19"/>
  </rowFields>
  <rowItems count="27">
    <i>
      <x v="2"/>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Fields count="1">
    <field x="-2"/>
  </colFields>
  <colItems count="4">
    <i>
      <x/>
    </i>
    <i i="1">
      <x v="1"/>
    </i>
    <i i="2">
      <x v="2"/>
    </i>
    <i i="3">
      <x v="3"/>
    </i>
  </colItems>
  <dataFields count="4">
    <dataField name="Sum of Revenue" fld="12" baseField="0" baseItem="0" numFmtId="165"/>
    <dataField name="Sum of total Cost" fld="13" baseField="0" baseItem="0" numFmtId="165"/>
    <dataField name="Sum of Profit" fld="14" baseField="0" baseItem="0" numFmtId="165"/>
    <dataField name="Sum of profit margin" fld="17" baseField="0" baseItem="0" numFmtId="9"/>
  </dataFields>
  <formats count="2">
    <format dxfId="2">
      <pivotArea outline="0" collapsedLevelsAreSubtotals="1" fieldPosition="0">
        <references count="1">
          <reference field="4294967294" count="3" selected="0">
            <x v="0"/>
            <x v="1"/>
            <x v="2"/>
          </reference>
        </references>
      </pivotArea>
    </format>
    <format dxfId="1">
      <pivotArea outline="0" collapsedLevelsAreSubtotals="1" fieldPosition="0">
        <references count="1">
          <reference field="4294967294" count="1" selected="0">
            <x v="3"/>
          </reference>
        </references>
      </pivotArea>
    </format>
  </format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090D5-05AE-43E1-BB2A-C99047C1FF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region)">
  <location ref="J3:M24"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axis="axisRow" showAll="0" sortType="descending">
      <items count="5">
        <item x="2"/>
        <item x="3"/>
        <item x="1"/>
        <item x="0"/>
        <item t="default"/>
      </items>
      <autoSortScope>
        <pivotArea dataOnly="0" outline="0" fieldPosition="0">
          <references count="1">
            <reference field="4294967294" count="1" selected="0">
              <x v="2"/>
            </reference>
          </references>
        </pivotArea>
      </autoSortScope>
    </pivotField>
    <pivotField axis="axisRow"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5"/>
    <field x="4"/>
  </rowFields>
  <rowItems count="21">
    <i>
      <x/>
    </i>
    <i r="1">
      <x v="1"/>
    </i>
    <i r="1">
      <x v="2"/>
    </i>
    <i r="1">
      <x/>
    </i>
    <i r="1">
      <x v="3"/>
    </i>
    <i>
      <x v="1"/>
    </i>
    <i r="1">
      <x v="1"/>
    </i>
    <i r="1">
      <x/>
    </i>
    <i r="1">
      <x v="3"/>
    </i>
    <i r="1">
      <x v="2"/>
    </i>
    <i>
      <x v="2"/>
    </i>
    <i r="1">
      <x v="3"/>
    </i>
    <i r="1">
      <x v="2"/>
    </i>
    <i r="1">
      <x/>
    </i>
    <i r="1">
      <x v="1"/>
    </i>
    <i>
      <x v="3"/>
    </i>
    <i r="1">
      <x/>
    </i>
    <i r="1">
      <x v="3"/>
    </i>
    <i r="1">
      <x v="1"/>
    </i>
    <i r="1">
      <x v="2"/>
    </i>
    <i t="grand">
      <x/>
    </i>
  </rowItems>
  <colFields count="1">
    <field x="-2"/>
  </colFields>
  <colItems count="3">
    <i>
      <x/>
    </i>
    <i i="1">
      <x v="1"/>
    </i>
    <i i="2">
      <x v="2"/>
    </i>
  </colItems>
  <dataFields count="3">
    <dataField name="Sum of Revenue" fld="12" baseField="0" baseItem="0" numFmtId="165"/>
    <dataField name="Sum of Profit" fld="14" baseField="0" baseItem="0" numFmtId="165"/>
    <dataField name="Sum of profit margin" fld="17" baseField="0" baseItem="0" numFmtId="9"/>
  </dataFields>
  <formats count="2">
    <format dxfId="4">
      <pivotArea outline="0" collapsedLevelsAreSubtotals="1" fieldPosition="0">
        <references count="1">
          <reference field="4294967294" count="2" selected="0">
            <x v="0"/>
            <x v="1"/>
          </reference>
        </references>
      </pivotArea>
    </format>
    <format dxfId="3">
      <pivotArea outline="0" collapsedLevelsAreSubtotals="1" fieldPosition="0">
        <references count="1">
          <reference field="4294967294" count="1" selected="0">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3D6E85-3D5B-4DF1-92BB-F831FFD094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ate(yr/mth)">
  <location ref="G3:H30" firstHeaderRow="1"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21"/>
    <field x="19"/>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Revenue" fld="12" baseField="0" baseItem="0" numFmtId="44"/>
  </dataFields>
  <formats count="1">
    <format dxfId="5">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6E97A6-38B7-4848-B4CC-0BC36434AC0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2:AJ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Revenue" fld="12" baseField="0" baseItem="0" numFmtId="4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CD0A61-CBB1-4779-95F2-18C15D03B27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2:AI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dataField="1"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Discount" fld="15" subtotal="average" baseField="0" baseItem="0"/>
  </dataFields>
  <formats count="2">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40BD03-B7C9-4E27-BBAF-5E6B4DFDE5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D3:AG35"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items count="224">
        <item x="83"/>
        <item x="61"/>
        <item x="13"/>
        <item x="179"/>
        <item x="220"/>
        <item x="5"/>
        <item x="201"/>
        <item x="17"/>
        <item x="196"/>
        <item x="89"/>
        <item x="218"/>
        <item x="40"/>
        <item x="150"/>
        <item x="210"/>
        <item x="207"/>
        <item x="96"/>
        <item x="181"/>
        <item x="62"/>
        <item x="4"/>
        <item x="58"/>
        <item x="87"/>
        <item x="26"/>
        <item x="202"/>
        <item x="139"/>
        <item x="168"/>
        <item x="0"/>
        <item x="31"/>
        <item x="167"/>
        <item x="144"/>
        <item x="33"/>
        <item x="166"/>
        <item x="43"/>
        <item x="106"/>
        <item x="86"/>
        <item x="110"/>
        <item x="147"/>
        <item x="208"/>
        <item x="163"/>
        <item x="184"/>
        <item x="199"/>
        <item x="7"/>
        <item x="103"/>
        <item x="209"/>
        <item x="19"/>
        <item x="49"/>
        <item x="28"/>
        <item x="185"/>
        <item x="142"/>
        <item x="193"/>
        <item x="192"/>
        <item x="164"/>
        <item x="75"/>
        <item x="59"/>
        <item x="131"/>
        <item x="182"/>
        <item x="50"/>
        <item x="37"/>
        <item x="36"/>
        <item x="98"/>
        <item x="149"/>
        <item x="154"/>
        <item x="55"/>
        <item x="44"/>
        <item x="63"/>
        <item x="18"/>
        <item x="10"/>
        <item x="48"/>
        <item x="60"/>
        <item x="71"/>
        <item x="69"/>
        <item x="24"/>
        <item x="45"/>
        <item x="64"/>
        <item x="123"/>
        <item x="76"/>
        <item x="178"/>
        <item x="206"/>
        <item x="151"/>
        <item x="216"/>
        <item x="125"/>
        <item x="187"/>
        <item x="118"/>
        <item x="15"/>
        <item x="70"/>
        <item x="122"/>
        <item x="145"/>
        <item x="127"/>
        <item x="35"/>
        <item x="101"/>
        <item x="140"/>
        <item x="194"/>
        <item x="88"/>
        <item x="93"/>
        <item x="120"/>
        <item x="155"/>
        <item x="186"/>
        <item x="29"/>
        <item x="99"/>
        <item x="85"/>
        <item x="176"/>
        <item x="104"/>
        <item x="112"/>
        <item x="12"/>
        <item x="67"/>
        <item x="135"/>
        <item x="66"/>
        <item x="42"/>
        <item x="188"/>
        <item x="41"/>
        <item x="105"/>
        <item x="203"/>
        <item x="221"/>
        <item x="143"/>
        <item x="11"/>
        <item x="25"/>
        <item x="124"/>
        <item x="177"/>
        <item x="91"/>
        <item x="100"/>
        <item x="121"/>
        <item x="157"/>
        <item x="219"/>
        <item x="84"/>
        <item x="73"/>
        <item x="38"/>
        <item x="213"/>
        <item x="79"/>
        <item x="107"/>
        <item x="183"/>
        <item x="158"/>
        <item x="21"/>
        <item x="116"/>
        <item x="8"/>
        <item x="34"/>
        <item x="133"/>
        <item x="195"/>
        <item x="111"/>
        <item x="134"/>
        <item x="74"/>
        <item x="46"/>
        <item x="65"/>
        <item x="92"/>
        <item x="175"/>
        <item x="23"/>
        <item x="1"/>
        <item x="3"/>
        <item x="27"/>
        <item x="126"/>
        <item x="114"/>
        <item x="51"/>
        <item x="130"/>
        <item x="200"/>
        <item x="47"/>
        <item x="81"/>
        <item x="159"/>
        <item x="22"/>
        <item x="138"/>
        <item x="94"/>
        <item x="214"/>
        <item x="54"/>
        <item x="189"/>
        <item x="6"/>
        <item x="90"/>
        <item x="82"/>
        <item x="212"/>
        <item x="80"/>
        <item x="222"/>
        <item x="191"/>
        <item x="173"/>
        <item x="152"/>
        <item x="169"/>
        <item x="78"/>
        <item x="20"/>
        <item x="97"/>
        <item x="190"/>
        <item x="171"/>
        <item x="161"/>
        <item x="30"/>
        <item x="39"/>
        <item x="113"/>
        <item x="132"/>
        <item x="217"/>
        <item x="102"/>
        <item x="215"/>
        <item x="53"/>
        <item x="137"/>
        <item x="68"/>
        <item x="141"/>
        <item x="162"/>
        <item x="129"/>
        <item x="160"/>
        <item x="16"/>
        <item x="72"/>
        <item x="52"/>
        <item x="109"/>
        <item x="153"/>
        <item x="174"/>
        <item x="198"/>
        <item x="108"/>
        <item x="156"/>
        <item x="57"/>
        <item x="148"/>
        <item x="136"/>
        <item x="32"/>
        <item x="165"/>
        <item x="128"/>
        <item x="172"/>
        <item x="14"/>
        <item x="197"/>
        <item x="119"/>
        <item x="9"/>
        <item x="95"/>
        <item x="115"/>
        <item x="170"/>
        <item x="205"/>
        <item x="77"/>
        <item x="56"/>
        <item x="2"/>
        <item x="180"/>
        <item x="204"/>
        <item x="117"/>
        <item x="211"/>
        <item x="146"/>
        <item t="default"/>
      </items>
    </pivotField>
    <pivotField showAll="0">
      <items count="4">
        <item x="2"/>
        <item x="0"/>
        <item x="1"/>
        <item t="default"/>
      </items>
    </pivotField>
    <pivotField showAll="0">
      <items count="5">
        <item x="2"/>
        <item x="3"/>
        <item x="1"/>
        <item x="0"/>
        <item t="default"/>
      </items>
    </pivotField>
    <pivotField showAll="0">
      <items count="5">
        <item x="2"/>
        <item x="3"/>
        <item x="0"/>
        <item x="1"/>
        <item t="default"/>
      </items>
    </pivotField>
    <pivotField showAll="0">
      <items count="4">
        <item x="0"/>
        <item x="1"/>
        <item x="2"/>
        <item t="default"/>
      </items>
    </pivotField>
    <pivotField showAll="0">
      <items count="10">
        <item x="6"/>
        <item x="3"/>
        <item x="1"/>
        <item x="2"/>
        <item x="4"/>
        <item x="5"/>
        <item x="8"/>
        <item x="7"/>
        <item x="0"/>
        <item t="default"/>
      </items>
    </pivotField>
    <pivotField showAll="0">
      <items count="30">
        <item x="10"/>
        <item x="12"/>
        <item x="27"/>
        <item x="1"/>
        <item x="3"/>
        <item x="0"/>
        <item x="21"/>
        <item x="7"/>
        <item x="14"/>
        <item x="9"/>
        <item x="2"/>
        <item x="11"/>
        <item x="18"/>
        <item x="24"/>
        <item x="28"/>
        <item x="6"/>
        <item x="26"/>
        <item x="5"/>
        <item x="4"/>
        <item x="15"/>
        <item x="16"/>
        <item x="13"/>
        <item x="23"/>
        <item x="20"/>
        <item x="25"/>
        <item x="22"/>
        <item x="8"/>
        <item x="19"/>
        <item x="17"/>
        <item t="default"/>
      </items>
    </pivotField>
    <pivotField showAll="0"/>
    <pivotField numFmtId="165" showAll="0"/>
    <pivotField numFmtId="164" showAll="0"/>
    <pivotField dataField="1" numFmtId="164" showAll="0"/>
    <pivotField numFmtId="164" showAll="0"/>
    <pivotField dataField="1" numFmtId="164" showAll="0"/>
    <pivotField axis="axisRow"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Sum of Revenue" fld="12" baseField="0" baseItem="0" numFmtId="165"/>
    <dataField name="Sum of Profit" fld="14" baseField="0" baseItem="0" numFmtId="165"/>
    <dataField name="Sum of profit margin" fld="17" baseField="0" baseItem="0" numFmtId="9"/>
  </dataFields>
  <formats count="3">
    <format dxfId="11">
      <pivotArea outline="0" collapsedLevelsAreSubtotals="1" fieldPosition="0">
        <references count="1">
          <reference field="4294967294" count="2" selected="0">
            <x v="0"/>
            <x v="1"/>
          </reference>
        </references>
      </pivotArea>
    </format>
    <format dxfId="10">
      <pivotArea dataOnly="0" labelOnly="1" fieldPosition="0">
        <references count="1">
          <reference field="15" count="0"/>
        </references>
      </pivotArea>
    </format>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0D1996-08FA-4EA1-92CC-7273537216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product)">
  <location ref="P3:S36"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axis="axisRow" showAll="0">
      <items count="4">
        <item x="0"/>
        <item x="1"/>
        <item x="2"/>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items count="30">
        <item x="10"/>
        <item x="12"/>
        <item x="27"/>
        <item x="1"/>
        <item x="3"/>
        <item x="0"/>
        <item x="21"/>
        <item x="7"/>
        <item x="14"/>
        <item x="9"/>
        <item x="2"/>
        <item x="11"/>
        <item x="18"/>
        <item x="24"/>
        <item x="28"/>
        <item x="6"/>
        <item x="26"/>
        <item x="5"/>
        <item x="4"/>
        <item x="15"/>
        <item x="16"/>
        <item x="13"/>
        <item x="23"/>
        <item x="20"/>
        <item x="25"/>
        <item x="22"/>
        <item x="8"/>
        <item x="19"/>
        <item x="17"/>
        <item t="default"/>
      </items>
    </pivotField>
    <pivotField showAll="0"/>
    <pivotField numFmtId="165" showAll="0"/>
    <pivotField numFmtId="164" showAll="0"/>
    <pivotField dataField="1" numFmtId="164" showAll="0"/>
    <pivotField dataField="1"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6"/>
    <field x="8"/>
  </rowFields>
  <rowItems count="33">
    <i>
      <x/>
    </i>
    <i r="1">
      <x v="1"/>
    </i>
    <i r="1">
      <x v="4"/>
    </i>
    <i r="1">
      <x v="5"/>
    </i>
    <i r="1">
      <x v="7"/>
    </i>
    <i r="1">
      <x v="8"/>
    </i>
    <i r="1">
      <x v="10"/>
    </i>
    <i r="1">
      <x v="17"/>
    </i>
    <i r="1">
      <x v="20"/>
    </i>
    <i r="1">
      <x v="24"/>
    </i>
    <i>
      <x v="1"/>
    </i>
    <i r="1">
      <x/>
    </i>
    <i r="1">
      <x v="3"/>
    </i>
    <i r="1">
      <x v="9"/>
    </i>
    <i r="1">
      <x v="15"/>
    </i>
    <i r="1">
      <x v="16"/>
    </i>
    <i r="1">
      <x v="18"/>
    </i>
    <i r="1">
      <x v="19"/>
    </i>
    <i r="1">
      <x v="22"/>
    </i>
    <i r="1">
      <x v="25"/>
    </i>
    <i>
      <x v="2"/>
    </i>
    <i r="1">
      <x v="2"/>
    </i>
    <i r="1">
      <x v="6"/>
    </i>
    <i r="1">
      <x v="11"/>
    </i>
    <i r="1">
      <x v="12"/>
    </i>
    <i r="1">
      <x v="13"/>
    </i>
    <i r="1">
      <x v="14"/>
    </i>
    <i r="1">
      <x v="21"/>
    </i>
    <i r="1">
      <x v="23"/>
    </i>
    <i r="1">
      <x v="26"/>
    </i>
    <i r="1">
      <x v="27"/>
    </i>
    <i r="1">
      <x v="28"/>
    </i>
    <i t="grand">
      <x/>
    </i>
  </rowItems>
  <colFields count="1">
    <field x="-2"/>
  </colFields>
  <colItems count="3">
    <i>
      <x/>
    </i>
    <i i="1">
      <x v="1"/>
    </i>
    <i i="2">
      <x v="2"/>
    </i>
  </colItems>
  <dataFields count="3">
    <dataField name="Sum of Revenue" fld="12" baseField="0" baseItem="0" numFmtId="165"/>
    <dataField name="Sum of total Cost" fld="13" baseField="0" baseItem="0" numFmtId="165"/>
    <dataField name="Sum of Profit" fld="14" baseField="0" baseItem="0" numFmtId="165"/>
  </dataFields>
  <formats count="2">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2" selected="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B98721-9178-4A1B-A888-168EE74C2F4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2:AK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pivotField showAll="0"/>
    <pivotField showAll="0"/>
    <pivotField showAll="0"/>
    <pivotField numFmtId="165" showAll="0"/>
    <pivotField numFmtId="164" showAll="0"/>
    <pivotField numFmtId="164" showAll="0"/>
    <pivotField numFmtId="164" showAll="0"/>
    <pivotField dataField="1"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Profit" fld="14" baseField="0" baseItem="0" numFmtId="4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DF5086-8E77-4401-8F0B-BB237BBDBD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s Name">
  <location ref="U3:X19" firstHeaderRow="0" firstDataRow="1" firstDataCol="1"/>
  <pivotFields count="22">
    <pivotField dataField="1"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axis="axisRow" showAll="0" measureFilter="1" sortType="descending">
      <items count="224">
        <item x="83"/>
        <item x="61"/>
        <item x="13"/>
        <item x="179"/>
        <item x="220"/>
        <item x="5"/>
        <item x="201"/>
        <item x="17"/>
        <item x="196"/>
        <item x="89"/>
        <item x="218"/>
        <item x="40"/>
        <item x="150"/>
        <item x="210"/>
        <item x="207"/>
        <item x="96"/>
        <item x="181"/>
        <item x="62"/>
        <item x="4"/>
        <item x="58"/>
        <item x="87"/>
        <item x="26"/>
        <item x="202"/>
        <item x="139"/>
        <item x="168"/>
        <item x="0"/>
        <item x="31"/>
        <item x="167"/>
        <item x="144"/>
        <item x="33"/>
        <item x="166"/>
        <item x="43"/>
        <item x="106"/>
        <item x="86"/>
        <item x="110"/>
        <item x="147"/>
        <item x="208"/>
        <item x="163"/>
        <item x="184"/>
        <item x="199"/>
        <item x="7"/>
        <item x="103"/>
        <item x="209"/>
        <item x="19"/>
        <item x="49"/>
        <item x="28"/>
        <item x="185"/>
        <item x="142"/>
        <item x="193"/>
        <item x="192"/>
        <item x="164"/>
        <item x="75"/>
        <item x="59"/>
        <item x="131"/>
        <item x="182"/>
        <item x="50"/>
        <item x="37"/>
        <item x="36"/>
        <item x="98"/>
        <item x="149"/>
        <item x="154"/>
        <item x="55"/>
        <item x="44"/>
        <item x="63"/>
        <item x="18"/>
        <item x="10"/>
        <item x="48"/>
        <item x="60"/>
        <item x="71"/>
        <item x="69"/>
        <item x="24"/>
        <item x="45"/>
        <item x="64"/>
        <item x="123"/>
        <item x="76"/>
        <item x="178"/>
        <item x="206"/>
        <item x="151"/>
        <item x="216"/>
        <item x="125"/>
        <item x="187"/>
        <item x="118"/>
        <item x="15"/>
        <item x="70"/>
        <item x="122"/>
        <item x="145"/>
        <item x="127"/>
        <item x="35"/>
        <item x="101"/>
        <item x="140"/>
        <item x="194"/>
        <item x="88"/>
        <item x="93"/>
        <item x="120"/>
        <item x="155"/>
        <item x="186"/>
        <item x="29"/>
        <item x="99"/>
        <item x="85"/>
        <item x="176"/>
        <item x="104"/>
        <item x="112"/>
        <item x="12"/>
        <item x="67"/>
        <item x="135"/>
        <item x="66"/>
        <item x="42"/>
        <item x="188"/>
        <item x="41"/>
        <item x="105"/>
        <item x="203"/>
        <item x="221"/>
        <item x="143"/>
        <item x="11"/>
        <item x="25"/>
        <item x="124"/>
        <item x="177"/>
        <item x="91"/>
        <item x="100"/>
        <item x="121"/>
        <item x="157"/>
        <item x="219"/>
        <item x="84"/>
        <item x="73"/>
        <item x="38"/>
        <item x="213"/>
        <item x="79"/>
        <item x="107"/>
        <item x="183"/>
        <item x="158"/>
        <item x="21"/>
        <item x="116"/>
        <item x="8"/>
        <item x="34"/>
        <item x="133"/>
        <item x="195"/>
        <item x="111"/>
        <item x="134"/>
        <item x="74"/>
        <item x="46"/>
        <item x="65"/>
        <item x="92"/>
        <item x="175"/>
        <item x="23"/>
        <item x="1"/>
        <item x="3"/>
        <item x="27"/>
        <item x="126"/>
        <item x="114"/>
        <item x="51"/>
        <item x="130"/>
        <item x="200"/>
        <item x="47"/>
        <item x="81"/>
        <item x="159"/>
        <item x="22"/>
        <item x="138"/>
        <item x="94"/>
        <item x="214"/>
        <item x="54"/>
        <item x="189"/>
        <item x="6"/>
        <item x="90"/>
        <item x="82"/>
        <item x="212"/>
        <item x="80"/>
        <item x="222"/>
        <item x="191"/>
        <item x="173"/>
        <item x="152"/>
        <item x="169"/>
        <item x="78"/>
        <item x="20"/>
        <item x="97"/>
        <item x="190"/>
        <item x="171"/>
        <item x="161"/>
        <item x="30"/>
        <item x="39"/>
        <item x="113"/>
        <item x="132"/>
        <item x="217"/>
        <item x="102"/>
        <item x="215"/>
        <item x="53"/>
        <item x="137"/>
        <item x="68"/>
        <item x="141"/>
        <item x="162"/>
        <item x="129"/>
        <item x="160"/>
        <item x="16"/>
        <item x="72"/>
        <item x="52"/>
        <item x="109"/>
        <item x="153"/>
        <item x="174"/>
        <item x="198"/>
        <item x="108"/>
        <item x="156"/>
        <item x="57"/>
        <item x="148"/>
        <item x="136"/>
        <item x="32"/>
        <item x="165"/>
        <item x="128"/>
        <item x="172"/>
        <item x="14"/>
        <item x="197"/>
        <item x="119"/>
        <item x="9"/>
        <item x="95"/>
        <item x="115"/>
        <item x="170"/>
        <item x="205"/>
        <item x="77"/>
        <item x="56"/>
        <item x="2"/>
        <item x="180"/>
        <item x="204"/>
        <item x="117"/>
        <item x="211"/>
        <item x="146"/>
        <item t="default"/>
      </items>
      <autoSortScope>
        <pivotArea dataOnly="0" outline="0" fieldPosition="0">
          <references count="1">
            <reference field="4294967294" count="1" selected="0">
              <x v="2"/>
            </reference>
          </references>
        </pivotArea>
      </autoSortScope>
    </pivotField>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6">
    <i>
      <x v="61"/>
    </i>
    <i>
      <x v="170"/>
    </i>
    <i>
      <x v="117"/>
    </i>
    <i>
      <x v="89"/>
    </i>
    <i>
      <x v="2"/>
    </i>
    <i>
      <x v="11"/>
    </i>
    <i>
      <x v="143"/>
    </i>
    <i>
      <x v="137"/>
    </i>
    <i>
      <x v="196"/>
    </i>
    <i>
      <x v="15"/>
    </i>
    <i>
      <x v="163"/>
    </i>
    <i>
      <x v="105"/>
    </i>
    <i>
      <x v="148"/>
    </i>
    <i>
      <x v="106"/>
    </i>
    <i>
      <x v="47"/>
    </i>
    <i t="grand">
      <x/>
    </i>
  </rowItems>
  <colFields count="1">
    <field x="-2"/>
  </colFields>
  <colItems count="3">
    <i>
      <x/>
    </i>
    <i i="1">
      <x v="1"/>
    </i>
    <i i="2">
      <x v="2"/>
    </i>
  </colItems>
  <dataFields count="3">
    <dataField name="Count of OrderID" fld="0" subtotal="count" baseField="0" baseItem="0"/>
    <dataField name="Sum of Quantity" fld="9" baseField="0" baseItem="0"/>
    <dataField name="Sum of Revenue" fld="12" baseField="0" baseItem="0" numFmtId="165"/>
  </dataFields>
  <formats count="3">
    <format dxfId="17">
      <pivotArea outline="0" collapsedLevelsAreSubtotals="1" fieldPosition="0"/>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s>
  <chartFormats count="672">
    <chartFormat chart="2" format="675" series="1">
      <pivotArea type="data" outline="0" fieldPosition="0">
        <references count="1">
          <reference field="4294967294" count="1" selected="0">
            <x v="0"/>
          </reference>
        </references>
      </pivotArea>
    </chartFormat>
    <chartFormat chart="2" format="676">
      <pivotArea type="data" outline="0" fieldPosition="0">
        <references count="2">
          <reference field="4294967294" count="1" selected="0">
            <x v="0"/>
          </reference>
          <reference field="2" count="1" selected="0">
            <x v="117"/>
          </reference>
        </references>
      </pivotArea>
    </chartFormat>
    <chartFormat chart="2" format="677">
      <pivotArea type="data" outline="0" fieldPosition="0">
        <references count="2">
          <reference field="4294967294" count="1" selected="0">
            <x v="0"/>
          </reference>
          <reference field="2" count="1" selected="0">
            <x v="143"/>
          </reference>
        </references>
      </pivotArea>
    </chartFormat>
    <chartFormat chart="2" format="678">
      <pivotArea type="data" outline="0" fieldPosition="0">
        <references count="2">
          <reference field="4294967294" count="1" selected="0">
            <x v="0"/>
          </reference>
          <reference field="2" count="1" selected="0">
            <x v="11"/>
          </reference>
        </references>
      </pivotArea>
    </chartFormat>
    <chartFormat chart="2" format="679">
      <pivotArea type="data" outline="0" fieldPosition="0">
        <references count="2">
          <reference field="4294967294" count="1" selected="0">
            <x v="0"/>
          </reference>
          <reference field="2" count="1" selected="0">
            <x v="2"/>
          </reference>
        </references>
      </pivotArea>
    </chartFormat>
    <chartFormat chart="2" format="680">
      <pivotArea type="data" outline="0" fieldPosition="0">
        <references count="2">
          <reference field="4294967294" count="1" selected="0">
            <x v="0"/>
          </reference>
          <reference field="2" count="1" selected="0">
            <x v="61"/>
          </reference>
        </references>
      </pivotArea>
    </chartFormat>
    <chartFormat chart="2" format="681">
      <pivotArea type="data" outline="0" fieldPosition="0">
        <references count="2">
          <reference field="4294967294" count="1" selected="0">
            <x v="0"/>
          </reference>
          <reference field="2" count="1" selected="0">
            <x v="63"/>
          </reference>
        </references>
      </pivotArea>
    </chartFormat>
    <chartFormat chart="2" format="682">
      <pivotArea type="data" outline="0" fieldPosition="0">
        <references count="2">
          <reference field="4294967294" count="1" selected="0">
            <x v="0"/>
          </reference>
          <reference field="2" count="1" selected="0">
            <x v="132"/>
          </reference>
        </references>
      </pivotArea>
    </chartFormat>
    <chartFormat chart="2" format="683">
      <pivotArea type="data" outline="0" fieldPosition="0">
        <references count="2">
          <reference field="4294967294" count="1" selected="0">
            <x v="0"/>
          </reference>
          <reference field="2" count="1" selected="0">
            <x v="196"/>
          </reference>
        </references>
      </pivotArea>
    </chartFormat>
    <chartFormat chart="2" format="684">
      <pivotArea type="data" outline="0" fieldPosition="0">
        <references count="2">
          <reference field="4294967294" count="1" selected="0">
            <x v="0"/>
          </reference>
          <reference field="2" count="1" selected="0">
            <x v="137"/>
          </reference>
        </references>
      </pivotArea>
    </chartFormat>
    <chartFormat chart="2" format="685">
      <pivotArea type="data" outline="0" fieldPosition="0">
        <references count="2">
          <reference field="4294967294" count="1" selected="0">
            <x v="0"/>
          </reference>
          <reference field="2" count="1" selected="0">
            <x v="62"/>
          </reference>
        </references>
      </pivotArea>
    </chartFormat>
    <chartFormat chart="2" format="686">
      <pivotArea type="data" outline="0" fieldPosition="0">
        <references count="2">
          <reference field="4294967294" count="1" selected="0">
            <x v="0"/>
          </reference>
          <reference field="2" count="1" selected="0">
            <x v="89"/>
          </reference>
        </references>
      </pivotArea>
    </chartFormat>
    <chartFormat chart="2" format="687">
      <pivotArea type="data" outline="0" fieldPosition="0">
        <references count="2">
          <reference field="4294967294" count="1" selected="0">
            <x v="0"/>
          </reference>
          <reference field="2" count="1" selected="0">
            <x v="105"/>
          </reference>
        </references>
      </pivotArea>
    </chartFormat>
    <chartFormat chart="2" format="688">
      <pivotArea type="data" outline="0" fieldPosition="0">
        <references count="2">
          <reference field="4294967294" count="1" selected="0">
            <x v="0"/>
          </reference>
          <reference field="2" count="1" selected="0">
            <x v="3"/>
          </reference>
        </references>
      </pivotArea>
    </chartFormat>
    <chartFormat chart="2" format="689">
      <pivotArea type="data" outline="0" fieldPosition="0">
        <references count="2">
          <reference field="4294967294" count="1" selected="0">
            <x v="0"/>
          </reference>
          <reference field="2" count="1" selected="0">
            <x v="30"/>
          </reference>
        </references>
      </pivotArea>
    </chartFormat>
    <chartFormat chart="2" format="690">
      <pivotArea type="data" outline="0" fieldPosition="0">
        <references count="2">
          <reference field="4294967294" count="1" selected="0">
            <x v="0"/>
          </reference>
          <reference field="2" count="1" selected="0">
            <x v="83"/>
          </reference>
        </references>
      </pivotArea>
    </chartFormat>
    <chartFormat chart="2" format="691">
      <pivotArea type="data" outline="0" fieldPosition="0">
        <references count="2">
          <reference field="4294967294" count="1" selected="0">
            <x v="0"/>
          </reference>
          <reference field="2" count="1" selected="0">
            <x v="114"/>
          </reference>
        </references>
      </pivotArea>
    </chartFormat>
    <chartFormat chart="2" format="692">
      <pivotArea type="data" outline="0" fieldPosition="0">
        <references count="2">
          <reference field="4294967294" count="1" selected="0">
            <x v="0"/>
          </reference>
          <reference field="2" count="1" selected="0">
            <x v="192"/>
          </reference>
        </references>
      </pivotArea>
    </chartFormat>
    <chartFormat chart="2" format="693">
      <pivotArea type="data" outline="0" fieldPosition="0">
        <references count="2">
          <reference field="4294967294" count="1" selected="0">
            <x v="0"/>
          </reference>
          <reference field="2" count="1" selected="0">
            <x v="15"/>
          </reference>
        </references>
      </pivotArea>
    </chartFormat>
    <chartFormat chart="2" format="694">
      <pivotArea type="data" outline="0" fieldPosition="0">
        <references count="2">
          <reference field="4294967294" count="1" selected="0">
            <x v="0"/>
          </reference>
          <reference field="2" count="1" selected="0">
            <x v="33"/>
          </reference>
        </references>
      </pivotArea>
    </chartFormat>
    <chartFormat chart="2" format="695">
      <pivotArea type="data" outline="0" fieldPosition="0">
        <references count="2">
          <reference field="4294967294" count="1" selected="0">
            <x v="0"/>
          </reference>
          <reference field="2" count="1" selected="0">
            <x v="198"/>
          </reference>
        </references>
      </pivotArea>
    </chartFormat>
    <chartFormat chart="2" format="696">
      <pivotArea type="data" outline="0" fieldPosition="0">
        <references count="2">
          <reference field="4294967294" count="1" selected="0">
            <x v="0"/>
          </reference>
          <reference field="2" count="1" selected="0">
            <x v="98"/>
          </reference>
        </references>
      </pivotArea>
    </chartFormat>
    <chartFormat chart="2" format="697">
      <pivotArea type="data" outline="0" fieldPosition="0">
        <references count="2">
          <reference field="4294967294" count="1" selected="0">
            <x v="0"/>
          </reference>
          <reference field="2" count="1" selected="0">
            <x v="67"/>
          </reference>
        </references>
      </pivotArea>
    </chartFormat>
    <chartFormat chart="2" format="698">
      <pivotArea type="data" outline="0" fieldPosition="0">
        <references count="2">
          <reference field="4294967294" count="1" selected="0">
            <x v="0"/>
          </reference>
          <reference field="2" count="1" selected="0">
            <x v="148"/>
          </reference>
        </references>
      </pivotArea>
    </chartFormat>
    <chartFormat chart="2" format="699">
      <pivotArea type="data" outline="0" fieldPosition="0">
        <references count="2">
          <reference field="4294967294" count="1" selected="0">
            <x v="0"/>
          </reference>
          <reference field="2" count="1" selected="0">
            <x v="25"/>
          </reference>
        </references>
      </pivotArea>
    </chartFormat>
    <chartFormat chart="2" format="700">
      <pivotArea type="data" outline="0" fieldPosition="0">
        <references count="2">
          <reference field="4294967294" count="1" selected="0">
            <x v="0"/>
          </reference>
          <reference field="2" count="1" selected="0">
            <x v="81"/>
          </reference>
        </references>
      </pivotArea>
    </chartFormat>
    <chartFormat chart="2" format="701">
      <pivotArea type="data" outline="0" fieldPosition="0">
        <references count="2">
          <reference field="4294967294" count="1" selected="0">
            <x v="0"/>
          </reference>
          <reference field="2" count="1" selected="0">
            <x v="177"/>
          </reference>
        </references>
      </pivotArea>
    </chartFormat>
    <chartFormat chart="2" format="702">
      <pivotArea type="data" outline="0" fieldPosition="0">
        <references count="2">
          <reference field="4294967294" count="1" selected="0">
            <x v="0"/>
          </reference>
          <reference field="2" count="1" selected="0">
            <x v="35"/>
          </reference>
        </references>
      </pivotArea>
    </chartFormat>
    <chartFormat chart="2" format="703">
      <pivotArea type="data" outline="0" fieldPosition="0">
        <references count="2">
          <reference field="4294967294" count="1" selected="0">
            <x v="0"/>
          </reference>
          <reference field="2" count="1" selected="0">
            <x v="119"/>
          </reference>
        </references>
      </pivotArea>
    </chartFormat>
    <chartFormat chart="2" format="704">
      <pivotArea type="data" outline="0" fieldPosition="0">
        <references count="2">
          <reference field="4294967294" count="1" selected="0">
            <x v="0"/>
          </reference>
          <reference field="2" count="1" selected="0">
            <x v="91"/>
          </reference>
        </references>
      </pivotArea>
    </chartFormat>
    <chartFormat chart="2" format="705">
      <pivotArea type="data" outline="0" fieldPosition="0">
        <references count="2">
          <reference field="4294967294" count="1" selected="0">
            <x v="0"/>
          </reference>
          <reference field="2" count="1" selected="0">
            <x v="9"/>
          </reference>
        </references>
      </pivotArea>
    </chartFormat>
    <chartFormat chart="2" format="706">
      <pivotArea type="data" outline="0" fieldPosition="0">
        <references count="2">
          <reference field="4294967294" count="1" selected="0">
            <x v="0"/>
          </reference>
          <reference field="2" count="1" selected="0">
            <x v="103"/>
          </reference>
        </references>
      </pivotArea>
    </chartFormat>
    <chartFormat chart="2" format="707">
      <pivotArea type="data" outline="0" fieldPosition="0">
        <references count="2">
          <reference field="4294967294" count="1" selected="0">
            <x v="0"/>
          </reference>
          <reference field="2" count="1" selected="0">
            <x v="170"/>
          </reference>
        </references>
      </pivotArea>
    </chartFormat>
    <chartFormat chart="2" format="708">
      <pivotArea type="data" outline="0" fieldPosition="0">
        <references count="2">
          <reference field="4294967294" count="1" selected="0">
            <x v="0"/>
          </reference>
          <reference field="2" count="1" selected="0">
            <x v="40"/>
          </reference>
        </references>
      </pivotArea>
    </chartFormat>
    <chartFormat chart="2" format="709">
      <pivotArea type="data" outline="0" fieldPosition="0">
        <references count="2">
          <reference field="4294967294" count="1" selected="0">
            <x v="0"/>
          </reference>
          <reference field="2" count="1" selected="0">
            <x v="66"/>
          </reference>
        </references>
      </pivotArea>
    </chartFormat>
    <chartFormat chart="2" format="710">
      <pivotArea type="data" outline="0" fieldPosition="0">
        <references count="2">
          <reference field="4294967294" count="1" selected="0">
            <x v="0"/>
          </reference>
          <reference field="2" count="1" selected="0">
            <x v="106"/>
          </reference>
        </references>
      </pivotArea>
    </chartFormat>
    <chartFormat chart="2" format="711">
      <pivotArea type="data" outline="0" fieldPosition="0">
        <references count="2">
          <reference field="4294967294" count="1" selected="0">
            <x v="0"/>
          </reference>
          <reference field="2" count="1" selected="0">
            <x v="201"/>
          </reference>
        </references>
      </pivotArea>
    </chartFormat>
    <chartFormat chart="2" format="712">
      <pivotArea type="data" outline="0" fieldPosition="0">
        <references count="2">
          <reference field="4294967294" count="1" selected="0">
            <x v="0"/>
          </reference>
          <reference field="2" count="1" selected="0">
            <x v="47"/>
          </reference>
        </references>
      </pivotArea>
    </chartFormat>
    <chartFormat chart="2" format="713">
      <pivotArea type="data" outline="0" fieldPosition="0">
        <references count="2">
          <reference field="4294967294" count="1" selected="0">
            <x v="0"/>
          </reference>
          <reference field="2" count="1" selected="0">
            <x v="123"/>
          </reference>
        </references>
      </pivotArea>
    </chartFormat>
    <chartFormat chart="2" format="714">
      <pivotArea type="data" outline="0" fieldPosition="0">
        <references count="2">
          <reference field="4294967294" count="1" selected="0">
            <x v="0"/>
          </reference>
          <reference field="2" count="1" selected="0">
            <x v="64"/>
          </reference>
        </references>
      </pivotArea>
    </chartFormat>
    <chartFormat chart="2" format="715">
      <pivotArea type="data" outline="0" fieldPosition="0">
        <references count="2">
          <reference field="4294967294" count="1" selected="0">
            <x v="0"/>
          </reference>
          <reference field="2" count="1" selected="0">
            <x v="82"/>
          </reference>
        </references>
      </pivotArea>
    </chartFormat>
    <chartFormat chart="2" format="716">
      <pivotArea type="data" outline="0" fieldPosition="0">
        <references count="2">
          <reference field="4294967294" count="1" selected="0">
            <x v="0"/>
          </reference>
          <reference field="2" count="1" selected="0">
            <x v="52"/>
          </reference>
        </references>
      </pivotArea>
    </chartFormat>
    <chartFormat chart="2" format="717">
      <pivotArea type="data" outline="0" fieldPosition="0">
        <references count="2">
          <reference field="4294967294" count="1" selected="0">
            <x v="0"/>
          </reference>
          <reference field="2" count="1" selected="0">
            <x v="70"/>
          </reference>
        </references>
      </pivotArea>
    </chartFormat>
    <chartFormat chart="2" format="718">
      <pivotArea type="data" outline="0" fieldPosition="0">
        <references count="2">
          <reference field="4294967294" count="1" selected="0">
            <x v="0"/>
          </reference>
          <reference field="2" count="1" selected="0">
            <x v="179"/>
          </reference>
        </references>
      </pivotArea>
    </chartFormat>
    <chartFormat chart="2" format="719">
      <pivotArea type="data" outline="0" fieldPosition="0">
        <references count="2">
          <reference field="4294967294" count="1" selected="0">
            <x v="0"/>
          </reference>
          <reference field="2" count="1" selected="0">
            <x v="100"/>
          </reference>
        </references>
      </pivotArea>
    </chartFormat>
    <chartFormat chart="2" format="720">
      <pivotArea type="data" outline="0" fieldPosition="0">
        <references count="2">
          <reference field="4294967294" count="1" selected="0">
            <x v="0"/>
          </reference>
          <reference field="2" count="1" selected="0">
            <x v="195"/>
          </reference>
        </references>
      </pivotArea>
    </chartFormat>
    <chartFormat chart="2" format="721">
      <pivotArea type="data" outline="0" fieldPosition="0">
        <references count="2">
          <reference field="4294967294" count="1" selected="0">
            <x v="0"/>
          </reference>
          <reference field="2" count="1" selected="0">
            <x v="24"/>
          </reference>
        </references>
      </pivotArea>
    </chartFormat>
    <chartFormat chart="2" format="722">
      <pivotArea type="data" outline="0" fieldPosition="0">
        <references count="2">
          <reference field="4294967294" count="1" selected="0">
            <x v="0"/>
          </reference>
          <reference field="2" count="1" selected="0">
            <x v="215"/>
          </reference>
        </references>
      </pivotArea>
    </chartFormat>
    <chartFormat chart="2" format="723">
      <pivotArea type="data" outline="0" fieldPosition="0">
        <references count="2">
          <reference field="4294967294" count="1" selected="0">
            <x v="0"/>
          </reference>
          <reference field="2" count="1" selected="0">
            <x v="31"/>
          </reference>
        </references>
      </pivotArea>
    </chartFormat>
    <chartFormat chart="2" format="724">
      <pivotArea type="data" outline="0" fieldPosition="0">
        <references count="2">
          <reference field="4294967294" count="1" selected="0">
            <x v="0"/>
          </reference>
          <reference field="2" count="1" selected="0">
            <x v="94"/>
          </reference>
        </references>
      </pivotArea>
    </chartFormat>
    <chartFormat chart="2" format="725">
      <pivotArea type="data" outline="0" fieldPosition="0">
        <references count="2">
          <reference field="4294967294" count="1" selected="0">
            <x v="0"/>
          </reference>
          <reference field="2" count="1" selected="0">
            <x v="144"/>
          </reference>
        </references>
      </pivotArea>
    </chartFormat>
    <chartFormat chart="2" format="726">
      <pivotArea type="data" outline="0" fieldPosition="0">
        <references count="2">
          <reference field="4294967294" count="1" selected="0">
            <x v="0"/>
          </reference>
          <reference field="2" count="1" selected="0">
            <x v="189"/>
          </reference>
        </references>
      </pivotArea>
    </chartFormat>
    <chartFormat chart="2" format="727">
      <pivotArea type="data" outline="0" fieldPosition="0">
        <references count="2">
          <reference field="4294967294" count="1" selected="0">
            <x v="0"/>
          </reference>
          <reference field="2" count="1" selected="0">
            <x v="146"/>
          </reference>
        </references>
      </pivotArea>
    </chartFormat>
    <chartFormat chart="2" format="728">
      <pivotArea type="data" outline="0" fieldPosition="0">
        <references count="2">
          <reference field="4294967294" count="1" selected="0">
            <x v="0"/>
          </reference>
          <reference field="2" count="1" selected="0">
            <x v="193"/>
          </reference>
        </references>
      </pivotArea>
    </chartFormat>
    <chartFormat chart="2" format="729">
      <pivotArea type="data" outline="0" fieldPosition="0">
        <references count="2">
          <reference field="4294967294" count="1" selected="0">
            <x v="0"/>
          </reference>
          <reference field="2" count="1" selected="0">
            <x v="77"/>
          </reference>
        </references>
      </pivotArea>
    </chartFormat>
    <chartFormat chart="2" format="730">
      <pivotArea type="data" outline="0" fieldPosition="0">
        <references count="2">
          <reference field="4294967294" count="1" selected="0">
            <x v="0"/>
          </reference>
          <reference field="2" count="1" selected="0">
            <x v="115"/>
          </reference>
        </references>
      </pivotArea>
    </chartFormat>
    <chartFormat chart="2" format="731">
      <pivotArea type="data" outline="0" fieldPosition="0">
        <references count="2">
          <reference field="4294967294" count="1" selected="0">
            <x v="0"/>
          </reference>
          <reference field="2" count="1" selected="0">
            <x v="150"/>
          </reference>
        </references>
      </pivotArea>
    </chartFormat>
    <chartFormat chart="2" format="732">
      <pivotArea type="data" outline="0" fieldPosition="0">
        <references count="2">
          <reference field="4294967294" count="1" selected="0">
            <x v="0"/>
          </reference>
          <reference field="2" count="1" selected="0">
            <x v="118"/>
          </reference>
        </references>
      </pivotArea>
    </chartFormat>
    <chartFormat chart="2" format="733">
      <pivotArea type="data" outline="0" fieldPosition="0">
        <references count="2">
          <reference field="4294967294" count="1" selected="0">
            <x v="0"/>
          </reference>
          <reference field="2" count="1" selected="0">
            <x v="161"/>
          </reference>
        </references>
      </pivotArea>
    </chartFormat>
    <chartFormat chart="2" format="734">
      <pivotArea type="data" outline="0" fieldPosition="0">
        <references count="2">
          <reference field="4294967294" count="1" selected="0">
            <x v="0"/>
          </reference>
          <reference field="2" count="1" selected="0">
            <x v="162"/>
          </reference>
        </references>
      </pivotArea>
    </chartFormat>
    <chartFormat chart="2" format="735">
      <pivotArea type="data" outline="0" fieldPosition="0">
        <references count="2">
          <reference field="4294967294" count="1" selected="0">
            <x v="0"/>
          </reference>
          <reference field="2" count="1" selected="0">
            <x v="102"/>
          </reference>
        </references>
      </pivotArea>
    </chartFormat>
    <chartFormat chart="2" format="736">
      <pivotArea type="data" outline="0" fieldPosition="0">
        <references count="2">
          <reference field="4294967294" count="1" selected="0">
            <x v="0"/>
          </reference>
          <reference field="2" count="1" selected="0">
            <x v="200"/>
          </reference>
        </references>
      </pivotArea>
    </chartFormat>
    <chartFormat chart="2" format="737">
      <pivotArea type="data" outline="0" fieldPosition="0">
        <references count="2">
          <reference field="4294967294" count="1" selected="0">
            <x v="0"/>
          </reference>
          <reference field="2" count="1" selected="0">
            <x v="190"/>
          </reference>
        </references>
      </pivotArea>
    </chartFormat>
    <chartFormat chart="2" format="738">
      <pivotArea type="data" outline="0" fieldPosition="0">
        <references count="2">
          <reference field="4294967294" count="1" selected="0">
            <x v="0"/>
          </reference>
          <reference field="2" count="1" selected="0">
            <x v="176"/>
          </reference>
        </references>
      </pivotArea>
    </chartFormat>
    <chartFormat chart="2" format="739">
      <pivotArea type="data" outline="0" fieldPosition="0">
        <references count="2">
          <reference field="4294967294" count="1" selected="0">
            <x v="0"/>
          </reference>
          <reference field="2" count="1" selected="0">
            <x v="85"/>
          </reference>
        </references>
      </pivotArea>
    </chartFormat>
    <chartFormat chart="2" format="740">
      <pivotArea type="data" outline="0" fieldPosition="0">
        <references count="2">
          <reference field="4294967294" count="1" selected="0">
            <x v="0"/>
          </reference>
          <reference field="2" count="1" selected="0">
            <x v="21"/>
          </reference>
        </references>
      </pivotArea>
    </chartFormat>
    <chartFormat chart="2" format="741">
      <pivotArea type="data" outline="0" fieldPosition="0">
        <references count="2">
          <reference field="4294967294" count="1" selected="0">
            <x v="0"/>
          </reference>
          <reference field="2" count="1" selected="0">
            <x v="86"/>
          </reference>
        </references>
      </pivotArea>
    </chartFormat>
    <chartFormat chart="2" format="742">
      <pivotArea type="data" outline="0" fieldPosition="0">
        <references count="2">
          <reference field="4294967294" count="1" selected="0">
            <x v="0"/>
          </reference>
          <reference field="2" count="1" selected="0">
            <x v="218"/>
          </reference>
        </references>
      </pivotArea>
    </chartFormat>
    <chartFormat chart="2" format="743">
      <pivotArea type="data" outline="0" fieldPosition="0">
        <references count="2">
          <reference field="4294967294" count="1" selected="0">
            <x v="0"/>
          </reference>
          <reference field="2" count="1" selected="0">
            <x v="133"/>
          </reference>
        </references>
      </pivotArea>
    </chartFormat>
    <chartFormat chart="2" format="744">
      <pivotArea type="data" outline="0" fieldPosition="0">
        <references count="2">
          <reference field="4294967294" count="1" selected="0">
            <x v="0"/>
          </reference>
          <reference field="2" count="1" selected="0">
            <x v="56"/>
          </reference>
        </references>
      </pivotArea>
    </chartFormat>
    <chartFormat chart="2" format="745">
      <pivotArea type="data" outline="0" fieldPosition="0">
        <references count="2">
          <reference field="4294967294" count="1" selected="0">
            <x v="0"/>
          </reference>
          <reference field="2" count="1" selected="0">
            <x v="28"/>
          </reference>
        </references>
      </pivotArea>
    </chartFormat>
    <chartFormat chart="2" format="746">
      <pivotArea type="data" outline="0" fieldPosition="0">
        <references count="2">
          <reference field="4294967294" count="1" selected="0">
            <x v="0"/>
          </reference>
          <reference field="2" count="1" selected="0">
            <x v="112"/>
          </reference>
        </references>
      </pivotArea>
    </chartFormat>
    <chartFormat chart="2" format="747">
      <pivotArea type="data" outline="0" fieldPosition="0">
        <references count="2">
          <reference field="4294967294" count="1" selected="0">
            <x v="0"/>
          </reference>
          <reference field="2" count="1" selected="0">
            <x v="140"/>
          </reference>
        </references>
      </pivotArea>
    </chartFormat>
    <chartFormat chart="2" format="748">
      <pivotArea type="data" outline="0" fieldPosition="0">
        <references count="2">
          <reference field="4294967294" count="1" selected="0">
            <x v="0"/>
          </reference>
          <reference field="2" count="1" selected="0">
            <x v="45"/>
          </reference>
        </references>
      </pivotArea>
    </chartFormat>
    <chartFormat chart="2" format="749">
      <pivotArea type="data" outline="0" fieldPosition="0">
        <references count="2">
          <reference field="4294967294" count="1" selected="0">
            <x v="0"/>
          </reference>
          <reference field="2" count="1" selected="0">
            <x v="20"/>
          </reference>
        </references>
      </pivotArea>
    </chartFormat>
    <chartFormat chart="2" format="750">
      <pivotArea type="data" outline="0" fieldPosition="0">
        <references count="2">
          <reference field="4294967294" count="1" selected="0">
            <x v="0"/>
          </reference>
          <reference field="2" count="1" selected="0">
            <x v="203"/>
          </reference>
        </references>
      </pivotArea>
    </chartFormat>
    <chartFormat chart="2" format="751">
      <pivotArea type="data" outline="0" fieldPosition="0">
        <references count="2">
          <reference field="4294967294" count="1" selected="0">
            <x v="0"/>
          </reference>
          <reference field="2" count="1" selected="0">
            <x v="53"/>
          </reference>
        </references>
      </pivotArea>
    </chartFormat>
    <chartFormat chart="2" format="752">
      <pivotArea type="data" outline="0" fieldPosition="0">
        <references count="2">
          <reference field="4294967294" count="1" selected="0">
            <x v="0"/>
          </reference>
          <reference field="2" count="1" selected="0">
            <x v="171"/>
          </reference>
        </references>
      </pivotArea>
    </chartFormat>
    <chartFormat chart="2" format="753">
      <pivotArea type="data" outline="0" fieldPosition="0">
        <references count="2">
          <reference field="4294967294" count="1" selected="0">
            <x v="0"/>
          </reference>
          <reference field="2" count="1" selected="0">
            <x v="96"/>
          </reference>
        </references>
      </pivotArea>
    </chartFormat>
    <chartFormat chart="2" format="754">
      <pivotArea type="data" outline="0" fieldPosition="0">
        <references count="2">
          <reference field="4294967294" count="1" selected="0">
            <x v="0"/>
          </reference>
          <reference field="2" count="1" selected="0">
            <x v="72"/>
          </reference>
        </references>
      </pivotArea>
    </chartFormat>
    <chartFormat chart="2" format="755">
      <pivotArea type="data" outline="0" fieldPosition="0">
        <references count="2">
          <reference field="4294967294" count="1" selected="0">
            <x v="0"/>
          </reference>
          <reference field="2" count="1" selected="0">
            <x v="69"/>
          </reference>
        </references>
      </pivotArea>
    </chartFormat>
    <chartFormat chart="2" format="756">
      <pivotArea type="data" outline="0" fieldPosition="0">
        <references count="2">
          <reference field="4294967294" count="1" selected="0">
            <x v="0"/>
          </reference>
          <reference field="2" count="1" selected="0">
            <x v="0"/>
          </reference>
        </references>
      </pivotArea>
    </chartFormat>
    <chartFormat chart="2" format="757">
      <pivotArea type="data" outline="0" fieldPosition="0">
        <references count="2">
          <reference field="4294967294" count="1" selected="0">
            <x v="0"/>
          </reference>
          <reference field="2" count="1" selected="0">
            <x v="55"/>
          </reference>
        </references>
      </pivotArea>
    </chartFormat>
    <chartFormat chart="2" format="758">
      <pivotArea type="data" outline="0" fieldPosition="0">
        <references count="2">
          <reference field="4294967294" count="1" selected="0">
            <x v="0"/>
          </reference>
          <reference field="2" count="1" selected="0">
            <x v="191"/>
          </reference>
        </references>
      </pivotArea>
    </chartFormat>
    <chartFormat chart="2" format="759">
      <pivotArea type="data" outline="0" fieldPosition="0">
        <references count="2">
          <reference field="4294967294" count="1" selected="0">
            <x v="0"/>
          </reference>
          <reference field="2" count="1" selected="0">
            <x v="155"/>
          </reference>
        </references>
      </pivotArea>
    </chartFormat>
    <chartFormat chart="2" format="760">
      <pivotArea type="data" outline="0" fieldPosition="0">
        <references count="2">
          <reference field="4294967294" count="1" selected="0">
            <x v="0"/>
          </reference>
          <reference field="2" count="1" selected="0">
            <x v="79"/>
          </reference>
        </references>
      </pivotArea>
    </chartFormat>
    <chartFormat chart="2" format="761">
      <pivotArea type="data" outline="0" fieldPosition="0">
        <references count="2">
          <reference field="4294967294" count="1" selected="0">
            <x v="0"/>
          </reference>
          <reference field="2" count="1" selected="0">
            <x v="160"/>
          </reference>
        </references>
      </pivotArea>
    </chartFormat>
    <chartFormat chart="2" format="762">
      <pivotArea type="data" outline="0" fieldPosition="0">
        <references count="2">
          <reference field="4294967294" count="1" selected="0">
            <x v="0"/>
          </reference>
          <reference field="2" count="1" selected="0">
            <x v="44"/>
          </reference>
        </references>
      </pivotArea>
    </chartFormat>
    <chartFormat chart="2" format="763">
      <pivotArea type="data" outline="0" fieldPosition="0">
        <references count="2">
          <reference field="4294967294" count="1" selected="0">
            <x v="0"/>
          </reference>
          <reference field="2" count="1" selected="0">
            <x v="220"/>
          </reference>
        </references>
      </pivotArea>
    </chartFormat>
    <chartFormat chart="2" format="764">
      <pivotArea type="data" outline="0" fieldPosition="0">
        <references count="2">
          <reference field="4294967294" count="1" selected="0">
            <x v="0"/>
          </reference>
          <reference field="2" count="1" selected="0">
            <x v="199"/>
          </reference>
        </references>
      </pivotArea>
    </chartFormat>
    <chartFormat chart="2" format="765">
      <pivotArea type="data" outline="0" fieldPosition="0">
        <references count="2">
          <reference field="4294967294" count="1" selected="0">
            <x v="0"/>
          </reference>
          <reference field="2" count="1" selected="0">
            <x v="71"/>
          </reference>
        </references>
      </pivotArea>
    </chartFormat>
    <chartFormat chart="2" format="766">
      <pivotArea type="data" outline="0" fieldPosition="0">
        <references count="2">
          <reference field="4294967294" count="1" selected="0">
            <x v="0"/>
          </reference>
          <reference field="2" count="1" selected="0">
            <x v="84"/>
          </reference>
        </references>
      </pivotArea>
    </chartFormat>
    <chartFormat chart="2" format="767">
      <pivotArea type="data" outline="0" fieldPosition="0">
        <references count="2">
          <reference field="4294967294" count="1" selected="0">
            <x v="0"/>
          </reference>
          <reference field="2" count="1" selected="0">
            <x v="163"/>
          </reference>
        </references>
      </pivotArea>
    </chartFormat>
    <chartFormat chart="2" format="768">
      <pivotArea type="data" outline="0" fieldPosition="0">
        <references count="2">
          <reference field="4294967294" count="1" selected="0">
            <x v="0"/>
          </reference>
          <reference field="2" count="1" selected="0">
            <x v="120"/>
          </reference>
        </references>
      </pivotArea>
    </chartFormat>
    <chartFormat chart="2" format="769">
      <pivotArea type="data" outline="0" fieldPosition="0">
        <references count="2">
          <reference field="4294967294" count="1" selected="0">
            <x v="0"/>
          </reference>
          <reference field="2" count="1" selected="0">
            <x v="169"/>
          </reference>
        </references>
      </pivotArea>
    </chartFormat>
    <chartFormat chart="2" format="770">
      <pivotArea type="data" outline="0" fieldPosition="0">
        <references count="2">
          <reference field="4294967294" count="1" selected="0">
            <x v="0"/>
          </reference>
          <reference field="2" count="1" selected="0">
            <x v="122"/>
          </reference>
        </references>
      </pivotArea>
    </chartFormat>
    <chartFormat chart="2" format="771">
      <pivotArea type="data" outline="0" fieldPosition="0">
        <references count="2">
          <reference field="4294967294" count="1" selected="0">
            <x v="0"/>
          </reference>
          <reference field="2" count="1" selected="0">
            <x v="221"/>
          </reference>
        </references>
      </pivotArea>
    </chartFormat>
    <chartFormat chart="2" format="772">
      <pivotArea type="data" outline="0" fieldPosition="0">
        <references count="2">
          <reference field="4294967294" count="1" selected="0">
            <x v="0"/>
          </reference>
          <reference field="2" count="1" selected="0">
            <x v="104"/>
          </reference>
        </references>
      </pivotArea>
    </chartFormat>
    <chartFormat chart="2" format="773">
      <pivotArea type="data" outline="0" fieldPosition="0">
        <references count="2">
          <reference field="4294967294" count="1" selected="0">
            <x v="0"/>
          </reference>
          <reference field="2" count="1" selected="0">
            <x v="92"/>
          </reference>
        </references>
      </pivotArea>
    </chartFormat>
    <chartFormat chart="2" format="774">
      <pivotArea type="data" outline="0" fieldPosition="0">
        <references count="2">
          <reference field="4294967294" count="1" selected="0">
            <x v="0"/>
          </reference>
          <reference field="2" count="1" selected="0">
            <x v="210"/>
          </reference>
        </references>
      </pivotArea>
    </chartFormat>
    <chartFormat chart="2" format="775">
      <pivotArea type="data" outline="0" fieldPosition="0">
        <references count="2">
          <reference field="4294967294" count="1" selected="0">
            <x v="0"/>
          </reference>
          <reference field="2" count="1" selected="0">
            <x v="194"/>
          </reference>
        </references>
      </pivotArea>
    </chartFormat>
    <chartFormat chart="2" format="776">
      <pivotArea type="data" outline="0" fieldPosition="0">
        <references count="2">
          <reference field="4294967294" count="1" selected="0">
            <x v="0"/>
          </reference>
          <reference field="2" count="1" selected="0">
            <x v="13"/>
          </reference>
        </references>
      </pivotArea>
    </chartFormat>
    <chartFormat chart="2" format="777">
      <pivotArea type="data" outline="0" fieldPosition="0">
        <references count="2">
          <reference field="4294967294" count="1" selected="0">
            <x v="0"/>
          </reference>
          <reference field="2" count="1" selected="0">
            <x v="49"/>
          </reference>
        </references>
      </pivotArea>
    </chartFormat>
    <chartFormat chart="2" format="778">
      <pivotArea type="data" outline="0" fieldPosition="0">
        <references count="2">
          <reference field="4294967294" count="1" selected="0">
            <x v="0"/>
          </reference>
          <reference field="2" count="1" selected="0">
            <x v="68"/>
          </reference>
        </references>
      </pivotArea>
    </chartFormat>
    <chartFormat chart="2" format="779">
      <pivotArea type="data" outline="0" fieldPosition="0">
        <references count="2">
          <reference field="4294967294" count="1" selected="0">
            <x v="0"/>
          </reference>
          <reference field="2" count="1" selected="0">
            <x v="22"/>
          </reference>
        </references>
      </pivotArea>
    </chartFormat>
    <chartFormat chart="2" format="780">
      <pivotArea type="data" outline="0" fieldPosition="0">
        <references count="2">
          <reference field="4294967294" count="1" selected="0">
            <x v="0"/>
          </reference>
          <reference field="2" count="1" selected="0">
            <x v="32"/>
          </reference>
        </references>
      </pivotArea>
    </chartFormat>
    <chartFormat chart="2" format="781">
      <pivotArea type="data" outline="0" fieldPosition="0">
        <references count="2">
          <reference field="4294967294" count="1" selected="0">
            <x v="0"/>
          </reference>
          <reference field="2" count="1" selected="0">
            <x v="222"/>
          </reference>
        </references>
      </pivotArea>
    </chartFormat>
    <chartFormat chart="2" format="782">
      <pivotArea type="data" outline="0" fieldPosition="0">
        <references count="2">
          <reference field="4294967294" count="1" selected="0">
            <x v="0"/>
          </reference>
          <reference field="2" count="1" selected="0">
            <x v="6"/>
          </reference>
        </references>
      </pivotArea>
    </chartFormat>
    <chartFormat chart="2" format="783">
      <pivotArea type="data" outline="0" fieldPosition="0">
        <references count="2">
          <reference field="4294967294" count="1" selected="0">
            <x v="0"/>
          </reference>
          <reference field="2" count="1" selected="0">
            <x v="217"/>
          </reference>
        </references>
      </pivotArea>
    </chartFormat>
    <chartFormat chart="2" format="784">
      <pivotArea type="data" outline="0" fieldPosition="0">
        <references count="2">
          <reference field="4294967294" count="1" selected="0">
            <x v="0"/>
          </reference>
          <reference field="2" count="1" selected="0">
            <x v="34"/>
          </reference>
        </references>
      </pivotArea>
    </chartFormat>
    <chartFormat chart="2" format="785">
      <pivotArea type="data" outline="0" fieldPosition="0">
        <references count="2">
          <reference field="4294967294" count="1" selected="0">
            <x v="0"/>
          </reference>
          <reference field="2" count="1" selected="0">
            <x v="51"/>
          </reference>
        </references>
      </pivotArea>
    </chartFormat>
    <chartFormat chart="2" format="786">
      <pivotArea type="data" outline="0" fieldPosition="0">
        <references count="2">
          <reference field="4294967294" count="1" selected="0">
            <x v="0"/>
          </reference>
          <reference field="2" count="1" selected="0">
            <x v="124"/>
          </reference>
        </references>
      </pivotArea>
    </chartFormat>
    <chartFormat chart="2" format="787">
      <pivotArea type="data" outline="0" fieldPosition="0">
        <references count="2">
          <reference field="4294967294" count="1" selected="0">
            <x v="0"/>
          </reference>
          <reference field="2" count="1" selected="0">
            <x v="187"/>
          </reference>
        </references>
      </pivotArea>
    </chartFormat>
    <chartFormat chart="2" format="788">
      <pivotArea type="data" outline="0" fieldPosition="0">
        <references count="2">
          <reference field="4294967294" count="1" selected="0">
            <x v="0"/>
          </reference>
          <reference field="2" count="1" selected="0">
            <x v="129"/>
          </reference>
        </references>
      </pivotArea>
    </chartFormat>
    <chartFormat chart="2" format="789">
      <pivotArea type="data" outline="0" fieldPosition="0">
        <references count="2">
          <reference field="4294967294" count="1" selected="0">
            <x v="0"/>
          </reference>
          <reference field="2" count="1" selected="0">
            <x v="54"/>
          </reference>
        </references>
      </pivotArea>
    </chartFormat>
    <chartFormat chart="2" format="790">
      <pivotArea type="data" outline="0" fieldPosition="0">
        <references count="2">
          <reference field="4294967294" count="1" selected="0">
            <x v="0"/>
          </reference>
          <reference field="2" count="1" selected="0">
            <x v="16"/>
          </reference>
        </references>
      </pivotArea>
    </chartFormat>
    <chartFormat chart="2" format="791">
      <pivotArea type="data" outline="0" fieldPosition="0">
        <references count="2">
          <reference field="4294967294" count="1" selected="0">
            <x v="0"/>
          </reference>
          <reference field="2" count="1" selected="0">
            <x v="58"/>
          </reference>
        </references>
      </pivotArea>
    </chartFormat>
    <chartFormat chart="2" format="792">
      <pivotArea type="data" outline="0" fieldPosition="0">
        <references count="2">
          <reference field="4294967294" count="1" selected="0">
            <x v="0"/>
          </reference>
          <reference field="2" count="1" selected="0">
            <x v="73"/>
          </reference>
        </references>
      </pivotArea>
    </chartFormat>
    <chartFormat chart="2" format="793">
      <pivotArea type="data" outline="0" fieldPosition="0">
        <references count="2">
          <reference field="4294967294" count="1" selected="0">
            <x v="0"/>
          </reference>
          <reference field="2" count="1" selected="0">
            <x v="207"/>
          </reference>
        </references>
      </pivotArea>
    </chartFormat>
    <chartFormat chart="2" format="794">
      <pivotArea type="data" outline="0" fieldPosition="0">
        <references count="2">
          <reference field="4294967294" count="1" selected="0">
            <x v="0"/>
          </reference>
          <reference field="2" count="1" selected="0">
            <x v="134"/>
          </reference>
        </references>
      </pivotArea>
    </chartFormat>
    <chartFormat chart="2" format="795">
      <pivotArea type="data" outline="0" fieldPosition="0">
        <references count="2">
          <reference field="4294967294" count="1" selected="0">
            <x v="0"/>
          </reference>
          <reference field="2" count="1" selected="0">
            <x v="108"/>
          </reference>
        </references>
      </pivotArea>
    </chartFormat>
    <chartFormat chart="2" format="796">
      <pivotArea type="data" outline="0" fieldPosition="0">
        <references count="2">
          <reference field="4294967294" count="1" selected="0">
            <x v="0"/>
          </reference>
          <reference field="2" count="1" selected="0">
            <x v="74"/>
          </reference>
        </references>
      </pivotArea>
    </chartFormat>
    <chartFormat chart="2" format="797">
      <pivotArea type="data" outline="0" fieldPosition="0">
        <references count="2">
          <reference field="4294967294" count="1" selected="0">
            <x v="0"/>
          </reference>
          <reference field="2" count="1" selected="0">
            <x v="88"/>
          </reference>
        </references>
      </pivotArea>
    </chartFormat>
    <chartFormat chart="2" format="798">
      <pivotArea type="data" outline="0" fieldPosition="0">
        <references count="2">
          <reference field="4294967294" count="1" selected="0">
            <x v="0"/>
          </reference>
          <reference field="2" count="1" selected="0">
            <x v="142"/>
          </reference>
        </references>
      </pivotArea>
    </chartFormat>
    <chartFormat chart="2" format="799">
      <pivotArea type="data" outline="0" fieldPosition="0">
        <references count="2">
          <reference field="4294967294" count="1" selected="0">
            <x v="0"/>
          </reference>
          <reference field="2" count="1" selected="0">
            <x v="175"/>
          </reference>
        </references>
      </pivotArea>
    </chartFormat>
    <chartFormat chart="2" format="800">
      <pivotArea type="data" outline="0" fieldPosition="0">
        <references count="2">
          <reference field="4294967294" count="1" selected="0">
            <x v="0"/>
          </reference>
          <reference field="2" count="1" selected="0">
            <x v="39"/>
          </reference>
        </references>
      </pivotArea>
    </chartFormat>
    <chartFormat chart="2" format="801">
      <pivotArea type="data" outline="0" fieldPosition="0">
        <references count="2">
          <reference field="4294967294" count="1" selected="0">
            <x v="0"/>
          </reference>
          <reference field="2" count="1" selected="0">
            <x v="178"/>
          </reference>
        </references>
      </pivotArea>
    </chartFormat>
    <chartFormat chart="2" format="802">
      <pivotArea type="data" outline="0" fieldPosition="0">
        <references count="2">
          <reference field="4294967294" count="1" selected="0">
            <x v="0"/>
          </reference>
          <reference field="2" count="1" selected="0">
            <x v="145"/>
          </reference>
        </references>
      </pivotArea>
    </chartFormat>
    <chartFormat chart="2" format="803">
      <pivotArea type="data" outline="0" fieldPosition="0">
        <references count="2">
          <reference field="4294967294" count="1" selected="0">
            <x v="0"/>
          </reference>
          <reference field="2" count="1" selected="0">
            <x v="184"/>
          </reference>
        </references>
      </pivotArea>
    </chartFormat>
    <chartFormat chart="2" format="804">
      <pivotArea type="data" outline="0" fieldPosition="0">
        <references count="2">
          <reference field="4294967294" count="1" selected="0">
            <x v="0"/>
          </reference>
          <reference field="2" count="1" selected="0">
            <x v="18"/>
          </reference>
        </references>
      </pivotArea>
    </chartFormat>
    <chartFormat chart="2" format="805">
      <pivotArea type="data" outline="0" fieldPosition="0">
        <references count="2">
          <reference field="4294967294" count="1" selected="0">
            <x v="0"/>
          </reference>
          <reference field="2" count="1" selected="0">
            <x v="93"/>
          </reference>
        </references>
      </pivotArea>
    </chartFormat>
    <chartFormat chart="2" format="806">
      <pivotArea type="data" outline="0" fieldPosition="0">
        <references count="2">
          <reference field="4294967294" count="1" selected="0">
            <x v="0"/>
          </reference>
          <reference field="2" count="1" selected="0">
            <x v="80"/>
          </reference>
        </references>
      </pivotArea>
    </chartFormat>
    <chartFormat chart="2" format="807">
      <pivotArea type="data" outline="0" fieldPosition="0">
        <references count="2">
          <reference field="4294967294" count="1" selected="0">
            <x v="0"/>
          </reference>
          <reference field="2" count="1" selected="0">
            <x v="23"/>
          </reference>
        </references>
      </pivotArea>
    </chartFormat>
    <chartFormat chart="2" format="808">
      <pivotArea type="data" outline="0" fieldPosition="0">
        <references count="2">
          <reference field="4294967294" count="1" selected="0">
            <x v="0"/>
          </reference>
          <reference field="2" count="1" selected="0">
            <x v="149"/>
          </reference>
        </references>
      </pivotArea>
    </chartFormat>
    <chartFormat chart="2" format="809">
      <pivotArea type="data" outline="0" fieldPosition="0">
        <references count="2">
          <reference field="4294967294" count="1" selected="0">
            <x v="0"/>
          </reference>
          <reference field="2" count="1" selected="0">
            <x v="99"/>
          </reference>
        </references>
      </pivotArea>
    </chartFormat>
    <chartFormat chart="2" format="810">
      <pivotArea type="data" outline="0" fieldPosition="0">
        <references count="2">
          <reference field="4294967294" count="1" selected="0">
            <x v="0"/>
          </reference>
          <reference field="2" count="1" selected="0">
            <x v="41"/>
          </reference>
        </references>
      </pivotArea>
    </chartFormat>
    <chartFormat chart="2" format="811">
      <pivotArea type="data" outline="0" fieldPosition="0">
        <references count="2">
          <reference field="4294967294" count="1" selected="0">
            <x v="0"/>
          </reference>
          <reference field="2" count="1" selected="0">
            <x v="10"/>
          </reference>
        </references>
      </pivotArea>
    </chartFormat>
    <chartFormat chart="2" format="812">
      <pivotArea type="data" outline="0" fieldPosition="0">
        <references count="2">
          <reference field="4294967294" count="1" selected="0">
            <x v="0"/>
          </reference>
          <reference field="2" count="1" selected="0">
            <x v="151"/>
          </reference>
        </references>
      </pivotArea>
    </chartFormat>
    <chartFormat chart="2" format="813">
      <pivotArea type="data" outline="0" fieldPosition="0">
        <references count="2">
          <reference field="4294967294" count="1" selected="0">
            <x v="0"/>
          </reference>
          <reference field="2" count="1" selected="0">
            <x v="26"/>
          </reference>
        </references>
      </pivotArea>
    </chartFormat>
    <chartFormat chart="2" format="814">
      <pivotArea type="data" outline="0" fieldPosition="0">
        <references count="2">
          <reference field="4294967294" count="1" selected="0">
            <x v="0"/>
          </reference>
          <reference field="2" count="1" selected="0">
            <x v="152"/>
          </reference>
        </references>
      </pivotArea>
    </chartFormat>
    <chartFormat chart="2" format="815">
      <pivotArea type="data" outline="0" fieldPosition="0">
        <references count="2">
          <reference field="4294967294" count="1" selected="0">
            <x v="0"/>
          </reference>
          <reference field="2" count="1" selected="0">
            <x v="205"/>
          </reference>
        </references>
      </pivotArea>
    </chartFormat>
    <chartFormat chart="2" format="816">
      <pivotArea type="data" outline="0" fieldPosition="0">
        <references count="2">
          <reference field="4294967294" count="1" selected="0">
            <x v="0"/>
          </reference>
          <reference field="2" count="1" selected="0">
            <x v="159"/>
          </reference>
        </references>
      </pivotArea>
    </chartFormat>
    <chartFormat chart="2" format="817">
      <pivotArea type="data" outline="0" fieldPosition="0">
        <references count="2">
          <reference field="4294967294" count="1" selected="0">
            <x v="0"/>
          </reference>
          <reference field="2" count="1" selected="0">
            <x v="209"/>
          </reference>
        </references>
      </pivotArea>
    </chartFormat>
    <chartFormat chart="2" format="818">
      <pivotArea type="data" outline="0" fieldPosition="0">
        <references count="2">
          <reference field="4294967294" count="1" selected="0">
            <x v="0"/>
          </reference>
          <reference field="2" count="1" selected="0">
            <x v="19"/>
          </reference>
        </references>
      </pivotArea>
    </chartFormat>
    <chartFormat chart="2" format="819">
      <pivotArea type="data" outline="0" fieldPosition="0">
        <references count="2">
          <reference field="4294967294" count="1" selected="0">
            <x v="0"/>
          </reference>
          <reference field="2" count="1" selected="0">
            <x v="211"/>
          </reference>
        </references>
      </pivotArea>
    </chartFormat>
    <chartFormat chart="2" format="820">
      <pivotArea type="data" outline="0" fieldPosition="0">
        <references count="2">
          <reference field="4294967294" count="1" selected="0">
            <x v="0"/>
          </reference>
          <reference field="2" count="1" selected="0">
            <x v="27"/>
          </reference>
        </references>
      </pivotArea>
    </chartFormat>
    <chartFormat chart="2" format="821">
      <pivotArea type="data" outline="0" fieldPosition="0">
        <references count="2">
          <reference field="4294967294" count="1" selected="0">
            <x v="0"/>
          </reference>
          <reference field="2" count="1" selected="0">
            <x v="216"/>
          </reference>
        </references>
      </pivotArea>
    </chartFormat>
    <chartFormat chart="2" format="822">
      <pivotArea type="data" outline="0" fieldPosition="0">
        <references count="2">
          <reference field="4294967294" count="1" selected="0">
            <x v="0"/>
          </reference>
          <reference field="2" count="1" selected="0">
            <x v="29"/>
          </reference>
        </references>
      </pivotArea>
    </chartFormat>
    <chartFormat chart="2" format="823">
      <pivotArea type="data" outline="0" fieldPosition="0">
        <references count="2">
          <reference field="4294967294" count="1" selected="0">
            <x v="0"/>
          </reference>
          <reference field="2" count="1" selected="0">
            <x v="87"/>
          </reference>
        </references>
      </pivotArea>
    </chartFormat>
    <chartFormat chart="2" format="824">
      <pivotArea type="data" outline="0" fieldPosition="0">
        <references count="2">
          <reference field="4294967294" count="1" selected="0">
            <x v="0"/>
          </reference>
          <reference field="2" count="1" selected="0">
            <x v="5"/>
          </reference>
        </references>
      </pivotArea>
    </chartFormat>
    <chartFormat chart="2" format="825">
      <pivotArea type="data" outline="0" fieldPosition="0">
        <references count="2">
          <reference field="4294967294" count="1" selected="0">
            <x v="0"/>
          </reference>
          <reference field="2" count="1" selected="0">
            <x v="75"/>
          </reference>
        </references>
      </pivotArea>
    </chartFormat>
    <chartFormat chart="2" format="826">
      <pivotArea type="data" outline="0" fieldPosition="0">
        <references count="2">
          <reference field="4294967294" count="1" selected="0">
            <x v="0"/>
          </reference>
          <reference field="2" count="1" selected="0">
            <x v="136"/>
          </reference>
        </references>
      </pivotArea>
    </chartFormat>
    <chartFormat chart="2" format="827">
      <pivotArea type="data" outline="0" fieldPosition="0">
        <references count="2">
          <reference field="4294967294" count="1" selected="0">
            <x v="0"/>
          </reference>
          <reference field="2" count="1" selected="0">
            <x v="135"/>
          </reference>
        </references>
      </pivotArea>
    </chartFormat>
    <chartFormat chart="2" format="828">
      <pivotArea type="data" outline="0" fieldPosition="0">
        <references count="2">
          <reference field="4294967294" count="1" selected="0">
            <x v="0"/>
          </reference>
          <reference field="2" count="1" selected="0">
            <x v="141"/>
          </reference>
        </references>
      </pivotArea>
    </chartFormat>
    <chartFormat chart="2" format="829">
      <pivotArea type="data" outline="0" fieldPosition="0">
        <references count="2">
          <reference field="4294967294" count="1" selected="0">
            <x v="0"/>
          </reference>
          <reference field="2" count="1" selected="0">
            <x v="212"/>
          </reference>
        </references>
      </pivotArea>
    </chartFormat>
    <chartFormat chart="2" format="830">
      <pivotArea type="data" outline="0" fieldPosition="0">
        <references count="2">
          <reference field="4294967294" count="1" selected="0">
            <x v="0"/>
          </reference>
          <reference field="2" count="1" selected="0">
            <x v="180"/>
          </reference>
        </references>
      </pivotArea>
    </chartFormat>
    <chartFormat chart="2" format="831">
      <pivotArea type="data" outline="0" fieldPosition="0">
        <references count="2">
          <reference field="4294967294" count="1" selected="0">
            <x v="0"/>
          </reference>
          <reference field="2" count="1" selected="0">
            <x v="65"/>
          </reference>
        </references>
      </pivotArea>
    </chartFormat>
    <chartFormat chart="2" format="832">
      <pivotArea type="data" outline="0" fieldPosition="0">
        <references count="2">
          <reference field="4294967294" count="1" selected="0">
            <x v="0"/>
          </reference>
          <reference field="2" count="1" selected="0">
            <x v="153"/>
          </reference>
        </references>
      </pivotArea>
    </chartFormat>
    <chartFormat chart="2" format="833">
      <pivotArea type="data" outline="0" fieldPosition="0">
        <references count="2">
          <reference field="4294967294" count="1" selected="0">
            <x v="0"/>
          </reference>
          <reference field="2" count="1" selected="0">
            <x v="147"/>
          </reference>
        </references>
      </pivotArea>
    </chartFormat>
    <chartFormat chart="2" format="834">
      <pivotArea type="data" outline="0" fieldPosition="0">
        <references count="2">
          <reference field="4294967294" count="1" selected="0">
            <x v="0"/>
          </reference>
          <reference field="2" count="1" selected="0">
            <x v="154"/>
          </reference>
        </references>
      </pivotArea>
    </chartFormat>
    <chartFormat chart="2" format="835">
      <pivotArea type="data" outline="0" fieldPosition="0">
        <references count="2">
          <reference field="4294967294" count="1" selected="0">
            <x v="0"/>
          </reference>
          <reference field="2" count="1" selected="0">
            <x v="173"/>
          </reference>
        </references>
      </pivotArea>
    </chartFormat>
    <chartFormat chart="2" format="836">
      <pivotArea type="data" outline="0" fieldPosition="0">
        <references count="2">
          <reference field="4294967294" count="1" selected="0">
            <x v="0"/>
          </reference>
          <reference field="2" count="1" selected="0">
            <x v="42"/>
          </reference>
        </references>
      </pivotArea>
    </chartFormat>
    <chartFormat chart="2" format="837">
      <pivotArea type="data" outline="0" fieldPosition="0">
        <references count="2">
          <reference field="4294967294" count="1" selected="0">
            <x v="0"/>
          </reference>
          <reference field="2" count="1" selected="0">
            <x v="90"/>
          </reference>
        </references>
      </pivotArea>
    </chartFormat>
    <chartFormat chart="2" format="838">
      <pivotArea type="data" outline="0" fieldPosition="0">
        <references count="2">
          <reference field="4294967294" count="1" selected="0">
            <x v="0"/>
          </reference>
          <reference field="2" count="1" selected="0">
            <x v="157"/>
          </reference>
        </references>
      </pivotArea>
    </chartFormat>
    <chartFormat chart="2" format="839">
      <pivotArea type="data" outline="0" fieldPosition="0">
        <references count="2">
          <reference field="4294967294" count="1" selected="0">
            <x v="0"/>
          </reference>
          <reference field="2" count="1" selected="0">
            <x v="59"/>
          </reference>
        </references>
      </pivotArea>
    </chartFormat>
    <chartFormat chart="2" format="840">
      <pivotArea type="data" outline="0" fieldPosition="0">
        <references count="2">
          <reference field="4294967294" count="1" selected="0">
            <x v="0"/>
          </reference>
          <reference field="2" count="1" selected="0">
            <x v="158"/>
          </reference>
        </references>
      </pivotArea>
    </chartFormat>
    <chartFormat chart="2" format="841">
      <pivotArea type="data" outline="0" fieldPosition="0">
        <references count="2">
          <reference field="4294967294" count="1" selected="0">
            <x v="0"/>
          </reference>
          <reference field="2" count="1" selected="0">
            <x v="202"/>
          </reference>
        </references>
      </pivotArea>
    </chartFormat>
    <chartFormat chart="2" format="842">
      <pivotArea type="data" outline="0" fieldPosition="0">
        <references count="2">
          <reference field="4294967294" count="1" selected="0">
            <x v="0"/>
          </reference>
          <reference field="2" count="1" selected="0">
            <x v="12"/>
          </reference>
        </references>
      </pivotArea>
    </chartFormat>
    <chartFormat chart="2" format="843">
      <pivotArea type="data" outline="0" fieldPosition="0">
        <references count="2">
          <reference field="4294967294" count="1" selected="0">
            <x v="0"/>
          </reference>
          <reference field="2" count="1" selected="0">
            <x v="204"/>
          </reference>
        </references>
      </pivotArea>
    </chartFormat>
    <chartFormat chart="2" format="844">
      <pivotArea type="data" outline="0" fieldPosition="0">
        <references count="2">
          <reference field="4294967294" count="1" selected="0">
            <x v="0"/>
          </reference>
          <reference field="2" count="1" selected="0">
            <x v="76"/>
          </reference>
        </references>
      </pivotArea>
    </chartFormat>
    <chartFormat chart="2" format="845">
      <pivotArea type="data" outline="0" fieldPosition="0">
        <references count="2">
          <reference field="4294967294" count="1" selected="0">
            <x v="0"/>
          </reference>
          <reference field="2" count="1" selected="0">
            <x v="206"/>
          </reference>
        </references>
      </pivotArea>
    </chartFormat>
    <chartFormat chart="2" format="846">
      <pivotArea type="data" outline="0" fieldPosition="0">
        <references count="2">
          <reference field="4294967294" count="1" selected="0">
            <x v="0"/>
          </reference>
          <reference field="2" count="1" selected="0">
            <x v="7"/>
          </reference>
        </references>
      </pivotArea>
    </chartFormat>
    <chartFormat chart="2" format="847">
      <pivotArea type="data" outline="0" fieldPosition="0">
        <references count="2">
          <reference field="4294967294" count="1" selected="0">
            <x v="0"/>
          </reference>
          <reference field="2" count="1" selected="0">
            <x v="172"/>
          </reference>
        </references>
      </pivotArea>
    </chartFormat>
    <chartFormat chart="2" format="848">
      <pivotArea type="data" outline="0" fieldPosition="0">
        <references count="2">
          <reference field="4294967294" count="1" selected="0">
            <x v="0"/>
          </reference>
          <reference field="2" count="1" selected="0">
            <x v="1"/>
          </reference>
        </references>
      </pivotArea>
    </chartFormat>
    <chartFormat chart="2" format="849">
      <pivotArea type="data" outline="0" fieldPosition="0">
        <references count="2">
          <reference field="4294967294" count="1" selected="0">
            <x v="0"/>
          </reference>
          <reference field="2" count="1" selected="0">
            <x v="174"/>
          </reference>
        </references>
      </pivotArea>
    </chartFormat>
    <chartFormat chart="2" format="850">
      <pivotArea type="data" outline="0" fieldPosition="0">
        <references count="2">
          <reference field="4294967294" count="1" selected="0">
            <x v="0"/>
          </reference>
          <reference field="2" count="1" selected="0">
            <x v="8"/>
          </reference>
        </references>
      </pivotArea>
    </chartFormat>
    <chartFormat chart="2" format="851">
      <pivotArea type="data" outline="0" fieldPosition="0">
        <references count="2">
          <reference field="4294967294" count="1" selected="0">
            <x v="0"/>
          </reference>
          <reference field="2" count="1" selected="0">
            <x v="131"/>
          </reference>
        </references>
      </pivotArea>
    </chartFormat>
    <chartFormat chart="2" format="852">
      <pivotArea type="data" outline="0" fieldPosition="0">
        <references count="2">
          <reference field="4294967294" count="1" selected="0">
            <x v="0"/>
          </reference>
          <reference field="2" count="1" selected="0">
            <x v="197"/>
          </reference>
        </references>
      </pivotArea>
    </chartFormat>
    <chartFormat chart="2" format="853">
      <pivotArea type="data" outline="0" fieldPosition="0">
        <references count="2">
          <reference field="4294967294" count="1" selected="0">
            <x v="0"/>
          </reference>
          <reference field="2" count="1" selected="0">
            <x v="138"/>
          </reference>
        </references>
      </pivotArea>
    </chartFormat>
    <chartFormat chart="2" format="854">
      <pivotArea type="data" outline="0" fieldPosition="0">
        <references count="2">
          <reference field="4294967294" count="1" selected="0">
            <x v="0"/>
          </reference>
          <reference field="2" count="1" selected="0">
            <x v="57"/>
          </reference>
        </references>
      </pivotArea>
    </chartFormat>
    <chartFormat chart="2" format="855">
      <pivotArea type="data" outline="0" fieldPosition="0">
        <references count="2">
          <reference field="4294967294" count="1" selected="0">
            <x v="0"/>
          </reference>
          <reference field="2" count="1" selected="0">
            <x v="126"/>
          </reference>
        </references>
      </pivotArea>
    </chartFormat>
    <chartFormat chart="2" format="856">
      <pivotArea type="data" outline="0" fieldPosition="0">
        <references count="2">
          <reference field="4294967294" count="1" selected="0">
            <x v="0"/>
          </reference>
          <reference field="2" count="1" selected="0">
            <x v="48"/>
          </reference>
        </references>
      </pivotArea>
    </chartFormat>
    <chartFormat chart="2" format="857">
      <pivotArea type="data" outline="0" fieldPosition="0">
        <references count="2">
          <reference field="4294967294" count="1" selected="0">
            <x v="0"/>
          </reference>
          <reference field="2" count="1" selected="0">
            <x v="165"/>
          </reference>
        </references>
      </pivotArea>
    </chartFormat>
    <chartFormat chart="2" format="858">
      <pivotArea type="data" outline="0" fieldPosition="0">
        <references count="2">
          <reference field="4294967294" count="1" selected="0">
            <x v="0"/>
          </reference>
          <reference field="2" count="1" selected="0">
            <x v="107"/>
          </reference>
        </references>
      </pivotArea>
    </chartFormat>
    <chartFormat chart="2" format="859">
      <pivotArea type="data" outline="0" fieldPosition="0">
        <references count="2">
          <reference field="4294967294" count="1" selected="0">
            <x v="0"/>
          </reference>
          <reference field="2" count="1" selected="0">
            <x v="213"/>
          </reference>
        </references>
      </pivotArea>
    </chartFormat>
    <chartFormat chart="2" format="860">
      <pivotArea type="data" outline="0" fieldPosition="0">
        <references count="2">
          <reference field="4294967294" count="1" selected="0">
            <x v="0"/>
          </reference>
          <reference field="2" count="1" selected="0">
            <x v="17"/>
          </reference>
        </references>
      </pivotArea>
    </chartFormat>
    <chartFormat chart="2" format="861">
      <pivotArea type="data" outline="0" fieldPosition="0">
        <references count="2">
          <reference field="4294967294" count="1" selected="0">
            <x v="0"/>
          </reference>
          <reference field="2" count="1" selected="0">
            <x v="95"/>
          </reference>
        </references>
      </pivotArea>
    </chartFormat>
    <chartFormat chart="2" format="862">
      <pivotArea type="data" outline="0" fieldPosition="0">
        <references count="2">
          <reference field="4294967294" count="1" selected="0">
            <x v="0"/>
          </reference>
          <reference field="2" count="1" selected="0">
            <x v="121"/>
          </reference>
        </references>
      </pivotArea>
    </chartFormat>
    <chartFormat chart="2" format="863">
      <pivotArea type="data" outline="0" fieldPosition="0">
        <references count="2">
          <reference field="4294967294" count="1" selected="0">
            <x v="0"/>
          </reference>
          <reference field="2" count="1" selected="0">
            <x v="130"/>
          </reference>
        </references>
      </pivotArea>
    </chartFormat>
    <chartFormat chart="2" format="864">
      <pivotArea type="data" outline="0" fieldPosition="0">
        <references count="2">
          <reference field="4294967294" count="1" selected="0">
            <x v="0"/>
          </reference>
          <reference field="2" count="1" selected="0">
            <x v="46"/>
          </reference>
        </references>
      </pivotArea>
    </chartFormat>
    <chartFormat chart="2" format="865">
      <pivotArea type="data" outline="0" fieldPosition="0">
        <references count="2">
          <reference field="4294967294" count="1" selected="0">
            <x v="0"/>
          </reference>
          <reference field="2" count="1" selected="0">
            <x v="167"/>
          </reference>
        </references>
      </pivotArea>
    </chartFormat>
    <chartFormat chart="2" format="866">
      <pivotArea type="data" outline="0" fieldPosition="0">
        <references count="2">
          <reference field="4294967294" count="1" selected="0">
            <x v="0"/>
          </reference>
          <reference field="2" count="1" selected="0">
            <x v="139"/>
          </reference>
        </references>
      </pivotArea>
    </chartFormat>
    <chartFormat chart="2" format="867">
      <pivotArea type="data" outline="0" fieldPosition="0">
        <references count="2">
          <reference field="4294967294" count="1" selected="0">
            <x v="0"/>
          </reference>
          <reference field="2" count="1" selected="0">
            <x v="14"/>
          </reference>
        </references>
      </pivotArea>
    </chartFormat>
    <chartFormat chart="2" format="868">
      <pivotArea type="data" outline="0" fieldPosition="0">
        <references count="2">
          <reference field="4294967294" count="1" selected="0">
            <x v="0"/>
          </reference>
          <reference field="2" count="1" selected="0">
            <x v="109"/>
          </reference>
        </references>
      </pivotArea>
    </chartFormat>
    <chartFormat chart="2" format="869">
      <pivotArea type="data" outline="0" fieldPosition="0">
        <references count="2">
          <reference field="4294967294" count="1" selected="0">
            <x v="0"/>
          </reference>
          <reference field="2" count="1" selected="0">
            <x v="188"/>
          </reference>
        </references>
      </pivotArea>
    </chartFormat>
    <chartFormat chart="2" format="870">
      <pivotArea type="data" outline="0" fieldPosition="0">
        <references count="2">
          <reference field="4294967294" count="1" selected="0">
            <x v="0"/>
          </reference>
          <reference field="2" count="1" selected="0">
            <x v="36"/>
          </reference>
        </references>
      </pivotArea>
    </chartFormat>
    <chartFormat chart="2" format="871">
      <pivotArea type="data" outline="0" fieldPosition="0">
        <references count="2">
          <reference field="4294967294" count="1" selected="0">
            <x v="0"/>
          </reference>
          <reference field="2" count="1" selected="0">
            <x v="164"/>
          </reference>
        </references>
      </pivotArea>
    </chartFormat>
    <chartFormat chart="2" format="872">
      <pivotArea type="data" outline="0" fieldPosition="0">
        <references count="2">
          <reference field="4294967294" count="1" selected="0">
            <x v="0"/>
          </reference>
          <reference field="2" count="1" selected="0">
            <x v="101"/>
          </reference>
        </references>
      </pivotArea>
    </chartFormat>
    <chartFormat chart="2" format="873">
      <pivotArea type="data" outline="0" fieldPosition="0">
        <references count="2">
          <reference field="4294967294" count="1" selected="0">
            <x v="0"/>
          </reference>
          <reference field="2" count="1" selected="0">
            <x v="37"/>
          </reference>
        </references>
      </pivotArea>
    </chartFormat>
    <chartFormat chart="2" format="874">
      <pivotArea type="data" outline="0" fieldPosition="0">
        <references count="2">
          <reference field="4294967294" count="1" selected="0">
            <x v="0"/>
          </reference>
          <reference field="2" count="1" selected="0">
            <x v="127"/>
          </reference>
        </references>
      </pivotArea>
    </chartFormat>
    <chartFormat chart="2" format="875">
      <pivotArea type="data" outline="0" fieldPosition="0">
        <references count="2">
          <reference field="4294967294" count="1" selected="0">
            <x v="0"/>
          </reference>
          <reference field="2" count="1" selected="0">
            <x v="43"/>
          </reference>
        </references>
      </pivotArea>
    </chartFormat>
    <chartFormat chart="2" format="876">
      <pivotArea type="data" outline="0" fieldPosition="0">
        <references count="2">
          <reference field="4294967294" count="1" selected="0">
            <x v="0"/>
          </reference>
          <reference field="2" count="1" selected="0">
            <x v="182"/>
          </reference>
        </references>
      </pivotArea>
    </chartFormat>
    <chartFormat chart="2" format="877">
      <pivotArea type="data" outline="0" fieldPosition="0">
        <references count="2">
          <reference field="4294967294" count="1" selected="0">
            <x v="0"/>
          </reference>
          <reference field="2" count="1" selected="0">
            <x v="219"/>
          </reference>
        </references>
      </pivotArea>
    </chartFormat>
    <chartFormat chart="2" format="878">
      <pivotArea type="data" outline="0" fieldPosition="0">
        <references count="2">
          <reference field="4294967294" count="1" selected="0">
            <x v="0"/>
          </reference>
          <reference field="2" count="1" selected="0">
            <x v="128"/>
          </reference>
        </references>
      </pivotArea>
    </chartFormat>
    <chartFormat chart="2" format="879">
      <pivotArea type="data" outline="0" fieldPosition="0">
        <references count="2">
          <reference field="4294967294" count="1" selected="0">
            <x v="0"/>
          </reference>
          <reference field="2" count="1" selected="0">
            <x v="97"/>
          </reference>
        </references>
      </pivotArea>
    </chartFormat>
    <chartFormat chart="2" format="880">
      <pivotArea type="data" outline="0" fieldPosition="0">
        <references count="2">
          <reference field="4294967294" count="1" selected="0">
            <x v="0"/>
          </reference>
          <reference field="2" count="1" selected="0">
            <x v="186"/>
          </reference>
        </references>
      </pivotArea>
    </chartFormat>
    <chartFormat chart="2" format="881">
      <pivotArea type="data" outline="0" fieldPosition="0">
        <references count="2">
          <reference field="4294967294" count="1" selected="0">
            <x v="0"/>
          </reference>
          <reference field="2" count="1" selected="0">
            <x v="113"/>
          </reference>
        </references>
      </pivotArea>
    </chartFormat>
    <chartFormat chart="2" format="882">
      <pivotArea type="data" outline="0" fieldPosition="0">
        <references count="2">
          <reference field="4294967294" count="1" selected="0">
            <x v="0"/>
          </reference>
          <reference field="2" count="1" selected="0">
            <x v="111"/>
          </reference>
        </references>
      </pivotArea>
    </chartFormat>
    <chartFormat chart="2" format="883">
      <pivotArea type="data" outline="0" fieldPosition="0">
        <references count="2">
          <reference field="4294967294" count="1" selected="0">
            <x v="0"/>
          </reference>
          <reference field="2" count="1" selected="0">
            <x v="110"/>
          </reference>
        </references>
      </pivotArea>
    </chartFormat>
    <chartFormat chart="2" format="884">
      <pivotArea type="data" outline="0" fieldPosition="0">
        <references count="2">
          <reference field="4294967294" count="1" selected="0">
            <x v="0"/>
          </reference>
          <reference field="2" count="1" selected="0">
            <x v="4"/>
          </reference>
        </references>
      </pivotArea>
    </chartFormat>
    <chartFormat chart="2" format="885">
      <pivotArea type="data" outline="0" fieldPosition="0">
        <references count="2">
          <reference field="4294967294" count="1" selected="0">
            <x v="0"/>
          </reference>
          <reference field="2" count="1" selected="0">
            <x v="38"/>
          </reference>
        </references>
      </pivotArea>
    </chartFormat>
    <chartFormat chart="2" format="886">
      <pivotArea type="data" outline="0" fieldPosition="0">
        <references count="2">
          <reference field="4294967294" count="1" selected="0">
            <x v="0"/>
          </reference>
          <reference field="2" count="1" selected="0">
            <x v="208"/>
          </reference>
        </references>
      </pivotArea>
    </chartFormat>
    <chartFormat chart="2" format="887">
      <pivotArea type="data" outline="0" fieldPosition="0">
        <references count="2">
          <reference field="4294967294" count="1" selected="0">
            <x v="0"/>
          </reference>
          <reference field="2" count="1" selected="0">
            <x v="156"/>
          </reference>
        </references>
      </pivotArea>
    </chartFormat>
    <chartFormat chart="2" format="888">
      <pivotArea type="data" outline="0" fieldPosition="0">
        <references count="2">
          <reference field="4294967294" count="1" selected="0">
            <x v="0"/>
          </reference>
          <reference field="2" count="1" selected="0">
            <x v="125"/>
          </reference>
        </references>
      </pivotArea>
    </chartFormat>
    <chartFormat chart="2" format="889">
      <pivotArea type="data" outline="0" fieldPosition="0">
        <references count="2">
          <reference field="4294967294" count="1" selected="0">
            <x v="0"/>
          </reference>
          <reference field="2" count="1" selected="0">
            <x v="185"/>
          </reference>
        </references>
      </pivotArea>
    </chartFormat>
    <chartFormat chart="2" format="890">
      <pivotArea type="data" outline="0" fieldPosition="0">
        <references count="2">
          <reference field="4294967294" count="1" selected="0">
            <x v="0"/>
          </reference>
          <reference field="2" count="1" selected="0">
            <x v="181"/>
          </reference>
        </references>
      </pivotArea>
    </chartFormat>
    <chartFormat chart="2" format="891">
      <pivotArea type="data" outline="0" fieldPosition="0">
        <references count="2">
          <reference field="4294967294" count="1" selected="0">
            <x v="0"/>
          </reference>
          <reference field="2" count="1" selected="0">
            <x v="78"/>
          </reference>
        </references>
      </pivotArea>
    </chartFormat>
    <chartFormat chart="2" format="892">
      <pivotArea type="data" outline="0" fieldPosition="0">
        <references count="2">
          <reference field="4294967294" count="1" selected="0">
            <x v="0"/>
          </reference>
          <reference field="2" count="1" selected="0">
            <x v="50"/>
          </reference>
        </references>
      </pivotArea>
    </chartFormat>
    <chartFormat chart="2" format="893">
      <pivotArea type="data" outline="0" fieldPosition="0">
        <references count="2">
          <reference field="4294967294" count="1" selected="0">
            <x v="0"/>
          </reference>
          <reference field="2" count="1" selected="0">
            <x v="116"/>
          </reference>
        </references>
      </pivotArea>
    </chartFormat>
    <chartFormat chart="2" format="894">
      <pivotArea type="data" outline="0" fieldPosition="0">
        <references count="2">
          <reference field="4294967294" count="1" selected="0">
            <x v="0"/>
          </reference>
          <reference field="2" count="1" selected="0">
            <x v="183"/>
          </reference>
        </references>
      </pivotArea>
    </chartFormat>
    <chartFormat chart="2" format="895">
      <pivotArea type="data" outline="0" fieldPosition="0">
        <references count="2">
          <reference field="4294967294" count="1" selected="0">
            <x v="0"/>
          </reference>
          <reference field="2" count="1" selected="0">
            <x v="166"/>
          </reference>
        </references>
      </pivotArea>
    </chartFormat>
    <chartFormat chart="2" format="896">
      <pivotArea type="data" outline="0" fieldPosition="0">
        <references count="2">
          <reference field="4294967294" count="1" selected="0">
            <x v="0"/>
          </reference>
          <reference field="2" count="1" selected="0">
            <x v="60"/>
          </reference>
        </references>
      </pivotArea>
    </chartFormat>
    <chartFormat chart="2" format="897">
      <pivotArea type="data" outline="0" fieldPosition="0">
        <references count="2">
          <reference field="4294967294" count="1" selected="0">
            <x v="0"/>
          </reference>
          <reference field="2" count="1" selected="0">
            <x v="168"/>
          </reference>
        </references>
      </pivotArea>
    </chartFormat>
    <chartFormat chart="2" format="898">
      <pivotArea type="data" outline="0" fieldPosition="0">
        <references count="2">
          <reference field="4294967294" count="1" selected="0">
            <x v="0"/>
          </reference>
          <reference field="2" count="1" selected="0">
            <x v="214"/>
          </reference>
        </references>
      </pivotArea>
    </chartFormat>
    <chartFormat chart="2" format="899" series="1">
      <pivotArea type="data" outline="0" fieldPosition="0">
        <references count="1">
          <reference field="4294967294" count="1" selected="0">
            <x v="1"/>
          </reference>
        </references>
      </pivotArea>
    </chartFormat>
    <chartFormat chart="2" format="900">
      <pivotArea type="data" outline="0" fieldPosition="0">
        <references count="2">
          <reference field="4294967294" count="1" selected="0">
            <x v="1"/>
          </reference>
          <reference field="2" count="1" selected="0">
            <x v="117"/>
          </reference>
        </references>
      </pivotArea>
    </chartFormat>
    <chartFormat chart="2" format="901">
      <pivotArea type="data" outline="0" fieldPosition="0">
        <references count="2">
          <reference field="4294967294" count="1" selected="0">
            <x v="1"/>
          </reference>
          <reference field="2" count="1" selected="0">
            <x v="143"/>
          </reference>
        </references>
      </pivotArea>
    </chartFormat>
    <chartFormat chart="2" format="902">
      <pivotArea type="data" outline="0" fieldPosition="0">
        <references count="2">
          <reference field="4294967294" count="1" selected="0">
            <x v="1"/>
          </reference>
          <reference field="2" count="1" selected="0">
            <x v="11"/>
          </reference>
        </references>
      </pivotArea>
    </chartFormat>
    <chartFormat chart="2" format="903">
      <pivotArea type="data" outline="0" fieldPosition="0">
        <references count="2">
          <reference field="4294967294" count="1" selected="0">
            <x v="1"/>
          </reference>
          <reference field="2" count="1" selected="0">
            <x v="2"/>
          </reference>
        </references>
      </pivotArea>
    </chartFormat>
    <chartFormat chart="2" format="904">
      <pivotArea type="data" outline="0" fieldPosition="0">
        <references count="2">
          <reference field="4294967294" count="1" selected="0">
            <x v="1"/>
          </reference>
          <reference field="2" count="1" selected="0">
            <x v="61"/>
          </reference>
        </references>
      </pivotArea>
    </chartFormat>
    <chartFormat chart="2" format="905">
      <pivotArea type="data" outline="0" fieldPosition="0">
        <references count="2">
          <reference field="4294967294" count="1" selected="0">
            <x v="1"/>
          </reference>
          <reference field="2" count="1" selected="0">
            <x v="63"/>
          </reference>
        </references>
      </pivotArea>
    </chartFormat>
    <chartFormat chart="2" format="906">
      <pivotArea type="data" outline="0" fieldPosition="0">
        <references count="2">
          <reference field="4294967294" count="1" selected="0">
            <x v="1"/>
          </reference>
          <reference field="2" count="1" selected="0">
            <x v="132"/>
          </reference>
        </references>
      </pivotArea>
    </chartFormat>
    <chartFormat chart="2" format="907">
      <pivotArea type="data" outline="0" fieldPosition="0">
        <references count="2">
          <reference field="4294967294" count="1" selected="0">
            <x v="1"/>
          </reference>
          <reference field="2" count="1" selected="0">
            <x v="196"/>
          </reference>
        </references>
      </pivotArea>
    </chartFormat>
    <chartFormat chart="2" format="908">
      <pivotArea type="data" outline="0" fieldPosition="0">
        <references count="2">
          <reference field="4294967294" count="1" selected="0">
            <x v="1"/>
          </reference>
          <reference field="2" count="1" selected="0">
            <x v="137"/>
          </reference>
        </references>
      </pivotArea>
    </chartFormat>
    <chartFormat chart="2" format="909">
      <pivotArea type="data" outline="0" fieldPosition="0">
        <references count="2">
          <reference field="4294967294" count="1" selected="0">
            <x v="1"/>
          </reference>
          <reference field="2" count="1" selected="0">
            <x v="62"/>
          </reference>
        </references>
      </pivotArea>
    </chartFormat>
    <chartFormat chart="2" format="910">
      <pivotArea type="data" outline="0" fieldPosition="0">
        <references count="2">
          <reference field="4294967294" count="1" selected="0">
            <x v="1"/>
          </reference>
          <reference field="2" count="1" selected="0">
            <x v="89"/>
          </reference>
        </references>
      </pivotArea>
    </chartFormat>
    <chartFormat chart="2" format="911">
      <pivotArea type="data" outline="0" fieldPosition="0">
        <references count="2">
          <reference field="4294967294" count="1" selected="0">
            <x v="1"/>
          </reference>
          <reference field="2" count="1" selected="0">
            <x v="105"/>
          </reference>
        </references>
      </pivotArea>
    </chartFormat>
    <chartFormat chart="2" format="912">
      <pivotArea type="data" outline="0" fieldPosition="0">
        <references count="2">
          <reference field="4294967294" count="1" selected="0">
            <x v="1"/>
          </reference>
          <reference field="2" count="1" selected="0">
            <x v="3"/>
          </reference>
        </references>
      </pivotArea>
    </chartFormat>
    <chartFormat chart="2" format="913">
      <pivotArea type="data" outline="0" fieldPosition="0">
        <references count="2">
          <reference field="4294967294" count="1" selected="0">
            <x v="1"/>
          </reference>
          <reference field="2" count="1" selected="0">
            <x v="30"/>
          </reference>
        </references>
      </pivotArea>
    </chartFormat>
    <chartFormat chart="2" format="914">
      <pivotArea type="data" outline="0" fieldPosition="0">
        <references count="2">
          <reference field="4294967294" count="1" selected="0">
            <x v="1"/>
          </reference>
          <reference field="2" count="1" selected="0">
            <x v="83"/>
          </reference>
        </references>
      </pivotArea>
    </chartFormat>
    <chartFormat chart="2" format="915">
      <pivotArea type="data" outline="0" fieldPosition="0">
        <references count="2">
          <reference field="4294967294" count="1" selected="0">
            <x v="1"/>
          </reference>
          <reference field="2" count="1" selected="0">
            <x v="114"/>
          </reference>
        </references>
      </pivotArea>
    </chartFormat>
    <chartFormat chart="2" format="916">
      <pivotArea type="data" outline="0" fieldPosition="0">
        <references count="2">
          <reference field="4294967294" count="1" selected="0">
            <x v="1"/>
          </reference>
          <reference field="2" count="1" selected="0">
            <x v="192"/>
          </reference>
        </references>
      </pivotArea>
    </chartFormat>
    <chartFormat chart="2" format="917">
      <pivotArea type="data" outline="0" fieldPosition="0">
        <references count="2">
          <reference field="4294967294" count="1" selected="0">
            <x v="1"/>
          </reference>
          <reference field="2" count="1" selected="0">
            <x v="15"/>
          </reference>
        </references>
      </pivotArea>
    </chartFormat>
    <chartFormat chart="2" format="918">
      <pivotArea type="data" outline="0" fieldPosition="0">
        <references count="2">
          <reference field="4294967294" count="1" selected="0">
            <x v="1"/>
          </reference>
          <reference field="2" count="1" selected="0">
            <x v="33"/>
          </reference>
        </references>
      </pivotArea>
    </chartFormat>
    <chartFormat chart="2" format="919">
      <pivotArea type="data" outline="0" fieldPosition="0">
        <references count="2">
          <reference field="4294967294" count="1" selected="0">
            <x v="1"/>
          </reference>
          <reference field="2" count="1" selected="0">
            <x v="198"/>
          </reference>
        </references>
      </pivotArea>
    </chartFormat>
    <chartFormat chart="2" format="920">
      <pivotArea type="data" outline="0" fieldPosition="0">
        <references count="2">
          <reference field="4294967294" count="1" selected="0">
            <x v="1"/>
          </reference>
          <reference field="2" count="1" selected="0">
            <x v="98"/>
          </reference>
        </references>
      </pivotArea>
    </chartFormat>
    <chartFormat chart="2" format="921">
      <pivotArea type="data" outline="0" fieldPosition="0">
        <references count="2">
          <reference field="4294967294" count="1" selected="0">
            <x v="1"/>
          </reference>
          <reference field="2" count="1" selected="0">
            <x v="67"/>
          </reference>
        </references>
      </pivotArea>
    </chartFormat>
    <chartFormat chart="2" format="922">
      <pivotArea type="data" outline="0" fieldPosition="0">
        <references count="2">
          <reference field="4294967294" count="1" selected="0">
            <x v="1"/>
          </reference>
          <reference field="2" count="1" selected="0">
            <x v="148"/>
          </reference>
        </references>
      </pivotArea>
    </chartFormat>
    <chartFormat chart="2" format="923">
      <pivotArea type="data" outline="0" fieldPosition="0">
        <references count="2">
          <reference field="4294967294" count="1" selected="0">
            <x v="1"/>
          </reference>
          <reference field="2" count="1" selected="0">
            <x v="25"/>
          </reference>
        </references>
      </pivotArea>
    </chartFormat>
    <chartFormat chart="2" format="924">
      <pivotArea type="data" outline="0" fieldPosition="0">
        <references count="2">
          <reference field="4294967294" count="1" selected="0">
            <x v="1"/>
          </reference>
          <reference field="2" count="1" selected="0">
            <x v="81"/>
          </reference>
        </references>
      </pivotArea>
    </chartFormat>
    <chartFormat chart="2" format="925">
      <pivotArea type="data" outline="0" fieldPosition="0">
        <references count="2">
          <reference field="4294967294" count="1" selected="0">
            <x v="1"/>
          </reference>
          <reference field="2" count="1" selected="0">
            <x v="177"/>
          </reference>
        </references>
      </pivotArea>
    </chartFormat>
    <chartFormat chart="2" format="926">
      <pivotArea type="data" outline="0" fieldPosition="0">
        <references count="2">
          <reference field="4294967294" count="1" selected="0">
            <x v="1"/>
          </reference>
          <reference field="2" count="1" selected="0">
            <x v="35"/>
          </reference>
        </references>
      </pivotArea>
    </chartFormat>
    <chartFormat chart="2" format="927">
      <pivotArea type="data" outline="0" fieldPosition="0">
        <references count="2">
          <reference field="4294967294" count="1" selected="0">
            <x v="1"/>
          </reference>
          <reference field="2" count="1" selected="0">
            <x v="119"/>
          </reference>
        </references>
      </pivotArea>
    </chartFormat>
    <chartFormat chart="2" format="928">
      <pivotArea type="data" outline="0" fieldPosition="0">
        <references count="2">
          <reference field="4294967294" count="1" selected="0">
            <x v="1"/>
          </reference>
          <reference field="2" count="1" selected="0">
            <x v="91"/>
          </reference>
        </references>
      </pivotArea>
    </chartFormat>
    <chartFormat chart="2" format="929">
      <pivotArea type="data" outline="0" fieldPosition="0">
        <references count="2">
          <reference field="4294967294" count="1" selected="0">
            <x v="1"/>
          </reference>
          <reference field="2" count="1" selected="0">
            <x v="9"/>
          </reference>
        </references>
      </pivotArea>
    </chartFormat>
    <chartFormat chart="2" format="930">
      <pivotArea type="data" outline="0" fieldPosition="0">
        <references count="2">
          <reference field="4294967294" count="1" selected="0">
            <x v="1"/>
          </reference>
          <reference field="2" count="1" selected="0">
            <x v="103"/>
          </reference>
        </references>
      </pivotArea>
    </chartFormat>
    <chartFormat chart="2" format="931">
      <pivotArea type="data" outline="0" fieldPosition="0">
        <references count="2">
          <reference field="4294967294" count="1" selected="0">
            <x v="1"/>
          </reference>
          <reference field="2" count="1" selected="0">
            <x v="170"/>
          </reference>
        </references>
      </pivotArea>
    </chartFormat>
    <chartFormat chart="2" format="932">
      <pivotArea type="data" outline="0" fieldPosition="0">
        <references count="2">
          <reference field="4294967294" count="1" selected="0">
            <x v="1"/>
          </reference>
          <reference field="2" count="1" selected="0">
            <x v="40"/>
          </reference>
        </references>
      </pivotArea>
    </chartFormat>
    <chartFormat chart="2" format="933">
      <pivotArea type="data" outline="0" fieldPosition="0">
        <references count="2">
          <reference field="4294967294" count="1" selected="0">
            <x v="1"/>
          </reference>
          <reference field="2" count="1" selected="0">
            <x v="66"/>
          </reference>
        </references>
      </pivotArea>
    </chartFormat>
    <chartFormat chart="2" format="934">
      <pivotArea type="data" outline="0" fieldPosition="0">
        <references count="2">
          <reference field="4294967294" count="1" selected="0">
            <x v="1"/>
          </reference>
          <reference field="2" count="1" selected="0">
            <x v="106"/>
          </reference>
        </references>
      </pivotArea>
    </chartFormat>
    <chartFormat chart="2" format="935">
      <pivotArea type="data" outline="0" fieldPosition="0">
        <references count="2">
          <reference field="4294967294" count="1" selected="0">
            <x v="1"/>
          </reference>
          <reference field="2" count="1" selected="0">
            <x v="201"/>
          </reference>
        </references>
      </pivotArea>
    </chartFormat>
    <chartFormat chart="2" format="936">
      <pivotArea type="data" outline="0" fieldPosition="0">
        <references count="2">
          <reference field="4294967294" count="1" selected="0">
            <x v="1"/>
          </reference>
          <reference field="2" count="1" selected="0">
            <x v="47"/>
          </reference>
        </references>
      </pivotArea>
    </chartFormat>
    <chartFormat chart="2" format="937">
      <pivotArea type="data" outline="0" fieldPosition="0">
        <references count="2">
          <reference field="4294967294" count="1" selected="0">
            <x v="1"/>
          </reference>
          <reference field="2" count="1" selected="0">
            <x v="123"/>
          </reference>
        </references>
      </pivotArea>
    </chartFormat>
    <chartFormat chart="2" format="938">
      <pivotArea type="data" outline="0" fieldPosition="0">
        <references count="2">
          <reference field="4294967294" count="1" selected="0">
            <x v="1"/>
          </reference>
          <reference field="2" count="1" selected="0">
            <x v="64"/>
          </reference>
        </references>
      </pivotArea>
    </chartFormat>
    <chartFormat chart="2" format="939">
      <pivotArea type="data" outline="0" fieldPosition="0">
        <references count="2">
          <reference field="4294967294" count="1" selected="0">
            <x v="1"/>
          </reference>
          <reference field="2" count="1" selected="0">
            <x v="82"/>
          </reference>
        </references>
      </pivotArea>
    </chartFormat>
    <chartFormat chart="2" format="940">
      <pivotArea type="data" outline="0" fieldPosition="0">
        <references count="2">
          <reference field="4294967294" count="1" selected="0">
            <x v="1"/>
          </reference>
          <reference field="2" count="1" selected="0">
            <x v="52"/>
          </reference>
        </references>
      </pivotArea>
    </chartFormat>
    <chartFormat chart="2" format="941">
      <pivotArea type="data" outline="0" fieldPosition="0">
        <references count="2">
          <reference field="4294967294" count="1" selected="0">
            <x v="1"/>
          </reference>
          <reference field="2" count="1" selected="0">
            <x v="70"/>
          </reference>
        </references>
      </pivotArea>
    </chartFormat>
    <chartFormat chart="2" format="942">
      <pivotArea type="data" outline="0" fieldPosition="0">
        <references count="2">
          <reference field="4294967294" count="1" selected="0">
            <x v="1"/>
          </reference>
          <reference field="2" count="1" selected="0">
            <x v="179"/>
          </reference>
        </references>
      </pivotArea>
    </chartFormat>
    <chartFormat chart="2" format="943">
      <pivotArea type="data" outline="0" fieldPosition="0">
        <references count="2">
          <reference field="4294967294" count="1" selected="0">
            <x v="1"/>
          </reference>
          <reference field="2" count="1" selected="0">
            <x v="100"/>
          </reference>
        </references>
      </pivotArea>
    </chartFormat>
    <chartFormat chart="2" format="944">
      <pivotArea type="data" outline="0" fieldPosition="0">
        <references count="2">
          <reference field="4294967294" count="1" selected="0">
            <x v="1"/>
          </reference>
          <reference field="2" count="1" selected="0">
            <x v="195"/>
          </reference>
        </references>
      </pivotArea>
    </chartFormat>
    <chartFormat chart="2" format="945">
      <pivotArea type="data" outline="0" fieldPosition="0">
        <references count="2">
          <reference field="4294967294" count="1" selected="0">
            <x v="1"/>
          </reference>
          <reference field="2" count="1" selected="0">
            <x v="24"/>
          </reference>
        </references>
      </pivotArea>
    </chartFormat>
    <chartFormat chart="2" format="946">
      <pivotArea type="data" outline="0" fieldPosition="0">
        <references count="2">
          <reference field="4294967294" count="1" selected="0">
            <x v="1"/>
          </reference>
          <reference field="2" count="1" selected="0">
            <x v="215"/>
          </reference>
        </references>
      </pivotArea>
    </chartFormat>
    <chartFormat chart="2" format="947">
      <pivotArea type="data" outline="0" fieldPosition="0">
        <references count="2">
          <reference field="4294967294" count="1" selected="0">
            <x v="1"/>
          </reference>
          <reference field="2" count="1" selected="0">
            <x v="31"/>
          </reference>
        </references>
      </pivotArea>
    </chartFormat>
    <chartFormat chart="2" format="948">
      <pivotArea type="data" outline="0" fieldPosition="0">
        <references count="2">
          <reference field="4294967294" count="1" selected="0">
            <x v="1"/>
          </reference>
          <reference field="2" count="1" selected="0">
            <x v="94"/>
          </reference>
        </references>
      </pivotArea>
    </chartFormat>
    <chartFormat chart="2" format="949">
      <pivotArea type="data" outline="0" fieldPosition="0">
        <references count="2">
          <reference field="4294967294" count="1" selected="0">
            <x v="1"/>
          </reference>
          <reference field="2" count="1" selected="0">
            <x v="144"/>
          </reference>
        </references>
      </pivotArea>
    </chartFormat>
    <chartFormat chart="2" format="950">
      <pivotArea type="data" outline="0" fieldPosition="0">
        <references count="2">
          <reference field="4294967294" count="1" selected="0">
            <x v="1"/>
          </reference>
          <reference field="2" count="1" selected="0">
            <x v="189"/>
          </reference>
        </references>
      </pivotArea>
    </chartFormat>
    <chartFormat chart="2" format="951">
      <pivotArea type="data" outline="0" fieldPosition="0">
        <references count="2">
          <reference field="4294967294" count="1" selected="0">
            <x v="1"/>
          </reference>
          <reference field="2" count="1" selected="0">
            <x v="146"/>
          </reference>
        </references>
      </pivotArea>
    </chartFormat>
    <chartFormat chart="2" format="952">
      <pivotArea type="data" outline="0" fieldPosition="0">
        <references count="2">
          <reference field="4294967294" count="1" selected="0">
            <x v="1"/>
          </reference>
          <reference field="2" count="1" selected="0">
            <x v="193"/>
          </reference>
        </references>
      </pivotArea>
    </chartFormat>
    <chartFormat chart="2" format="953">
      <pivotArea type="data" outline="0" fieldPosition="0">
        <references count="2">
          <reference field="4294967294" count="1" selected="0">
            <x v="1"/>
          </reference>
          <reference field="2" count="1" selected="0">
            <x v="77"/>
          </reference>
        </references>
      </pivotArea>
    </chartFormat>
    <chartFormat chart="2" format="954">
      <pivotArea type="data" outline="0" fieldPosition="0">
        <references count="2">
          <reference field="4294967294" count="1" selected="0">
            <x v="1"/>
          </reference>
          <reference field="2" count="1" selected="0">
            <x v="115"/>
          </reference>
        </references>
      </pivotArea>
    </chartFormat>
    <chartFormat chart="2" format="955">
      <pivotArea type="data" outline="0" fieldPosition="0">
        <references count="2">
          <reference field="4294967294" count="1" selected="0">
            <x v="1"/>
          </reference>
          <reference field="2" count="1" selected="0">
            <x v="150"/>
          </reference>
        </references>
      </pivotArea>
    </chartFormat>
    <chartFormat chart="2" format="956">
      <pivotArea type="data" outline="0" fieldPosition="0">
        <references count="2">
          <reference field="4294967294" count="1" selected="0">
            <x v="1"/>
          </reference>
          <reference field="2" count="1" selected="0">
            <x v="118"/>
          </reference>
        </references>
      </pivotArea>
    </chartFormat>
    <chartFormat chart="2" format="957">
      <pivotArea type="data" outline="0" fieldPosition="0">
        <references count="2">
          <reference field="4294967294" count="1" selected="0">
            <x v="1"/>
          </reference>
          <reference field="2" count="1" selected="0">
            <x v="161"/>
          </reference>
        </references>
      </pivotArea>
    </chartFormat>
    <chartFormat chart="2" format="958">
      <pivotArea type="data" outline="0" fieldPosition="0">
        <references count="2">
          <reference field="4294967294" count="1" selected="0">
            <x v="1"/>
          </reference>
          <reference field="2" count="1" selected="0">
            <x v="162"/>
          </reference>
        </references>
      </pivotArea>
    </chartFormat>
    <chartFormat chart="2" format="959">
      <pivotArea type="data" outline="0" fieldPosition="0">
        <references count="2">
          <reference field="4294967294" count="1" selected="0">
            <x v="1"/>
          </reference>
          <reference field="2" count="1" selected="0">
            <x v="102"/>
          </reference>
        </references>
      </pivotArea>
    </chartFormat>
    <chartFormat chart="2" format="960">
      <pivotArea type="data" outline="0" fieldPosition="0">
        <references count="2">
          <reference field="4294967294" count="1" selected="0">
            <x v="1"/>
          </reference>
          <reference field="2" count="1" selected="0">
            <x v="200"/>
          </reference>
        </references>
      </pivotArea>
    </chartFormat>
    <chartFormat chart="2" format="961">
      <pivotArea type="data" outline="0" fieldPosition="0">
        <references count="2">
          <reference field="4294967294" count="1" selected="0">
            <x v="1"/>
          </reference>
          <reference field="2" count="1" selected="0">
            <x v="190"/>
          </reference>
        </references>
      </pivotArea>
    </chartFormat>
    <chartFormat chart="2" format="962">
      <pivotArea type="data" outline="0" fieldPosition="0">
        <references count="2">
          <reference field="4294967294" count="1" selected="0">
            <x v="1"/>
          </reference>
          <reference field="2" count="1" selected="0">
            <x v="176"/>
          </reference>
        </references>
      </pivotArea>
    </chartFormat>
    <chartFormat chart="2" format="963">
      <pivotArea type="data" outline="0" fieldPosition="0">
        <references count="2">
          <reference field="4294967294" count="1" selected="0">
            <x v="1"/>
          </reference>
          <reference field="2" count="1" selected="0">
            <x v="85"/>
          </reference>
        </references>
      </pivotArea>
    </chartFormat>
    <chartFormat chart="2" format="964">
      <pivotArea type="data" outline="0" fieldPosition="0">
        <references count="2">
          <reference field="4294967294" count="1" selected="0">
            <x v="1"/>
          </reference>
          <reference field="2" count="1" selected="0">
            <x v="21"/>
          </reference>
        </references>
      </pivotArea>
    </chartFormat>
    <chartFormat chart="2" format="965">
      <pivotArea type="data" outline="0" fieldPosition="0">
        <references count="2">
          <reference field="4294967294" count="1" selected="0">
            <x v="1"/>
          </reference>
          <reference field="2" count="1" selected="0">
            <x v="86"/>
          </reference>
        </references>
      </pivotArea>
    </chartFormat>
    <chartFormat chart="2" format="966">
      <pivotArea type="data" outline="0" fieldPosition="0">
        <references count="2">
          <reference field="4294967294" count="1" selected="0">
            <x v="1"/>
          </reference>
          <reference field="2" count="1" selected="0">
            <x v="218"/>
          </reference>
        </references>
      </pivotArea>
    </chartFormat>
    <chartFormat chart="2" format="967">
      <pivotArea type="data" outline="0" fieldPosition="0">
        <references count="2">
          <reference field="4294967294" count="1" selected="0">
            <x v="1"/>
          </reference>
          <reference field="2" count="1" selected="0">
            <x v="133"/>
          </reference>
        </references>
      </pivotArea>
    </chartFormat>
    <chartFormat chart="2" format="968">
      <pivotArea type="data" outline="0" fieldPosition="0">
        <references count="2">
          <reference field="4294967294" count="1" selected="0">
            <x v="1"/>
          </reference>
          <reference field="2" count="1" selected="0">
            <x v="56"/>
          </reference>
        </references>
      </pivotArea>
    </chartFormat>
    <chartFormat chart="2" format="969">
      <pivotArea type="data" outline="0" fieldPosition="0">
        <references count="2">
          <reference field="4294967294" count="1" selected="0">
            <x v="1"/>
          </reference>
          <reference field="2" count="1" selected="0">
            <x v="28"/>
          </reference>
        </references>
      </pivotArea>
    </chartFormat>
    <chartFormat chart="2" format="970">
      <pivotArea type="data" outline="0" fieldPosition="0">
        <references count="2">
          <reference field="4294967294" count="1" selected="0">
            <x v="1"/>
          </reference>
          <reference field="2" count="1" selected="0">
            <x v="112"/>
          </reference>
        </references>
      </pivotArea>
    </chartFormat>
    <chartFormat chart="2" format="971">
      <pivotArea type="data" outline="0" fieldPosition="0">
        <references count="2">
          <reference field="4294967294" count="1" selected="0">
            <x v="1"/>
          </reference>
          <reference field="2" count="1" selected="0">
            <x v="140"/>
          </reference>
        </references>
      </pivotArea>
    </chartFormat>
    <chartFormat chart="2" format="972">
      <pivotArea type="data" outline="0" fieldPosition="0">
        <references count="2">
          <reference field="4294967294" count="1" selected="0">
            <x v="1"/>
          </reference>
          <reference field="2" count="1" selected="0">
            <x v="45"/>
          </reference>
        </references>
      </pivotArea>
    </chartFormat>
    <chartFormat chart="2" format="973">
      <pivotArea type="data" outline="0" fieldPosition="0">
        <references count="2">
          <reference field="4294967294" count="1" selected="0">
            <x v="1"/>
          </reference>
          <reference field="2" count="1" selected="0">
            <x v="20"/>
          </reference>
        </references>
      </pivotArea>
    </chartFormat>
    <chartFormat chart="2" format="974">
      <pivotArea type="data" outline="0" fieldPosition="0">
        <references count="2">
          <reference field="4294967294" count="1" selected="0">
            <x v="1"/>
          </reference>
          <reference field="2" count="1" selected="0">
            <x v="203"/>
          </reference>
        </references>
      </pivotArea>
    </chartFormat>
    <chartFormat chart="2" format="975">
      <pivotArea type="data" outline="0" fieldPosition="0">
        <references count="2">
          <reference field="4294967294" count="1" selected="0">
            <x v="1"/>
          </reference>
          <reference field="2" count="1" selected="0">
            <x v="53"/>
          </reference>
        </references>
      </pivotArea>
    </chartFormat>
    <chartFormat chart="2" format="976">
      <pivotArea type="data" outline="0" fieldPosition="0">
        <references count="2">
          <reference field="4294967294" count="1" selected="0">
            <x v="1"/>
          </reference>
          <reference field="2" count="1" selected="0">
            <x v="171"/>
          </reference>
        </references>
      </pivotArea>
    </chartFormat>
    <chartFormat chart="2" format="977">
      <pivotArea type="data" outline="0" fieldPosition="0">
        <references count="2">
          <reference field="4294967294" count="1" selected="0">
            <x v="1"/>
          </reference>
          <reference field="2" count="1" selected="0">
            <x v="96"/>
          </reference>
        </references>
      </pivotArea>
    </chartFormat>
    <chartFormat chart="2" format="978">
      <pivotArea type="data" outline="0" fieldPosition="0">
        <references count="2">
          <reference field="4294967294" count="1" selected="0">
            <x v="1"/>
          </reference>
          <reference field="2" count="1" selected="0">
            <x v="72"/>
          </reference>
        </references>
      </pivotArea>
    </chartFormat>
    <chartFormat chart="2" format="979">
      <pivotArea type="data" outline="0" fieldPosition="0">
        <references count="2">
          <reference field="4294967294" count="1" selected="0">
            <x v="1"/>
          </reference>
          <reference field="2" count="1" selected="0">
            <x v="69"/>
          </reference>
        </references>
      </pivotArea>
    </chartFormat>
    <chartFormat chart="2" format="980">
      <pivotArea type="data" outline="0" fieldPosition="0">
        <references count="2">
          <reference field="4294967294" count="1" selected="0">
            <x v="1"/>
          </reference>
          <reference field="2" count="1" selected="0">
            <x v="0"/>
          </reference>
        </references>
      </pivotArea>
    </chartFormat>
    <chartFormat chart="2" format="981">
      <pivotArea type="data" outline="0" fieldPosition="0">
        <references count="2">
          <reference field="4294967294" count="1" selected="0">
            <x v="1"/>
          </reference>
          <reference field="2" count="1" selected="0">
            <x v="55"/>
          </reference>
        </references>
      </pivotArea>
    </chartFormat>
    <chartFormat chart="2" format="982">
      <pivotArea type="data" outline="0" fieldPosition="0">
        <references count="2">
          <reference field="4294967294" count="1" selected="0">
            <x v="1"/>
          </reference>
          <reference field="2" count="1" selected="0">
            <x v="191"/>
          </reference>
        </references>
      </pivotArea>
    </chartFormat>
    <chartFormat chart="2" format="983">
      <pivotArea type="data" outline="0" fieldPosition="0">
        <references count="2">
          <reference field="4294967294" count="1" selected="0">
            <x v="1"/>
          </reference>
          <reference field="2" count="1" selected="0">
            <x v="155"/>
          </reference>
        </references>
      </pivotArea>
    </chartFormat>
    <chartFormat chart="2" format="984">
      <pivotArea type="data" outline="0" fieldPosition="0">
        <references count="2">
          <reference field="4294967294" count="1" selected="0">
            <x v="1"/>
          </reference>
          <reference field="2" count="1" selected="0">
            <x v="79"/>
          </reference>
        </references>
      </pivotArea>
    </chartFormat>
    <chartFormat chart="2" format="985">
      <pivotArea type="data" outline="0" fieldPosition="0">
        <references count="2">
          <reference field="4294967294" count="1" selected="0">
            <x v="1"/>
          </reference>
          <reference field="2" count="1" selected="0">
            <x v="160"/>
          </reference>
        </references>
      </pivotArea>
    </chartFormat>
    <chartFormat chart="2" format="986">
      <pivotArea type="data" outline="0" fieldPosition="0">
        <references count="2">
          <reference field="4294967294" count="1" selected="0">
            <x v="1"/>
          </reference>
          <reference field="2" count="1" selected="0">
            <x v="44"/>
          </reference>
        </references>
      </pivotArea>
    </chartFormat>
    <chartFormat chart="2" format="987">
      <pivotArea type="data" outline="0" fieldPosition="0">
        <references count="2">
          <reference field="4294967294" count="1" selected="0">
            <x v="1"/>
          </reference>
          <reference field="2" count="1" selected="0">
            <x v="220"/>
          </reference>
        </references>
      </pivotArea>
    </chartFormat>
    <chartFormat chart="2" format="988">
      <pivotArea type="data" outline="0" fieldPosition="0">
        <references count="2">
          <reference field="4294967294" count="1" selected="0">
            <x v="1"/>
          </reference>
          <reference field="2" count="1" selected="0">
            <x v="199"/>
          </reference>
        </references>
      </pivotArea>
    </chartFormat>
    <chartFormat chart="2" format="989">
      <pivotArea type="data" outline="0" fieldPosition="0">
        <references count="2">
          <reference field="4294967294" count="1" selected="0">
            <x v="1"/>
          </reference>
          <reference field="2" count="1" selected="0">
            <x v="71"/>
          </reference>
        </references>
      </pivotArea>
    </chartFormat>
    <chartFormat chart="2" format="990">
      <pivotArea type="data" outline="0" fieldPosition="0">
        <references count="2">
          <reference field="4294967294" count="1" selected="0">
            <x v="1"/>
          </reference>
          <reference field="2" count="1" selected="0">
            <x v="84"/>
          </reference>
        </references>
      </pivotArea>
    </chartFormat>
    <chartFormat chart="2" format="991">
      <pivotArea type="data" outline="0" fieldPosition="0">
        <references count="2">
          <reference field="4294967294" count="1" selected="0">
            <x v="1"/>
          </reference>
          <reference field="2" count="1" selected="0">
            <x v="163"/>
          </reference>
        </references>
      </pivotArea>
    </chartFormat>
    <chartFormat chart="2" format="992">
      <pivotArea type="data" outline="0" fieldPosition="0">
        <references count="2">
          <reference field="4294967294" count="1" selected="0">
            <x v="1"/>
          </reference>
          <reference field="2" count="1" selected="0">
            <x v="120"/>
          </reference>
        </references>
      </pivotArea>
    </chartFormat>
    <chartFormat chart="2" format="993">
      <pivotArea type="data" outline="0" fieldPosition="0">
        <references count="2">
          <reference field="4294967294" count="1" selected="0">
            <x v="1"/>
          </reference>
          <reference field="2" count="1" selected="0">
            <x v="169"/>
          </reference>
        </references>
      </pivotArea>
    </chartFormat>
    <chartFormat chart="2" format="994">
      <pivotArea type="data" outline="0" fieldPosition="0">
        <references count="2">
          <reference field="4294967294" count="1" selected="0">
            <x v="1"/>
          </reference>
          <reference field="2" count="1" selected="0">
            <x v="122"/>
          </reference>
        </references>
      </pivotArea>
    </chartFormat>
    <chartFormat chart="2" format="995">
      <pivotArea type="data" outline="0" fieldPosition="0">
        <references count="2">
          <reference field="4294967294" count="1" selected="0">
            <x v="1"/>
          </reference>
          <reference field="2" count="1" selected="0">
            <x v="221"/>
          </reference>
        </references>
      </pivotArea>
    </chartFormat>
    <chartFormat chart="2" format="996">
      <pivotArea type="data" outline="0" fieldPosition="0">
        <references count="2">
          <reference field="4294967294" count="1" selected="0">
            <x v="1"/>
          </reference>
          <reference field="2" count="1" selected="0">
            <x v="104"/>
          </reference>
        </references>
      </pivotArea>
    </chartFormat>
    <chartFormat chart="2" format="997">
      <pivotArea type="data" outline="0" fieldPosition="0">
        <references count="2">
          <reference field="4294967294" count="1" selected="0">
            <x v="1"/>
          </reference>
          <reference field="2" count="1" selected="0">
            <x v="92"/>
          </reference>
        </references>
      </pivotArea>
    </chartFormat>
    <chartFormat chart="2" format="998">
      <pivotArea type="data" outline="0" fieldPosition="0">
        <references count="2">
          <reference field="4294967294" count="1" selected="0">
            <x v="1"/>
          </reference>
          <reference field="2" count="1" selected="0">
            <x v="210"/>
          </reference>
        </references>
      </pivotArea>
    </chartFormat>
    <chartFormat chart="2" format="999">
      <pivotArea type="data" outline="0" fieldPosition="0">
        <references count="2">
          <reference field="4294967294" count="1" selected="0">
            <x v="1"/>
          </reference>
          <reference field="2" count="1" selected="0">
            <x v="194"/>
          </reference>
        </references>
      </pivotArea>
    </chartFormat>
    <chartFormat chart="2" format="1000">
      <pivotArea type="data" outline="0" fieldPosition="0">
        <references count="2">
          <reference field="4294967294" count="1" selected="0">
            <x v="1"/>
          </reference>
          <reference field="2" count="1" selected="0">
            <x v="13"/>
          </reference>
        </references>
      </pivotArea>
    </chartFormat>
    <chartFormat chart="2" format="1001">
      <pivotArea type="data" outline="0" fieldPosition="0">
        <references count="2">
          <reference field="4294967294" count="1" selected="0">
            <x v="1"/>
          </reference>
          <reference field="2" count="1" selected="0">
            <x v="49"/>
          </reference>
        </references>
      </pivotArea>
    </chartFormat>
    <chartFormat chart="2" format="1002">
      <pivotArea type="data" outline="0" fieldPosition="0">
        <references count="2">
          <reference field="4294967294" count="1" selected="0">
            <x v="1"/>
          </reference>
          <reference field="2" count="1" selected="0">
            <x v="68"/>
          </reference>
        </references>
      </pivotArea>
    </chartFormat>
    <chartFormat chart="2" format="1003">
      <pivotArea type="data" outline="0" fieldPosition="0">
        <references count="2">
          <reference field="4294967294" count="1" selected="0">
            <x v="1"/>
          </reference>
          <reference field="2" count="1" selected="0">
            <x v="22"/>
          </reference>
        </references>
      </pivotArea>
    </chartFormat>
    <chartFormat chart="2" format="1004">
      <pivotArea type="data" outline="0" fieldPosition="0">
        <references count="2">
          <reference field="4294967294" count="1" selected="0">
            <x v="1"/>
          </reference>
          <reference field="2" count="1" selected="0">
            <x v="32"/>
          </reference>
        </references>
      </pivotArea>
    </chartFormat>
    <chartFormat chart="2" format="1005">
      <pivotArea type="data" outline="0" fieldPosition="0">
        <references count="2">
          <reference field="4294967294" count="1" selected="0">
            <x v="1"/>
          </reference>
          <reference field="2" count="1" selected="0">
            <x v="222"/>
          </reference>
        </references>
      </pivotArea>
    </chartFormat>
    <chartFormat chart="2" format="1006">
      <pivotArea type="data" outline="0" fieldPosition="0">
        <references count="2">
          <reference field="4294967294" count="1" selected="0">
            <x v="1"/>
          </reference>
          <reference field="2" count="1" selected="0">
            <x v="6"/>
          </reference>
        </references>
      </pivotArea>
    </chartFormat>
    <chartFormat chart="2" format="1007">
      <pivotArea type="data" outline="0" fieldPosition="0">
        <references count="2">
          <reference field="4294967294" count="1" selected="0">
            <x v="1"/>
          </reference>
          <reference field="2" count="1" selected="0">
            <x v="217"/>
          </reference>
        </references>
      </pivotArea>
    </chartFormat>
    <chartFormat chart="2" format="1008">
      <pivotArea type="data" outline="0" fieldPosition="0">
        <references count="2">
          <reference field="4294967294" count="1" selected="0">
            <x v="1"/>
          </reference>
          <reference field="2" count="1" selected="0">
            <x v="34"/>
          </reference>
        </references>
      </pivotArea>
    </chartFormat>
    <chartFormat chart="2" format="1009">
      <pivotArea type="data" outline="0" fieldPosition="0">
        <references count="2">
          <reference field="4294967294" count="1" selected="0">
            <x v="1"/>
          </reference>
          <reference field="2" count="1" selected="0">
            <x v="51"/>
          </reference>
        </references>
      </pivotArea>
    </chartFormat>
    <chartFormat chart="2" format="1010">
      <pivotArea type="data" outline="0" fieldPosition="0">
        <references count="2">
          <reference field="4294967294" count="1" selected="0">
            <x v="1"/>
          </reference>
          <reference field="2" count="1" selected="0">
            <x v="124"/>
          </reference>
        </references>
      </pivotArea>
    </chartFormat>
    <chartFormat chart="2" format="1011">
      <pivotArea type="data" outline="0" fieldPosition="0">
        <references count="2">
          <reference field="4294967294" count="1" selected="0">
            <x v="1"/>
          </reference>
          <reference field="2" count="1" selected="0">
            <x v="187"/>
          </reference>
        </references>
      </pivotArea>
    </chartFormat>
    <chartFormat chart="2" format="1012">
      <pivotArea type="data" outline="0" fieldPosition="0">
        <references count="2">
          <reference field="4294967294" count="1" selected="0">
            <x v="1"/>
          </reference>
          <reference field="2" count="1" selected="0">
            <x v="129"/>
          </reference>
        </references>
      </pivotArea>
    </chartFormat>
    <chartFormat chart="2" format="1013">
      <pivotArea type="data" outline="0" fieldPosition="0">
        <references count="2">
          <reference field="4294967294" count="1" selected="0">
            <x v="1"/>
          </reference>
          <reference field="2" count="1" selected="0">
            <x v="54"/>
          </reference>
        </references>
      </pivotArea>
    </chartFormat>
    <chartFormat chart="2" format="1014">
      <pivotArea type="data" outline="0" fieldPosition="0">
        <references count="2">
          <reference field="4294967294" count="1" selected="0">
            <x v="1"/>
          </reference>
          <reference field="2" count="1" selected="0">
            <x v="16"/>
          </reference>
        </references>
      </pivotArea>
    </chartFormat>
    <chartFormat chart="2" format="1015">
      <pivotArea type="data" outline="0" fieldPosition="0">
        <references count="2">
          <reference field="4294967294" count="1" selected="0">
            <x v="1"/>
          </reference>
          <reference field="2" count="1" selected="0">
            <x v="58"/>
          </reference>
        </references>
      </pivotArea>
    </chartFormat>
    <chartFormat chart="2" format="1016">
      <pivotArea type="data" outline="0" fieldPosition="0">
        <references count="2">
          <reference field="4294967294" count="1" selected="0">
            <x v="1"/>
          </reference>
          <reference field="2" count="1" selected="0">
            <x v="73"/>
          </reference>
        </references>
      </pivotArea>
    </chartFormat>
    <chartFormat chart="2" format="1017">
      <pivotArea type="data" outline="0" fieldPosition="0">
        <references count="2">
          <reference field="4294967294" count="1" selected="0">
            <x v="1"/>
          </reference>
          <reference field="2" count="1" selected="0">
            <x v="207"/>
          </reference>
        </references>
      </pivotArea>
    </chartFormat>
    <chartFormat chart="2" format="1018">
      <pivotArea type="data" outline="0" fieldPosition="0">
        <references count="2">
          <reference field="4294967294" count="1" selected="0">
            <x v="1"/>
          </reference>
          <reference field="2" count="1" selected="0">
            <x v="134"/>
          </reference>
        </references>
      </pivotArea>
    </chartFormat>
    <chartFormat chart="2" format="1019">
      <pivotArea type="data" outline="0" fieldPosition="0">
        <references count="2">
          <reference field="4294967294" count="1" selected="0">
            <x v="1"/>
          </reference>
          <reference field="2" count="1" selected="0">
            <x v="108"/>
          </reference>
        </references>
      </pivotArea>
    </chartFormat>
    <chartFormat chart="2" format="1020">
      <pivotArea type="data" outline="0" fieldPosition="0">
        <references count="2">
          <reference field="4294967294" count="1" selected="0">
            <x v="1"/>
          </reference>
          <reference field="2" count="1" selected="0">
            <x v="74"/>
          </reference>
        </references>
      </pivotArea>
    </chartFormat>
    <chartFormat chart="2" format="1021">
      <pivotArea type="data" outline="0" fieldPosition="0">
        <references count="2">
          <reference field="4294967294" count="1" selected="0">
            <x v="1"/>
          </reference>
          <reference field="2" count="1" selected="0">
            <x v="88"/>
          </reference>
        </references>
      </pivotArea>
    </chartFormat>
    <chartFormat chart="2" format="1022">
      <pivotArea type="data" outline="0" fieldPosition="0">
        <references count="2">
          <reference field="4294967294" count="1" selected="0">
            <x v="1"/>
          </reference>
          <reference field="2" count="1" selected="0">
            <x v="142"/>
          </reference>
        </references>
      </pivotArea>
    </chartFormat>
    <chartFormat chart="2" format="1023">
      <pivotArea type="data" outline="0" fieldPosition="0">
        <references count="2">
          <reference field="4294967294" count="1" selected="0">
            <x v="1"/>
          </reference>
          <reference field="2" count="1" selected="0">
            <x v="175"/>
          </reference>
        </references>
      </pivotArea>
    </chartFormat>
    <chartFormat chart="2" format="1024">
      <pivotArea type="data" outline="0" fieldPosition="0">
        <references count="2">
          <reference field="4294967294" count="1" selected="0">
            <x v="1"/>
          </reference>
          <reference field="2" count="1" selected="0">
            <x v="39"/>
          </reference>
        </references>
      </pivotArea>
    </chartFormat>
    <chartFormat chart="2" format="1025">
      <pivotArea type="data" outline="0" fieldPosition="0">
        <references count="2">
          <reference field="4294967294" count="1" selected="0">
            <x v="1"/>
          </reference>
          <reference field="2" count="1" selected="0">
            <x v="178"/>
          </reference>
        </references>
      </pivotArea>
    </chartFormat>
    <chartFormat chart="2" format="1026">
      <pivotArea type="data" outline="0" fieldPosition="0">
        <references count="2">
          <reference field="4294967294" count="1" selected="0">
            <x v="1"/>
          </reference>
          <reference field="2" count="1" selected="0">
            <x v="145"/>
          </reference>
        </references>
      </pivotArea>
    </chartFormat>
    <chartFormat chart="2" format="1027">
      <pivotArea type="data" outline="0" fieldPosition="0">
        <references count="2">
          <reference field="4294967294" count="1" selected="0">
            <x v="1"/>
          </reference>
          <reference field="2" count="1" selected="0">
            <x v="184"/>
          </reference>
        </references>
      </pivotArea>
    </chartFormat>
    <chartFormat chart="2" format="1028">
      <pivotArea type="data" outline="0" fieldPosition="0">
        <references count="2">
          <reference field="4294967294" count="1" selected="0">
            <x v="1"/>
          </reference>
          <reference field="2" count="1" selected="0">
            <x v="18"/>
          </reference>
        </references>
      </pivotArea>
    </chartFormat>
    <chartFormat chart="2" format="1029">
      <pivotArea type="data" outline="0" fieldPosition="0">
        <references count="2">
          <reference field="4294967294" count="1" selected="0">
            <x v="1"/>
          </reference>
          <reference field="2" count="1" selected="0">
            <x v="93"/>
          </reference>
        </references>
      </pivotArea>
    </chartFormat>
    <chartFormat chart="2" format="1030">
      <pivotArea type="data" outline="0" fieldPosition="0">
        <references count="2">
          <reference field="4294967294" count="1" selected="0">
            <x v="1"/>
          </reference>
          <reference field="2" count="1" selected="0">
            <x v="80"/>
          </reference>
        </references>
      </pivotArea>
    </chartFormat>
    <chartFormat chart="2" format="1031">
      <pivotArea type="data" outline="0" fieldPosition="0">
        <references count="2">
          <reference field="4294967294" count="1" selected="0">
            <x v="1"/>
          </reference>
          <reference field="2" count="1" selected="0">
            <x v="23"/>
          </reference>
        </references>
      </pivotArea>
    </chartFormat>
    <chartFormat chart="2" format="1032">
      <pivotArea type="data" outline="0" fieldPosition="0">
        <references count="2">
          <reference field="4294967294" count="1" selected="0">
            <x v="1"/>
          </reference>
          <reference field="2" count="1" selected="0">
            <x v="149"/>
          </reference>
        </references>
      </pivotArea>
    </chartFormat>
    <chartFormat chart="2" format="1033">
      <pivotArea type="data" outline="0" fieldPosition="0">
        <references count="2">
          <reference field="4294967294" count="1" selected="0">
            <x v="1"/>
          </reference>
          <reference field="2" count="1" selected="0">
            <x v="99"/>
          </reference>
        </references>
      </pivotArea>
    </chartFormat>
    <chartFormat chart="2" format="1034">
      <pivotArea type="data" outline="0" fieldPosition="0">
        <references count="2">
          <reference field="4294967294" count="1" selected="0">
            <x v="1"/>
          </reference>
          <reference field="2" count="1" selected="0">
            <x v="41"/>
          </reference>
        </references>
      </pivotArea>
    </chartFormat>
    <chartFormat chart="2" format="1035">
      <pivotArea type="data" outline="0" fieldPosition="0">
        <references count="2">
          <reference field="4294967294" count="1" selected="0">
            <x v="1"/>
          </reference>
          <reference field="2" count="1" selected="0">
            <x v="10"/>
          </reference>
        </references>
      </pivotArea>
    </chartFormat>
    <chartFormat chart="2" format="1036">
      <pivotArea type="data" outline="0" fieldPosition="0">
        <references count="2">
          <reference field="4294967294" count="1" selected="0">
            <x v="1"/>
          </reference>
          <reference field="2" count="1" selected="0">
            <x v="151"/>
          </reference>
        </references>
      </pivotArea>
    </chartFormat>
    <chartFormat chart="2" format="1037">
      <pivotArea type="data" outline="0" fieldPosition="0">
        <references count="2">
          <reference field="4294967294" count="1" selected="0">
            <x v="1"/>
          </reference>
          <reference field="2" count="1" selected="0">
            <x v="26"/>
          </reference>
        </references>
      </pivotArea>
    </chartFormat>
    <chartFormat chart="2" format="1038">
      <pivotArea type="data" outline="0" fieldPosition="0">
        <references count="2">
          <reference field="4294967294" count="1" selected="0">
            <x v="1"/>
          </reference>
          <reference field="2" count="1" selected="0">
            <x v="152"/>
          </reference>
        </references>
      </pivotArea>
    </chartFormat>
    <chartFormat chart="2" format="1039">
      <pivotArea type="data" outline="0" fieldPosition="0">
        <references count="2">
          <reference field="4294967294" count="1" selected="0">
            <x v="1"/>
          </reference>
          <reference field="2" count="1" selected="0">
            <x v="205"/>
          </reference>
        </references>
      </pivotArea>
    </chartFormat>
    <chartFormat chart="2" format="1040">
      <pivotArea type="data" outline="0" fieldPosition="0">
        <references count="2">
          <reference field="4294967294" count="1" selected="0">
            <x v="1"/>
          </reference>
          <reference field="2" count="1" selected="0">
            <x v="159"/>
          </reference>
        </references>
      </pivotArea>
    </chartFormat>
    <chartFormat chart="2" format="1041">
      <pivotArea type="data" outline="0" fieldPosition="0">
        <references count="2">
          <reference field="4294967294" count="1" selected="0">
            <x v="1"/>
          </reference>
          <reference field="2" count="1" selected="0">
            <x v="209"/>
          </reference>
        </references>
      </pivotArea>
    </chartFormat>
    <chartFormat chart="2" format="1042">
      <pivotArea type="data" outline="0" fieldPosition="0">
        <references count="2">
          <reference field="4294967294" count="1" selected="0">
            <x v="1"/>
          </reference>
          <reference field="2" count="1" selected="0">
            <x v="19"/>
          </reference>
        </references>
      </pivotArea>
    </chartFormat>
    <chartFormat chart="2" format="1043">
      <pivotArea type="data" outline="0" fieldPosition="0">
        <references count="2">
          <reference field="4294967294" count="1" selected="0">
            <x v="1"/>
          </reference>
          <reference field="2" count="1" selected="0">
            <x v="211"/>
          </reference>
        </references>
      </pivotArea>
    </chartFormat>
    <chartFormat chart="2" format="1044">
      <pivotArea type="data" outline="0" fieldPosition="0">
        <references count="2">
          <reference field="4294967294" count="1" selected="0">
            <x v="1"/>
          </reference>
          <reference field="2" count="1" selected="0">
            <x v="27"/>
          </reference>
        </references>
      </pivotArea>
    </chartFormat>
    <chartFormat chart="2" format="1045">
      <pivotArea type="data" outline="0" fieldPosition="0">
        <references count="2">
          <reference field="4294967294" count="1" selected="0">
            <x v="1"/>
          </reference>
          <reference field="2" count="1" selected="0">
            <x v="216"/>
          </reference>
        </references>
      </pivotArea>
    </chartFormat>
    <chartFormat chart="2" format="1046">
      <pivotArea type="data" outline="0" fieldPosition="0">
        <references count="2">
          <reference field="4294967294" count="1" selected="0">
            <x v="1"/>
          </reference>
          <reference field="2" count="1" selected="0">
            <x v="29"/>
          </reference>
        </references>
      </pivotArea>
    </chartFormat>
    <chartFormat chart="2" format="1047">
      <pivotArea type="data" outline="0" fieldPosition="0">
        <references count="2">
          <reference field="4294967294" count="1" selected="0">
            <x v="1"/>
          </reference>
          <reference field="2" count="1" selected="0">
            <x v="87"/>
          </reference>
        </references>
      </pivotArea>
    </chartFormat>
    <chartFormat chart="2" format="1048">
      <pivotArea type="data" outline="0" fieldPosition="0">
        <references count="2">
          <reference field="4294967294" count="1" selected="0">
            <x v="1"/>
          </reference>
          <reference field="2" count="1" selected="0">
            <x v="5"/>
          </reference>
        </references>
      </pivotArea>
    </chartFormat>
    <chartFormat chart="2" format="1049">
      <pivotArea type="data" outline="0" fieldPosition="0">
        <references count="2">
          <reference field="4294967294" count="1" selected="0">
            <x v="1"/>
          </reference>
          <reference field="2" count="1" selected="0">
            <x v="75"/>
          </reference>
        </references>
      </pivotArea>
    </chartFormat>
    <chartFormat chart="2" format="1050">
      <pivotArea type="data" outline="0" fieldPosition="0">
        <references count="2">
          <reference field="4294967294" count="1" selected="0">
            <x v="1"/>
          </reference>
          <reference field="2" count="1" selected="0">
            <x v="136"/>
          </reference>
        </references>
      </pivotArea>
    </chartFormat>
    <chartFormat chart="2" format="1051">
      <pivotArea type="data" outline="0" fieldPosition="0">
        <references count="2">
          <reference field="4294967294" count="1" selected="0">
            <x v="1"/>
          </reference>
          <reference field="2" count="1" selected="0">
            <x v="135"/>
          </reference>
        </references>
      </pivotArea>
    </chartFormat>
    <chartFormat chart="2" format="1052">
      <pivotArea type="data" outline="0" fieldPosition="0">
        <references count="2">
          <reference field="4294967294" count="1" selected="0">
            <x v="1"/>
          </reference>
          <reference field="2" count="1" selected="0">
            <x v="141"/>
          </reference>
        </references>
      </pivotArea>
    </chartFormat>
    <chartFormat chart="2" format="1053">
      <pivotArea type="data" outline="0" fieldPosition="0">
        <references count="2">
          <reference field="4294967294" count="1" selected="0">
            <x v="1"/>
          </reference>
          <reference field="2" count="1" selected="0">
            <x v="212"/>
          </reference>
        </references>
      </pivotArea>
    </chartFormat>
    <chartFormat chart="2" format="1054">
      <pivotArea type="data" outline="0" fieldPosition="0">
        <references count="2">
          <reference field="4294967294" count="1" selected="0">
            <x v="1"/>
          </reference>
          <reference field="2" count="1" selected="0">
            <x v="180"/>
          </reference>
        </references>
      </pivotArea>
    </chartFormat>
    <chartFormat chart="2" format="1055">
      <pivotArea type="data" outline="0" fieldPosition="0">
        <references count="2">
          <reference field="4294967294" count="1" selected="0">
            <x v="1"/>
          </reference>
          <reference field="2" count="1" selected="0">
            <x v="65"/>
          </reference>
        </references>
      </pivotArea>
    </chartFormat>
    <chartFormat chart="2" format="1056">
      <pivotArea type="data" outline="0" fieldPosition="0">
        <references count="2">
          <reference field="4294967294" count="1" selected="0">
            <x v="1"/>
          </reference>
          <reference field="2" count="1" selected="0">
            <x v="153"/>
          </reference>
        </references>
      </pivotArea>
    </chartFormat>
    <chartFormat chart="2" format="1057">
      <pivotArea type="data" outline="0" fieldPosition="0">
        <references count="2">
          <reference field="4294967294" count="1" selected="0">
            <x v="1"/>
          </reference>
          <reference field="2" count="1" selected="0">
            <x v="147"/>
          </reference>
        </references>
      </pivotArea>
    </chartFormat>
    <chartFormat chart="2" format="1058">
      <pivotArea type="data" outline="0" fieldPosition="0">
        <references count="2">
          <reference field="4294967294" count="1" selected="0">
            <x v="1"/>
          </reference>
          <reference field="2" count="1" selected="0">
            <x v="154"/>
          </reference>
        </references>
      </pivotArea>
    </chartFormat>
    <chartFormat chart="2" format="1059">
      <pivotArea type="data" outline="0" fieldPosition="0">
        <references count="2">
          <reference field="4294967294" count="1" selected="0">
            <x v="1"/>
          </reference>
          <reference field="2" count="1" selected="0">
            <x v="173"/>
          </reference>
        </references>
      </pivotArea>
    </chartFormat>
    <chartFormat chart="2" format="1060">
      <pivotArea type="data" outline="0" fieldPosition="0">
        <references count="2">
          <reference field="4294967294" count="1" selected="0">
            <x v="1"/>
          </reference>
          <reference field="2" count="1" selected="0">
            <x v="42"/>
          </reference>
        </references>
      </pivotArea>
    </chartFormat>
    <chartFormat chart="2" format="1061">
      <pivotArea type="data" outline="0" fieldPosition="0">
        <references count="2">
          <reference field="4294967294" count="1" selected="0">
            <x v="1"/>
          </reference>
          <reference field="2" count="1" selected="0">
            <x v="90"/>
          </reference>
        </references>
      </pivotArea>
    </chartFormat>
    <chartFormat chart="2" format="1062">
      <pivotArea type="data" outline="0" fieldPosition="0">
        <references count="2">
          <reference field="4294967294" count="1" selected="0">
            <x v="1"/>
          </reference>
          <reference field="2" count="1" selected="0">
            <x v="157"/>
          </reference>
        </references>
      </pivotArea>
    </chartFormat>
    <chartFormat chart="2" format="1063">
      <pivotArea type="data" outline="0" fieldPosition="0">
        <references count="2">
          <reference field="4294967294" count="1" selected="0">
            <x v="1"/>
          </reference>
          <reference field="2" count="1" selected="0">
            <x v="59"/>
          </reference>
        </references>
      </pivotArea>
    </chartFormat>
    <chartFormat chart="2" format="1064">
      <pivotArea type="data" outline="0" fieldPosition="0">
        <references count="2">
          <reference field="4294967294" count="1" selected="0">
            <x v="1"/>
          </reference>
          <reference field="2" count="1" selected="0">
            <x v="158"/>
          </reference>
        </references>
      </pivotArea>
    </chartFormat>
    <chartFormat chart="2" format="1065">
      <pivotArea type="data" outline="0" fieldPosition="0">
        <references count="2">
          <reference field="4294967294" count="1" selected="0">
            <x v="1"/>
          </reference>
          <reference field="2" count="1" selected="0">
            <x v="202"/>
          </reference>
        </references>
      </pivotArea>
    </chartFormat>
    <chartFormat chart="2" format="1066">
      <pivotArea type="data" outline="0" fieldPosition="0">
        <references count="2">
          <reference field="4294967294" count="1" selected="0">
            <x v="1"/>
          </reference>
          <reference field="2" count="1" selected="0">
            <x v="12"/>
          </reference>
        </references>
      </pivotArea>
    </chartFormat>
    <chartFormat chart="2" format="1067">
      <pivotArea type="data" outline="0" fieldPosition="0">
        <references count="2">
          <reference field="4294967294" count="1" selected="0">
            <x v="1"/>
          </reference>
          <reference field="2" count="1" selected="0">
            <x v="204"/>
          </reference>
        </references>
      </pivotArea>
    </chartFormat>
    <chartFormat chart="2" format="1068">
      <pivotArea type="data" outline="0" fieldPosition="0">
        <references count="2">
          <reference field="4294967294" count="1" selected="0">
            <x v="1"/>
          </reference>
          <reference field="2" count="1" selected="0">
            <x v="76"/>
          </reference>
        </references>
      </pivotArea>
    </chartFormat>
    <chartFormat chart="2" format="1069">
      <pivotArea type="data" outline="0" fieldPosition="0">
        <references count="2">
          <reference field="4294967294" count="1" selected="0">
            <x v="1"/>
          </reference>
          <reference field="2" count="1" selected="0">
            <x v="206"/>
          </reference>
        </references>
      </pivotArea>
    </chartFormat>
    <chartFormat chart="2" format="1070">
      <pivotArea type="data" outline="0" fieldPosition="0">
        <references count="2">
          <reference field="4294967294" count="1" selected="0">
            <x v="1"/>
          </reference>
          <reference field="2" count="1" selected="0">
            <x v="7"/>
          </reference>
        </references>
      </pivotArea>
    </chartFormat>
    <chartFormat chart="2" format="1071">
      <pivotArea type="data" outline="0" fieldPosition="0">
        <references count="2">
          <reference field="4294967294" count="1" selected="0">
            <x v="1"/>
          </reference>
          <reference field="2" count="1" selected="0">
            <x v="172"/>
          </reference>
        </references>
      </pivotArea>
    </chartFormat>
    <chartFormat chart="2" format="1072">
      <pivotArea type="data" outline="0" fieldPosition="0">
        <references count="2">
          <reference field="4294967294" count="1" selected="0">
            <x v="1"/>
          </reference>
          <reference field="2" count="1" selected="0">
            <x v="1"/>
          </reference>
        </references>
      </pivotArea>
    </chartFormat>
    <chartFormat chart="2" format="1073">
      <pivotArea type="data" outline="0" fieldPosition="0">
        <references count="2">
          <reference field="4294967294" count="1" selected="0">
            <x v="1"/>
          </reference>
          <reference field="2" count="1" selected="0">
            <x v="174"/>
          </reference>
        </references>
      </pivotArea>
    </chartFormat>
    <chartFormat chart="2" format="1074">
      <pivotArea type="data" outline="0" fieldPosition="0">
        <references count="2">
          <reference field="4294967294" count="1" selected="0">
            <x v="1"/>
          </reference>
          <reference field="2" count="1" selected="0">
            <x v="8"/>
          </reference>
        </references>
      </pivotArea>
    </chartFormat>
    <chartFormat chart="2" format="1075">
      <pivotArea type="data" outline="0" fieldPosition="0">
        <references count="2">
          <reference field="4294967294" count="1" selected="0">
            <x v="1"/>
          </reference>
          <reference field="2" count="1" selected="0">
            <x v="131"/>
          </reference>
        </references>
      </pivotArea>
    </chartFormat>
    <chartFormat chart="2" format="1076">
      <pivotArea type="data" outline="0" fieldPosition="0">
        <references count="2">
          <reference field="4294967294" count="1" selected="0">
            <x v="1"/>
          </reference>
          <reference field="2" count="1" selected="0">
            <x v="197"/>
          </reference>
        </references>
      </pivotArea>
    </chartFormat>
    <chartFormat chart="2" format="1077">
      <pivotArea type="data" outline="0" fieldPosition="0">
        <references count="2">
          <reference field="4294967294" count="1" selected="0">
            <x v="1"/>
          </reference>
          <reference field="2" count="1" selected="0">
            <x v="138"/>
          </reference>
        </references>
      </pivotArea>
    </chartFormat>
    <chartFormat chart="2" format="1078">
      <pivotArea type="data" outline="0" fieldPosition="0">
        <references count="2">
          <reference field="4294967294" count="1" selected="0">
            <x v="1"/>
          </reference>
          <reference field="2" count="1" selected="0">
            <x v="57"/>
          </reference>
        </references>
      </pivotArea>
    </chartFormat>
    <chartFormat chart="2" format="1079">
      <pivotArea type="data" outline="0" fieldPosition="0">
        <references count="2">
          <reference field="4294967294" count="1" selected="0">
            <x v="1"/>
          </reference>
          <reference field="2" count="1" selected="0">
            <x v="126"/>
          </reference>
        </references>
      </pivotArea>
    </chartFormat>
    <chartFormat chart="2" format="1080">
      <pivotArea type="data" outline="0" fieldPosition="0">
        <references count="2">
          <reference field="4294967294" count="1" selected="0">
            <x v="1"/>
          </reference>
          <reference field="2" count="1" selected="0">
            <x v="48"/>
          </reference>
        </references>
      </pivotArea>
    </chartFormat>
    <chartFormat chart="2" format="1081">
      <pivotArea type="data" outline="0" fieldPosition="0">
        <references count="2">
          <reference field="4294967294" count="1" selected="0">
            <x v="1"/>
          </reference>
          <reference field="2" count="1" selected="0">
            <x v="165"/>
          </reference>
        </references>
      </pivotArea>
    </chartFormat>
    <chartFormat chart="2" format="1082">
      <pivotArea type="data" outline="0" fieldPosition="0">
        <references count="2">
          <reference field="4294967294" count="1" selected="0">
            <x v="1"/>
          </reference>
          <reference field="2" count="1" selected="0">
            <x v="107"/>
          </reference>
        </references>
      </pivotArea>
    </chartFormat>
    <chartFormat chart="2" format="1083">
      <pivotArea type="data" outline="0" fieldPosition="0">
        <references count="2">
          <reference field="4294967294" count="1" selected="0">
            <x v="1"/>
          </reference>
          <reference field="2" count="1" selected="0">
            <x v="213"/>
          </reference>
        </references>
      </pivotArea>
    </chartFormat>
    <chartFormat chart="2" format="1084">
      <pivotArea type="data" outline="0" fieldPosition="0">
        <references count="2">
          <reference field="4294967294" count="1" selected="0">
            <x v="1"/>
          </reference>
          <reference field="2" count="1" selected="0">
            <x v="17"/>
          </reference>
        </references>
      </pivotArea>
    </chartFormat>
    <chartFormat chart="2" format="1085">
      <pivotArea type="data" outline="0" fieldPosition="0">
        <references count="2">
          <reference field="4294967294" count="1" selected="0">
            <x v="1"/>
          </reference>
          <reference field="2" count="1" selected="0">
            <x v="95"/>
          </reference>
        </references>
      </pivotArea>
    </chartFormat>
    <chartFormat chart="2" format="1086">
      <pivotArea type="data" outline="0" fieldPosition="0">
        <references count="2">
          <reference field="4294967294" count="1" selected="0">
            <x v="1"/>
          </reference>
          <reference field="2" count="1" selected="0">
            <x v="121"/>
          </reference>
        </references>
      </pivotArea>
    </chartFormat>
    <chartFormat chart="2" format="1087">
      <pivotArea type="data" outline="0" fieldPosition="0">
        <references count="2">
          <reference field="4294967294" count="1" selected="0">
            <x v="1"/>
          </reference>
          <reference field="2" count="1" selected="0">
            <x v="130"/>
          </reference>
        </references>
      </pivotArea>
    </chartFormat>
    <chartFormat chart="2" format="1088">
      <pivotArea type="data" outline="0" fieldPosition="0">
        <references count="2">
          <reference field="4294967294" count="1" selected="0">
            <x v="1"/>
          </reference>
          <reference field="2" count="1" selected="0">
            <x v="46"/>
          </reference>
        </references>
      </pivotArea>
    </chartFormat>
    <chartFormat chart="2" format="1089">
      <pivotArea type="data" outline="0" fieldPosition="0">
        <references count="2">
          <reference field="4294967294" count="1" selected="0">
            <x v="1"/>
          </reference>
          <reference field="2" count="1" selected="0">
            <x v="167"/>
          </reference>
        </references>
      </pivotArea>
    </chartFormat>
    <chartFormat chart="2" format="1090">
      <pivotArea type="data" outline="0" fieldPosition="0">
        <references count="2">
          <reference field="4294967294" count="1" selected="0">
            <x v="1"/>
          </reference>
          <reference field="2" count="1" selected="0">
            <x v="139"/>
          </reference>
        </references>
      </pivotArea>
    </chartFormat>
    <chartFormat chart="2" format="1091">
      <pivotArea type="data" outline="0" fieldPosition="0">
        <references count="2">
          <reference field="4294967294" count="1" selected="0">
            <x v="1"/>
          </reference>
          <reference field="2" count="1" selected="0">
            <x v="14"/>
          </reference>
        </references>
      </pivotArea>
    </chartFormat>
    <chartFormat chart="2" format="1092">
      <pivotArea type="data" outline="0" fieldPosition="0">
        <references count="2">
          <reference field="4294967294" count="1" selected="0">
            <x v="1"/>
          </reference>
          <reference field="2" count="1" selected="0">
            <x v="109"/>
          </reference>
        </references>
      </pivotArea>
    </chartFormat>
    <chartFormat chart="2" format="1093">
      <pivotArea type="data" outline="0" fieldPosition="0">
        <references count="2">
          <reference field="4294967294" count="1" selected="0">
            <x v="1"/>
          </reference>
          <reference field="2" count="1" selected="0">
            <x v="188"/>
          </reference>
        </references>
      </pivotArea>
    </chartFormat>
    <chartFormat chart="2" format="1094">
      <pivotArea type="data" outline="0" fieldPosition="0">
        <references count="2">
          <reference field="4294967294" count="1" selected="0">
            <x v="1"/>
          </reference>
          <reference field="2" count="1" selected="0">
            <x v="36"/>
          </reference>
        </references>
      </pivotArea>
    </chartFormat>
    <chartFormat chart="2" format="1095">
      <pivotArea type="data" outline="0" fieldPosition="0">
        <references count="2">
          <reference field="4294967294" count="1" selected="0">
            <x v="1"/>
          </reference>
          <reference field="2" count="1" selected="0">
            <x v="164"/>
          </reference>
        </references>
      </pivotArea>
    </chartFormat>
    <chartFormat chart="2" format="1096">
      <pivotArea type="data" outline="0" fieldPosition="0">
        <references count="2">
          <reference field="4294967294" count="1" selected="0">
            <x v="1"/>
          </reference>
          <reference field="2" count="1" selected="0">
            <x v="101"/>
          </reference>
        </references>
      </pivotArea>
    </chartFormat>
    <chartFormat chart="2" format="1097">
      <pivotArea type="data" outline="0" fieldPosition="0">
        <references count="2">
          <reference field="4294967294" count="1" selected="0">
            <x v="1"/>
          </reference>
          <reference field="2" count="1" selected="0">
            <x v="37"/>
          </reference>
        </references>
      </pivotArea>
    </chartFormat>
    <chartFormat chart="2" format="1098">
      <pivotArea type="data" outline="0" fieldPosition="0">
        <references count="2">
          <reference field="4294967294" count="1" selected="0">
            <x v="1"/>
          </reference>
          <reference field="2" count="1" selected="0">
            <x v="127"/>
          </reference>
        </references>
      </pivotArea>
    </chartFormat>
    <chartFormat chart="2" format="1099">
      <pivotArea type="data" outline="0" fieldPosition="0">
        <references count="2">
          <reference field="4294967294" count="1" selected="0">
            <x v="1"/>
          </reference>
          <reference field="2" count="1" selected="0">
            <x v="43"/>
          </reference>
        </references>
      </pivotArea>
    </chartFormat>
    <chartFormat chart="2" format="1100">
      <pivotArea type="data" outline="0" fieldPosition="0">
        <references count="2">
          <reference field="4294967294" count="1" selected="0">
            <x v="1"/>
          </reference>
          <reference field="2" count="1" selected="0">
            <x v="182"/>
          </reference>
        </references>
      </pivotArea>
    </chartFormat>
    <chartFormat chart="2" format="1101">
      <pivotArea type="data" outline="0" fieldPosition="0">
        <references count="2">
          <reference field="4294967294" count="1" selected="0">
            <x v="1"/>
          </reference>
          <reference field="2" count="1" selected="0">
            <x v="219"/>
          </reference>
        </references>
      </pivotArea>
    </chartFormat>
    <chartFormat chart="2" format="1102">
      <pivotArea type="data" outline="0" fieldPosition="0">
        <references count="2">
          <reference field="4294967294" count="1" selected="0">
            <x v="1"/>
          </reference>
          <reference field="2" count="1" selected="0">
            <x v="128"/>
          </reference>
        </references>
      </pivotArea>
    </chartFormat>
    <chartFormat chart="2" format="1103">
      <pivotArea type="data" outline="0" fieldPosition="0">
        <references count="2">
          <reference field="4294967294" count="1" selected="0">
            <x v="1"/>
          </reference>
          <reference field="2" count="1" selected="0">
            <x v="97"/>
          </reference>
        </references>
      </pivotArea>
    </chartFormat>
    <chartFormat chart="2" format="1104">
      <pivotArea type="data" outline="0" fieldPosition="0">
        <references count="2">
          <reference field="4294967294" count="1" selected="0">
            <x v="1"/>
          </reference>
          <reference field="2" count="1" selected="0">
            <x v="186"/>
          </reference>
        </references>
      </pivotArea>
    </chartFormat>
    <chartFormat chart="2" format="1105">
      <pivotArea type="data" outline="0" fieldPosition="0">
        <references count="2">
          <reference field="4294967294" count="1" selected="0">
            <x v="1"/>
          </reference>
          <reference field="2" count="1" selected="0">
            <x v="113"/>
          </reference>
        </references>
      </pivotArea>
    </chartFormat>
    <chartFormat chart="2" format="1106">
      <pivotArea type="data" outline="0" fieldPosition="0">
        <references count="2">
          <reference field="4294967294" count="1" selected="0">
            <x v="1"/>
          </reference>
          <reference field="2" count="1" selected="0">
            <x v="111"/>
          </reference>
        </references>
      </pivotArea>
    </chartFormat>
    <chartFormat chart="2" format="1107">
      <pivotArea type="data" outline="0" fieldPosition="0">
        <references count="2">
          <reference field="4294967294" count="1" selected="0">
            <x v="1"/>
          </reference>
          <reference field="2" count="1" selected="0">
            <x v="110"/>
          </reference>
        </references>
      </pivotArea>
    </chartFormat>
    <chartFormat chart="2" format="1108">
      <pivotArea type="data" outline="0" fieldPosition="0">
        <references count="2">
          <reference field="4294967294" count="1" selected="0">
            <x v="1"/>
          </reference>
          <reference field="2" count="1" selected="0">
            <x v="4"/>
          </reference>
        </references>
      </pivotArea>
    </chartFormat>
    <chartFormat chart="2" format="1109">
      <pivotArea type="data" outline="0" fieldPosition="0">
        <references count="2">
          <reference field="4294967294" count="1" selected="0">
            <x v="1"/>
          </reference>
          <reference field="2" count="1" selected="0">
            <x v="38"/>
          </reference>
        </references>
      </pivotArea>
    </chartFormat>
    <chartFormat chart="2" format="1110">
      <pivotArea type="data" outline="0" fieldPosition="0">
        <references count="2">
          <reference field="4294967294" count="1" selected="0">
            <x v="1"/>
          </reference>
          <reference field="2" count="1" selected="0">
            <x v="208"/>
          </reference>
        </references>
      </pivotArea>
    </chartFormat>
    <chartFormat chart="2" format="1111">
      <pivotArea type="data" outline="0" fieldPosition="0">
        <references count="2">
          <reference field="4294967294" count="1" selected="0">
            <x v="1"/>
          </reference>
          <reference field="2" count="1" selected="0">
            <x v="156"/>
          </reference>
        </references>
      </pivotArea>
    </chartFormat>
    <chartFormat chart="2" format="1112">
      <pivotArea type="data" outline="0" fieldPosition="0">
        <references count="2">
          <reference field="4294967294" count="1" selected="0">
            <x v="1"/>
          </reference>
          <reference field="2" count="1" selected="0">
            <x v="125"/>
          </reference>
        </references>
      </pivotArea>
    </chartFormat>
    <chartFormat chart="2" format="1113">
      <pivotArea type="data" outline="0" fieldPosition="0">
        <references count="2">
          <reference field="4294967294" count="1" selected="0">
            <x v="1"/>
          </reference>
          <reference field="2" count="1" selected="0">
            <x v="185"/>
          </reference>
        </references>
      </pivotArea>
    </chartFormat>
    <chartFormat chart="2" format="1114">
      <pivotArea type="data" outline="0" fieldPosition="0">
        <references count="2">
          <reference field="4294967294" count="1" selected="0">
            <x v="1"/>
          </reference>
          <reference field="2" count="1" selected="0">
            <x v="181"/>
          </reference>
        </references>
      </pivotArea>
    </chartFormat>
    <chartFormat chart="2" format="1115">
      <pivotArea type="data" outline="0" fieldPosition="0">
        <references count="2">
          <reference field="4294967294" count="1" selected="0">
            <x v="1"/>
          </reference>
          <reference field="2" count="1" selected="0">
            <x v="78"/>
          </reference>
        </references>
      </pivotArea>
    </chartFormat>
    <chartFormat chart="2" format="1116">
      <pivotArea type="data" outline="0" fieldPosition="0">
        <references count="2">
          <reference field="4294967294" count="1" selected="0">
            <x v="1"/>
          </reference>
          <reference field="2" count="1" selected="0">
            <x v="50"/>
          </reference>
        </references>
      </pivotArea>
    </chartFormat>
    <chartFormat chart="2" format="1117">
      <pivotArea type="data" outline="0" fieldPosition="0">
        <references count="2">
          <reference field="4294967294" count="1" selected="0">
            <x v="1"/>
          </reference>
          <reference field="2" count="1" selected="0">
            <x v="116"/>
          </reference>
        </references>
      </pivotArea>
    </chartFormat>
    <chartFormat chart="2" format="1118">
      <pivotArea type="data" outline="0" fieldPosition="0">
        <references count="2">
          <reference field="4294967294" count="1" selected="0">
            <x v="1"/>
          </reference>
          <reference field="2" count="1" selected="0">
            <x v="183"/>
          </reference>
        </references>
      </pivotArea>
    </chartFormat>
    <chartFormat chart="2" format="1119">
      <pivotArea type="data" outline="0" fieldPosition="0">
        <references count="2">
          <reference field="4294967294" count="1" selected="0">
            <x v="1"/>
          </reference>
          <reference field="2" count="1" selected="0">
            <x v="166"/>
          </reference>
        </references>
      </pivotArea>
    </chartFormat>
    <chartFormat chart="2" format="1120">
      <pivotArea type="data" outline="0" fieldPosition="0">
        <references count="2">
          <reference field="4294967294" count="1" selected="0">
            <x v="1"/>
          </reference>
          <reference field="2" count="1" selected="0">
            <x v="60"/>
          </reference>
        </references>
      </pivotArea>
    </chartFormat>
    <chartFormat chart="2" format="1121">
      <pivotArea type="data" outline="0" fieldPosition="0">
        <references count="2">
          <reference field="4294967294" count="1" selected="0">
            <x v="1"/>
          </reference>
          <reference field="2" count="1" selected="0">
            <x v="168"/>
          </reference>
        </references>
      </pivotArea>
    </chartFormat>
    <chartFormat chart="2" format="1122">
      <pivotArea type="data" outline="0" fieldPosition="0">
        <references count="2">
          <reference field="4294967294" count="1" selected="0">
            <x v="1"/>
          </reference>
          <reference field="2" count="1" selected="0">
            <x v="214"/>
          </reference>
        </references>
      </pivotArea>
    </chartFormat>
    <chartFormat chart="2" format="1123" series="1">
      <pivotArea type="data" outline="0" fieldPosition="0">
        <references count="1">
          <reference field="4294967294" count="1" selected="0">
            <x v="2"/>
          </reference>
        </references>
      </pivotArea>
    </chartFormat>
    <chartFormat chart="2" format="1124">
      <pivotArea type="data" outline="0" fieldPosition="0">
        <references count="2">
          <reference field="4294967294" count="1" selected="0">
            <x v="2"/>
          </reference>
          <reference field="2" count="1" selected="0">
            <x v="117"/>
          </reference>
        </references>
      </pivotArea>
    </chartFormat>
    <chartFormat chart="2" format="1125">
      <pivotArea type="data" outline="0" fieldPosition="0">
        <references count="2">
          <reference field="4294967294" count="1" selected="0">
            <x v="2"/>
          </reference>
          <reference field="2" count="1" selected="0">
            <x v="143"/>
          </reference>
        </references>
      </pivotArea>
    </chartFormat>
    <chartFormat chart="2" format="1126">
      <pivotArea type="data" outline="0" fieldPosition="0">
        <references count="2">
          <reference field="4294967294" count="1" selected="0">
            <x v="2"/>
          </reference>
          <reference field="2" count="1" selected="0">
            <x v="11"/>
          </reference>
        </references>
      </pivotArea>
    </chartFormat>
    <chartFormat chart="2" format="1127">
      <pivotArea type="data" outline="0" fieldPosition="0">
        <references count="2">
          <reference field="4294967294" count="1" selected="0">
            <x v="2"/>
          </reference>
          <reference field="2" count="1" selected="0">
            <x v="2"/>
          </reference>
        </references>
      </pivotArea>
    </chartFormat>
    <chartFormat chart="2" format="1128">
      <pivotArea type="data" outline="0" fieldPosition="0">
        <references count="2">
          <reference field="4294967294" count="1" selected="0">
            <x v="2"/>
          </reference>
          <reference field="2" count="1" selected="0">
            <x v="61"/>
          </reference>
        </references>
      </pivotArea>
    </chartFormat>
    <chartFormat chart="2" format="1129">
      <pivotArea type="data" outline="0" fieldPosition="0">
        <references count="2">
          <reference field="4294967294" count="1" selected="0">
            <x v="2"/>
          </reference>
          <reference field="2" count="1" selected="0">
            <x v="63"/>
          </reference>
        </references>
      </pivotArea>
    </chartFormat>
    <chartFormat chart="2" format="1130">
      <pivotArea type="data" outline="0" fieldPosition="0">
        <references count="2">
          <reference field="4294967294" count="1" selected="0">
            <x v="2"/>
          </reference>
          <reference field="2" count="1" selected="0">
            <x v="132"/>
          </reference>
        </references>
      </pivotArea>
    </chartFormat>
    <chartFormat chart="2" format="1131">
      <pivotArea type="data" outline="0" fieldPosition="0">
        <references count="2">
          <reference field="4294967294" count="1" selected="0">
            <x v="2"/>
          </reference>
          <reference field="2" count="1" selected="0">
            <x v="196"/>
          </reference>
        </references>
      </pivotArea>
    </chartFormat>
    <chartFormat chart="2" format="1132">
      <pivotArea type="data" outline="0" fieldPosition="0">
        <references count="2">
          <reference field="4294967294" count="1" selected="0">
            <x v="2"/>
          </reference>
          <reference field="2" count="1" selected="0">
            <x v="137"/>
          </reference>
        </references>
      </pivotArea>
    </chartFormat>
    <chartFormat chart="2" format="1133">
      <pivotArea type="data" outline="0" fieldPosition="0">
        <references count="2">
          <reference field="4294967294" count="1" selected="0">
            <x v="2"/>
          </reference>
          <reference field="2" count="1" selected="0">
            <x v="62"/>
          </reference>
        </references>
      </pivotArea>
    </chartFormat>
    <chartFormat chart="2" format="1134">
      <pivotArea type="data" outline="0" fieldPosition="0">
        <references count="2">
          <reference field="4294967294" count="1" selected="0">
            <x v="2"/>
          </reference>
          <reference field="2" count="1" selected="0">
            <x v="89"/>
          </reference>
        </references>
      </pivotArea>
    </chartFormat>
    <chartFormat chart="2" format="1135">
      <pivotArea type="data" outline="0" fieldPosition="0">
        <references count="2">
          <reference field="4294967294" count="1" selected="0">
            <x v="2"/>
          </reference>
          <reference field="2" count="1" selected="0">
            <x v="105"/>
          </reference>
        </references>
      </pivotArea>
    </chartFormat>
    <chartFormat chart="2" format="1136">
      <pivotArea type="data" outline="0" fieldPosition="0">
        <references count="2">
          <reference field="4294967294" count="1" selected="0">
            <x v="2"/>
          </reference>
          <reference field="2" count="1" selected="0">
            <x v="3"/>
          </reference>
        </references>
      </pivotArea>
    </chartFormat>
    <chartFormat chart="2" format="1137">
      <pivotArea type="data" outline="0" fieldPosition="0">
        <references count="2">
          <reference field="4294967294" count="1" selected="0">
            <x v="2"/>
          </reference>
          <reference field="2" count="1" selected="0">
            <x v="30"/>
          </reference>
        </references>
      </pivotArea>
    </chartFormat>
    <chartFormat chart="2" format="1138">
      <pivotArea type="data" outline="0" fieldPosition="0">
        <references count="2">
          <reference field="4294967294" count="1" selected="0">
            <x v="2"/>
          </reference>
          <reference field="2" count="1" selected="0">
            <x v="83"/>
          </reference>
        </references>
      </pivotArea>
    </chartFormat>
    <chartFormat chart="2" format="1139">
      <pivotArea type="data" outline="0" fieldPosition="0">
        <references count="2">
          <reference field="4294967294" count="1" selected="0">
            <x v="2"/>
          </reference>
          <reference field="2" count="1" selected="0">
            <x v="114"/>
          </reference>
        </references>
      </pivotArea>
    </chartFormat>
    <chartFormat chart="2" format="1140">
      <pivotArea type="data" outline="0" fieldPosition="0">
        <references count="2">
          <reference field="4294967294" count="1" selected="0">
            <x v="2"/>
          </reference>
          <reference field="2" count="1" selected="0">
            <x v="192"/>
          </reference>
        </references>
      </pivotArea>
    </chartFormat>
    <chartFormat chart="2" format="1141">
      <pivotArea type="data" outline="0" fieldPosition="0">
        <references count="2">
          <reference field="4294967294" count="1" selected="0">
            <x v="2"/>
          </reference>
          <reference field="2" count="1" selected="0">
            <x v="15"/>
          </reference>
        </references>
      </pivotArea>
    </chartFormat>
    <chartFormat chart="2" format="1142">
      <pivotArea type="data" outline="0" fieldPosition="0">
        <references count="2">
          <reference field="4294967294" count="1" selected="0">
            <x v="2"/>
          </reference>
          <reference field="2" count="1" selected="0">
            <x v="33"/>
          </reference>
        </references>
      </pivotArea>
    </chartFormat>
    <chartFormat chart="2" format="1143">
      <pivotArea type="data" outline="0" fieldPosition="0">
        <references count="2">
          <reference field="4294967294" count="1" selected="0">
            <x v="2"/>
          </reference>
          <reference field="2" count="1" selected="0">
            <x v="198"/>
          </reference>
        </references>
      </pivotArea>
    </chartFormat>
    <chartFormat chart="2" format="1144">
      <pivotArea type="data" outline="0" fieldPosition="0">
        <references count="2">
          <reference field="4294967294" count="1" selected="0">
            <x v="2"/>
          </reference>
          <reference field="2" count="1" selected="0">
            <x v="98"/>
          </reference>
        </references>
      </pivotArea>
    </chartFormat>
    <chartFormat chart="2" format="1145">
      <pivotArea type="data" outline="0" fieldPosition="0">
        <references count="2">
          <reference field="4294967294" count="1" selected="0">
            <x v="2"/>
          </reference>
          <reference field="2" count="1" selected="0">
            <x v="67"/>
          </reference>
        </references>
      </pivotArea>
    </chartFormat>
    <chartFormat chart="2" format="1146">
      <pivotArea type="data" outline="0" fieldPosition="0">
        <references count="2">
          <reference field="4294967294" count="1" selected="0">
            <x v="2"/>
          </reference>
          <reference field="2" count="1" selected="0">
            <x v="148"/>
          </reference>
        </references>
      </pivotArea>
    </chartFormat>
    <chartFormat chart="2" format="1147">
      <pivotArea type="data" outline="0" fieldPosition="0">
        <references count="2">
          <reference field="4294967294" count="1" selected="0">
            <x v="2"/>
          </reference>
          <reference field="2" count="1" selected="0">
            <x v="25"/>
          </reference>
        </references>
      </pivotArea>
    </chartFormat>
    <chartFormat chart="2" format="1148">
      <pivotArea type="data" outline="0" fieldPosition="0">
        <references count="2">
          <reference field="4294967294" count="1" selected="0">
            <x v="2"/>
          </reference>
          <reference field="2" count="1" selected="0">
            <x v="81"/>
          </reference>
        </references>
      </pivotArea>
    </chartFormat>
    <chartFormat chart="2" format="1149">
      <pivotArea type="data" outline="0" fieldPosition="0">
        <references count="2">
          <reference field="4294967294" count="1" selected="0">
            <x v="2"/>
          </reference>
          <reference field="2" count="1" selected="0">
            <x v="177"/>
          </reference>
        </references>
      </pivotArea>
    </chartFormat>
    <chartFormat chart="2" format="1150">
      <pivotArea type="data" outline="0" fieldPosition="0">
        <references count="2">
          <reference field="4294967294" count="1" selected="0">
            <x v="2"/>
          </reference>
          <reference field="2" count="1" selected="0">
            <x v="35"/>
          </reference>
        </references>
      </pivotArea>
    </chartFormat>
    <chartFormat chart="2" format="1151">
      <pivotArea type="data" outline="0" fieldPosition="0">
        <references count="2">
          <reference field="4294967294" count="1" selected="0">
            <x v="2"/>
          </reference>
          <reference field="2" count="1" selected="0">
            <x v="119"/>
          </reference>
        </references>
      </pivotArea>
    </chartFormat>
    <chartFormat chart="2" format="1152">
      <pivotArea type="data" outline="0" fieldPosition="0">
        <references count="2">
          <reference field="4294967294" count="1" selected="0">
            <x v="2"/>
          </reference>
          <reference field="2" count="1" selected="0">
            <x v="91"/>
          </reference>
        </references>
      </pivotArea>
    </chartFormat>
    <chartFormat chart="2" format="1153">
      <pivotArea type="data" outline="0" fieldPosition="0">
        <references count="2">
          <reference field="4294967294" count="1" selected="0">
            <x v="2"/>
          </reference>
          <reference field="2" count="1" selected="0">
            <x v="9"/>
          </reference>
        </references>
      </pivotArea>
    </chartFormat>
    <chartFormat chart="2" format="1154">
      <pivotArea type="data" outline="0" fieldPosition="0">
        <references count="2">
          <reference field="4294967294" count="1" selected="0">
            <x v="2"/>
          </reference>
          <reference field="2" count="1" selected="0">
            <x v="103"/>
          </reference>
        </references>
      </pivotArea>
    </chartFormat>
    <chartFormat chart="2" format="1155">
      <pivotArea type="data" outline="0" fieldPosition="0">
        <references count="2">
          <reference field="4294967294" count="1" selected="0">
            <x v="2"/>
          </reference>
          <reference field="2" count="1" selected="0">
            <x v="170"/>
          </reference>
        </references>
      </pivotArea>
    </chartFormat>
    <chartFormat chart="2" format="1156">
      <pivotArea type="data" outline="0" fieldPosition="0">
        <references count="2">
          <reference field="4294967294" count="1" selected="0">
            <x v="2"/>
          </reference>
          <reference field="2" count="1" selected="0">
            <x v="40"/>
          </reference>
        </references>
      </pivotArea>
    </chartFormat>
    <chartFormat chart="2" format="1157">
      <pivotArea type="data" outline="0" fieldPosition="0">
        <references count="2">
          <reference field="4294967294" count="1" selected="0">
            <x v="2"/>
          </reference>
          <reference field="2" count="1" selected="0">
            <x v="66"/>
          </reference>
        </references>
      </pivotArea>
    </chartFormat>
    <chartFormat chart="2" format="1158">
      <pivotArea type="data" outline="0" fieldPosition="0">
        <references count="2">
          <reference field="4294967294" count="1" selected="0">
            <x v="2"/>
          </reference>
          <reference field="2" count="1" selected="0">
            <x v="106"/>
          </reference>
        </references>
      </pivotArea>
    </chartFormat>
    <chartFormat chart="2" format="1159">
      <pivotArea type="data" outline="0" fieldPosition="0">
        <references count="2">
          <reference field="4294967294" count="1" selected="0">
            <x v="2"/>
          </reference>
          <reference field="2" count="1" selected="0">
            <x v="201"/>
          </reference>
        </references>
      </pivotArea>
    </chartFormat>
    <chartFormat chart="2" format="1160">
      <pivotArea type="data" outline="0" fieldPosition="0">
        <references count="2">
          <reference field="4294967294" count="1" selected="0">
            <x v="2"/>
          </reference>
          <reference field="2" count="1" selected="0">
            <x v="47"/>
          </reference>
        </references>
      </pivotArea>
    </chartFormat>
    <chartFormat chart="2" format="1161">
      <pivotArea type="data" outline="0" fieldPosition="0">
        <references count="2">
          <reference field="4294967294" count="1" selected="0">
            <x v="2"/>
          </reference>
          <reference field="2" count="1" selected="0">
            <x v="123"/>
          </reference>
        </references>
      </pivotArea>
    </chartFormat>
    <chartFormat chart="2" format="1162">
      <pivotArea type="data" outline="0" fieldPosition="0">
        <references count="2">
          <reference field="4294967294" count="1" selected="0">
            <x v="2"/>
          </reference>
          <reference field="2" count="1" selected="0">
            <x v="64"/>
          </reference>
        </references>
      </pivotArea>
    </chartFormat>
    <chartFormat chart="2" format="1163">
      <pivotArea type="data" outline="0" fieldPosition="0">
        <references count="2">
          <reference field="4294967294" count="1" selected="0">
            <x v="2"/>
          </reference>
          <reference field="2" count="1" selected="0">
            <x v="82"/>
          </reference>
        </references>
      </pivotArea>
    </chartFormat>
    <chartFormat chart="2" format="1164">
      <pivotArea type="data" outline="0" fieldPosition="0">
        <references count="2">
          <reference field="4294967294" count="1" selected="0">
            <x v="2"/>
          </reference>
          <reference field="2" count="1" selected="0">
            <x v="52"/>
          </reference>
        </references>
      </pivotArea>
    </chartFormat>
    <chartFormat chart="2" format="1165">
      <pivotArea type="data" outline="0" fieldPosition="0">
        <references count="2">
          <reference field="4294967294" count="1" selected="0">
            <x v="2"/>
          </reference>
          <reference field="2" count="1" selected="0">
            <x v="70"/>
          </reference>
        </references>
      </pivotArea>
    </chartFormat>
    <chartFormat chart="2" format="1166">
      <pivotArea type="data" outline="0" fieldPosition="0">
        <references count="2">
          <reference field="4294967294" count="1" selected="0">
            <x v="2"/>
          </reference>
          <reference field="2" count="1" selected="0">
            <x v="179"/>
          </reference>
        </references>
      </pivotArea>
    </chartFormat>
    <chartFormat chart="2" format="1167">
      <pivotArea type="data" outline="0" fieldPosition="0">
        <references count="2">
          <reference field="4294967294" count="1" selected="0">
            <x v="2"/>
          </reference>
          <reference field="2" count="1" selected="0">
            <x v="100"/>
          </reference>
        </references>
      </pivotArea>
    </chartFormat>
    <chartFormat chart="2" format="1168">
      <pivotArea type="data" outline="0" fieldPosition="0">
        <references count="2">
          <reference field="4294967294" count="1" selected="0">
            <x v="2"/>
          </reference>
          <reference field="2" count="1" selected="0">
            <x v="195"/>
          </reference>
        </references>
      </pivotArea>
    </chartFormat>
    <chartFormat chart="2" format="1169">
      <pivotArea type="data" outline="0" fieldPosition="0">
        <references count="2">
          <reference field="4294967294" count="1" selected="0">
            <x v="2"/>
          </reference>
          <reference field="2" count="1" selected="0">
            <x v="24"/>
          </reference>
        </references>
      </pivotArea>
    </chartFormat>
    <chartFormat chart="2" format="1170">
      <pivotArea type="data" outline="0" fieldPosition="0">
        <references count="2">
          <reference field="4294967294" count="1" selected="0">
            <x v="2"/>
          </reference>
          <reference field="2" count="1" selected="0">
            <x v="215"/>
          </reference>
        </references>
      </pivotArea>
    </chartFormat>
    <chartFormat chart="2" format="1171">
      <pivotArea type="data" outline="0" fieldPosition="0">
        <references count="2">
          <reference field="4294967294" count="1" selected="0">
            <x v="2"/>
          </reference>
          <reference field="2" count="1" selected="0">
            <x v="31"/>
          </reference>
        </references>
      </pivotArea>
    </chartFormat>
    <chartFormat chart="2" format="1172">
      <pivotArea type="data" outline="0" fieldPosition="0">
        <references count="2">
          <reference field="4294967294" count="1" selected="0">
            <x v="2"/>
          </reference>
          <reference field="2" count="1" selected="0">
            <x v="94"/>
          </reference>
        </references>
      </pivotArea>
    </chartFormat>
    <chartFormat chart="2" format="1173">
      <pivotArea type="data" outline="0" fieldPosition="0">
        <references count="2">
          <reference field="4294967294" count="1" selected="0">
            <x v="2"/>
          </reference>
          <reference field="2" count="1" selected="0">
            <x v="144"/>
          </reference>
        </references>
      </pivotArea>
    </chartFormat>
    <chartFormat chart="2" format="1174">
      <pivotArea type="data" outline="0" fieldPosition="0">
        <references count="2">
          <reference field="4294967294" count="1" selected="0">
            <x v="2"/>
          </reference>
          <reference field="2" count="1" selected="0">
            <x v="189"/>
          </reference>
        </references>
      </pivotArea>
    </chartFormat>
    <chartFormat chart="2" format="1175">
      <pivotArea type="data" outline="0" fieldPosition="0">
        <references count="2">
          <reference field="4294967294" count="1" selected="0">
            <x v="2"/>
          </reference>
          <reference field="2" count="1" selected="0">
            <x v="146"/>
          </reference>
        </references>
      </pivotArea>
    </chartFormat>
    <chartFormat chart="2" format="1176">
      <pivotArea type="data" outline="0" fieldPosition="0">
        <references count="2">
          <reference field="4294967294" count="1" selected="0">
            <x v="2"/>
          </reference>
          <reference field="2" count="1" selected="0">
            <x v="193"/>
          </reference>
        </references>
      </pivotArea>
    </chartFormat>
    <chartFormat chart="2" format="1177">
      <pivotArea type="data" outline="0" fieldPosition="0">
        <references count="2">
          <reference field="4294967294" count="1" selected="0">
            <x v="2"/>
          </reference>
          <reference field="2" count="1" selected="0">
            <x v="77"/>
          </reference>
        </references>
      </pivotArea>
    </chartFormat>
    <chartFormat chart="2" format="1178">
      <pivotArea type="data" outline="0" fieldPosition="0">
        <references count="2">
          <reference field="4294967294" count="1" selected="0">
            <x v="2"/>
          </reference>
          <reference field="2" count="1" selected="0">
            <x v="115"/>
          </reference>
        </references>
      </pivotArea>
    </chartFormat>
    <chartFormat chart="2" format="1179">
      <pivotArea type="data" outline="0" fieldPosition="0">
        <references count="2">
          <reference field="4294967294" count="1" selected="0">
            <x v="2"/>
          </reference>
          <reference field="2" count="1" selected="0">
            <x v="150"/>
          </reference>
        </references>
      </pivotArea>
    </chartFormat>
    <chartFormat chart="2" format="1180">
      <pivotArea type="data" outline="0" fieldPosition="0">
        <references count="2">
          <reference field="4294967294" count="1" selected="0">
            <x v="2"/>
          </reference>
          <reference field="2" count="1" selected="0">
            <x v="118"/>
          </reference>
        </references>
      </pivotArea>
    </chartFormat>
    <chartFormat chart="2" format="1181">
      <pivotArea type="data" outline="0" fieldPosition="0">
        <references count="2">
          <reference field="4294967294" count="1" selected="0">
            <x v="2"/>
          </reference>
          <reference field="2" count="1" selected="0">
            <x v="161"/>
          </reference>
        </references>
      </pivotArea>
    </chartFormat>
    <chartFormat chart="2" format="1182">
      <pivotArea type="data" outline="0" fieldPosition="0">
        <references count="2">
          <reference field="4294967294" count="1" selected="0">
            <x v="2"/>
          </reference>
          <reference field="2" count="1" selected="0">
            <x v="162"/>
          </reference>
        </references>
      </pivotArea>
    </chartFormat>
    <chartFormat chart="2" format="1183">
      <pivotArea type="data" outline="0" fieldPosition="0">
        <references count="2">
          <reference field="4294967294" count="1" selected="0">
            <x v="2"/>
          </reference>
          <reference field="2" count="1" selected="0">
            <x v="102"/>
          </reference>
        </references>
      </pivotArea>
    </chartFormat>
    <chartFormat chart="2" format="1184">
      <pivotArea type="data" outline="0" fieldPosition="0">
        <references count="2">
          <reference field="4294967294" count="1" selected="0">
            <x v="2"/>
          </reference>
          <reference field="2" count="1" selected="0">
            <x v="200"/>
          </reference>
        </references>
      </pivotArea>
    </chartFormat>
    <chartFormat chart="2" format="1185">
      <pivotArea type="data" outline="0" fieldPosition="0">
        <references count="2">
          <reference field="4294967294" count="1" selected="0">
            <x v="2"/>
          </reference>
          <reference field="2" count="1" selected="0">
            <x v="190"/>
          </reference>
        </references>
      </pivotArea>
    </chartFormat>
    <chartFormat chart="2" format="1186">
      <pivotArea type="data" outline="0" fieldPosition="0">
        <references count="2">
          <reference field="4294967294" count="1" selected="0">
            <x v="2"/>
          </reference>
          <reference field="2" count="1" selected="0">
            <x v="176"/>
          </reference>
        </references>
      </pivotArea>
    </chartFormat>
    <chartFormat chart="2" format="1187">
      <pivotArea type="data" outline="0" fieldPosition="0">
        <references count="2">
          <reference field="4294967294" count="1" selected="0">
            <x v="2"/>
          </reference>
          <reference field="2" count="1" selected="0">
            <x v="85"/>
          </reference>
        </references>
      </pivotArea>
    </chartFormat>
    <chartFormat chart="2" format="1188">
      <pivotArea type="data" outline="0" fieldPosition="0">
        <references count="2">
          <reference field="4294967294" count="1" selected="0">
            <x v="2"/>
          </reference>
          <reference field="2" count="1" selected="0">
            <x v="21"/>
          </reference>
        </references>
      </pivotArea>
    </chartFormat>
    <chartFormat chart="2" format="1189">
      <pivotArea type="data" outline="0" fieldPosition="0">
        <references count="2">
          <reference field="4294967294" count="1" selected="0">
            <x v="2"/>
          </reference>
          <reference field="2" count="1" selected="0">
            <x v="86"/>
          </reference>
        </references>
      </pivotArea>
    </chartFormat>
    <chartFormat chart="2" format="1190">
      <pivotArea type="data" outline="0" fieldPosition="0">
        <references count="2">
          <reference field="4294967294" count="1" selected="0">
            <x v="2"/>
          </reference>
          <reference field="2" count="1" selected="0">
            <x v="218"/>
          </reference>
        </references>
      </pivotArea>
    </chartFormat>
    <chartFormat chart="2" format="1191">
      <pivotArea type="data" outline="0" fieldPosition="0">
        <references count="2">
          <reference field="4294967294" count="1" selected="0">
            <x v="2"/>
          </reference>
          <reference field="2" count="1" selected="0">
            <x v="133"/>
          </reference>
        </references>
      </pivotArea>
    </chartFormat>
    <chartFormat chart="2" format="1192">
      <pivotArea type="data" outline="0" fieldPosition="0">
        <references count="2">
          <reference field="4294967294" count="1" selected="0">
            <x v="2"/>
          </reference>
          <reference field="2" count="1" selected="0">
            <x v="56"/>
          </reference>
        </references>
      </pivotArea>
    </chartFormat>
    <chartFormat chart="2" format="1193">
      <pivotArea type="data" outline="0" fieldPosition="0">
        <references count="2">
          <reference field="4294967294" count="1" selected="0">
            <x v="2"/>
          </reference>
          <reference field="2" count="1" selected="0">
            <x v="28"/>
          </reference>
        </references>
      </pivotArea>
    </chartFormat>
    <chartFormat chart="2" format="1194">
      <pivotArea type="data" outline="0" fieldPosition="0">
        <references count="2">
          <reference field="4294967294" count="1" selected="0">
            <x v="2"/>
          </reference>
          <reference field="2" count="1" selected="0">
            <x v="112"/>
          </reference>
        </references>
      </pivotArea>
    </chartFormat>
    <chartFormat chart="2" format="1195">
      <pivotArea type="data" outline="0" fieldPosition="0">
        <references count="2">
          <reference field="4294967294" count="1" selected="0">
            <x v="2"/>
          </reference>
          <reference field="2" count="1" selected="0">
            <x v="140"/>
          </reference>
        </references>
      </pivotArea>
    </chartFormat>
    <chartFormat chart="2" format="1196">
      <pivotArea type="data" outline="0" fieldPosition="0">
        <references count="2">
          <reference field="4294967294" count="1" selected="0">
            <x v="2"/>
          </reference>
          <reference field="2" count="1" selected="0">
            <x v="45"/>
          </reference>
        </references>
      </pivotArea>
    </chartFormat>
    <chartFormat chart="2" format="1197">
      <pivotArea type="data" outline="0" fieldPosition="0">
        <references count="2">
          <reference field="4294967294" count="1" selected="0">
            <x v="2"/>
          </reference>
          <reference field="2" count="1" selected="0">
            <x v="20"/>
          </reference>
        </references>
      </pivotArea>
    </chartFormat>
    <chartFormat chart="2" format="1198">
      <pivotArea type="data" outline="0" fieldPosition="0">
        <references count="2">
          <reference field="4294967294" count="1" selected="0">
            <x v="2"/>
          </reference>
          <reference field="2" count="1" selected="0">
            <x v="203"/>
          </reference>
        </references>
      </pivotArea>
    </chartFormat>
    <chartFormat chart="2" format="1199">
      <pivotArea type="data" outline="0" fieldPosition="0">
        <references count="2">
          <reference field="4294967294" count="1" selected="0">
            <x v="2"/>
          </reference>
          <reference field="2" count="1" selected="0">
            <x v="53"/>
          </reference>
        </references>
      </pivotArea>
    </chartFormat>
    <chartFormat chart="2" format="1200">
      <pivotArea type="data" outline="0" fieldPosition="0">
        <references count="2">
          <reference field="4294967294" count="1" selected="0">
            <x v="2"/>
          </reference>
          <reference field="2" count="1" selected="0">
            <x v="171"/>
          </reference>
        </references>
      </pivotArea>
    </chartFormat>
    <chartFormat chart="2" format="1201">
      <pivotArea type="data" outline="0" fieldPosition="0">
        <references count="2">
          <reference field="4294967294" count="1" selected="0">
            <x v="2"/>
          </reference>
          <reference field="2" count="1" selected="0">
            <x v="96"/>
          </reference>
        </references>
      </pivotArea>
    </chartFormat>
    <chartFormat chart="2" format="1202">
      <pivotArea type="data" outline="0" fieldPosition="0">
        <references count="2">
          <reference field="4294967294" count="1" selected="0">
            <x v="2"/>
          </reference>
          <reference field="2" count="1" selected="0">
            <x v="72"/>
          </reference>
        </references>
      </pivotArea>
    </chartFormat>
    <chartFormat chart="2" format="1203">
      <pivotArea type="data" outline="0" fieldPosition="0">
        <references count="2">
          <reference field="4294967294" count="1" selected="0">
            <x v="2"/>
          </reference>
          <reference field="2" count="1" selected="0">
            <x v="69"/>
          </reference>
        </references>
      </pivotArea>
    </chartFormat>
    <chartFormat chart="2" format="1204">
      <pivotArea type="data" outline="0" fieldPosition="0">
        <references count="2">
          <reference field="4294967294" count="1" selected="0">
            <x v="2"/>
          </reference>
          <reference field="2" count="1" selected="0">
            <x v="0"/>
          </reference>
        </references>
      </pivotArea>
    </chartFormat>
    <chartFormat chart="2" format="1205">
      <pivotArea type="data" outline="0" fieldPosition="0">
        <references count="2">
          <reference field="4294967294" count="1" selected="0">
            <x v="2"/>
          </reference>
          <reference field="2" count="1" selected="0">
            <x v="55"/>
          </reference>
        </references>
      </pivotArea>
    </chartFormat>
    <chartFormat chart="2" format="1206">
      <pivotArea type="data" outline="0" fieldPosition="0">
        <references count="2">
          <reference field="4294967294" count="1" selected="0">
            <x v="2"/>
          </reference>
          <reference field="2" count="1" selected="0">
            <x v="191"/>
          </reference>
        </references>
      </pivotArea>
    </chartFormat>
    <chartFormat chart="2" format="1207">
      <pivotArea type="data" outline="0" fieldPosition="0">
        <references count="2">
          <reference field="4294967294" count="1" selected="0">
            <x v="2"/>
          </reference>
          <reference field="2" count="1" selected="0">
            <x v="155"/>
          </reference>
        </references>
      </pivotArea>
    </chartFormat>
    <chartFormat chart="2" format="1208">
      <pivotArea type="data" outline="0" fieldPosition="0">
        <references count="2">
          <reference field="4294967294" count="1" selected="0">
            <x v="2"/>
          </reference>
          <reference field="2" count="1" selected="0">
            <x v="79"/>
          </reference>
        </references>
      </pivotArea>
    </chartFormat>
    <chartFormat chart="2" format="1209">
      <pivotArea type="data" outline="0" fieldPosition="0">
        <references count="2">
          <reference field="4294967294" count="1" selected="0">
            <x v="2"/>
          </reference>
          <reference field="2" count="1" selected="0">
            <x v="160"/>
          </reference>
        </references>
      </pivotArea>
    </chartFormat>
    <chartFormat chart="2" format="1210">
      <pivotArea type="data" outline="0" fieldPosition="0">
        <references count="2">
          <reference field="4294967294" count="1" selected="0">
            <x v="2"/>
          </reference>
          <reference field="2" count="1" selected="0">
            <x v="44"/>
          </reference>
        </references>
      </pivotArea>
    </chartFormat>
    <chartFormat chart="2" format="1211">
      <pivotArea type="data" outline="0" fieldPosition="0">
        <references count="2">
          <reference field="4294967294" count="1" selected="0">
            <x v="2"/>
          </reference>
          <reference field="2" count="1" selected="0">
            <x v="220"/>
          </reference>
        </references>
      </pivotArea>
    </chartFormat>
    <chartFormat chart="2" format="1212">
      <pivotArea type="data" outline="0" fieldPosition="0">
        <references count="2">
          <reference field="4294967294" count="1" selected="0">
            <x v="2"/>
          </reference>
          <reference field="2" count="1" selected="0">
            <x v="199"/>
          </reference>
        </references>
      </pivotArea>
    </chartFormat>
    <chartFormat chart="2" format="1213">
      <pivotArea type="data" outline="0" fieldPosition="0">
        <references count="2">
          <reference field="4294967294" count="1" selected="0">
            <x v="2"/>
          </reference>
          <reference field="2" count="1" selected="0">
            <x v="71"/>
          </reference>
        </references>
      </pivotArea>
    </chartFormat>
    <chartFormat chart="2" format="1214">
      <pivotArea type="data" outline="0" fieldPosition="0">
        <references count="2">
          <reference field="4294967294" count="1" selected="0">
            <x v="2"/>
          </reference>
          <reference field="2" count="1" selected="0">
            <x v="84"/>
          </reference>
        </references>
      </pivotArea>
    </chartFormat>
    <chartFormat chart="2" format="1215">
      <pivotArea type="data" outline="0" fieldPosition="0">
        <references count="2">
          <reference field="4294967294" count="1" selected="0">
            <x v="2"/>
          </reference>
          <reference field="2" count="1" selected="0">
            <x v="163"/>
          </reference>
        </references>
      </pivotArea>
    </chartFormat>
    <chartFormat chart="2" format="1216">
      <pivotArea type="data" outline="0" fieldPosition="0">
        <references count="2">
          <reference field="4294967294" count="1" selected="0">
            <x v="2"/>
          </reference>
          <reference field="2" count="1" selected="0">
            <x v="120"/>
          </reference>
        </references>
      </pivotArea>
    </chartFormat>
    <chartFormat chart="2" format="1217">
      <pivotArea type="data" outline="0" fieldPosition="0">
        <references count="2">
          <reference field="4294967294" count="1" selected="0">
            <x v="2"/>
          </reference>
          <reference field="2" count="1" selected="0">
            <x v="169"/>
          </reference>
        </references>
      </pivotArea>
    </chartFormat>
    <chartFormat chart="2" format="1218">
      <pivotArea type="data" outline="0" fieldPosition="0">
        <references count="2">
          <reference field="4294967294" count="1" selected="0">
            <x v="2"/>
          </reference>
          <reference field="2" count="1" selected="0">
            <x v="122"/>
          </reference>
        </references>
      </pivotArea>
    </chartFormat>
    <chartFormat chart="2" format="1219">
      <pivotArea type="data" outline="0" fieldPosition="0">
        <references count="2">
          <reference field="4294967294" count="1" selected="0">
            <x v="2"/>
          </reference>
          <reference field="2" count="1" selected="0">
            <x v="221"/>
          </reference>
        </references>
      </pivotArea>
    </chartFormat>
    <chartFormat chart="2" format="1220">
      <pivotArea type="data" outline="0" fieldPosition="0">
        <references count="2">
          <reference field="4294967294" count="1" selected="0">
            <x v="2"/>
          </reference>
          <reference field="2" count="1" selected="0">
            <x v="104"/>
          </reference>
        </references>
      </pivotArea>
    </chartFormat>
    <chartFormat chart="2" format="1221">
      <pivotArea type="data" outline="0" fieldPosition="0">
        <references count="2">
          <reference field="4294967294" count="1" selected="0">
            <x v="2"/>
          </reference>
          <reference field="2" count="1" selected="0">
            <x v="92"/>
          </reference>
        </references>
      </pivotArea>
    </chartFormat>
    <chartFormat chart="2" format="1222">
      <pivotArea type="data" outline="0" fieldPosition="0">
        <references count="2">
          <reference field="4294967294" count="1" selected="0">
            <x v="2"/>
          </reference>
          <reference field="2" count="1" selected="0">
            <x v="210"/>
          </reference>
        </references>
      </pivotArea>
    </chartFormat>
    <chartFormat chart="2" format="1223">
      <pivotArea type="data" outline="0" fieldPosition="0">
        <references count="2">
          <reference field="4294967294" count="1" selected="0">
            <x v="2"/>
          </reference>
          <reference field="2" count="1" selected="0">
            <x v="194"/>
          </reference>
        </references>
      </pivotArea>
    </chartFormat>
    <chartFormat chart="2" format="1224">
      <pivotArea type="data" outline="0" fieldPosition="0">
        <references count="2">
          <reference field="4294967294" count="1" selected="0">
            <x v="2"/>
          </reference>
          <reference field="2" count="1" selected="0">
            <x v="13"/>
          </reference>
        </references>
      </pivotArea>
    </chartFormat>
    <chartFormat chart="2" format="1225">
      <pivotArea type="data" outline="0" fieldPosition="0">
        <references count="2">
          <reference field="4294967294" count="1" selected="0">
            <x v="2"/>
          </reference>
          <reference field="2" count="1" selected="0">
            <x v="49"/>
          </reference>
        </references>
      </pivotArea>
    </chartFormat>
    <chartFormat chart="2" format="1226">
      <pivotArea type="data" outline="0" fieldPosition="0">
        <references count="2">
          <reference field="4294967294" count="1" selected="0">
            <x v="2"/>
          </reference>
          <reference field="2" count="1" selected="0">
            <x v="68"/>
          </reference>
        </references>
      </pivotArea>
    </chartFormat>
    <chartFormat chart="2" format="1227">
      <pivotArea type="data" outline="0" fieldPosition="0">
        <references count="2">
          <reference field="4294967294" count="1" selected="0">
            <x v="2"/>
          </reference>
          <reference field="2" count="1" selected="0">
            <x v="22"/>
          </reference>
        </references>
      </pivotArea>
    </chartFormat>
    <chartFormat chart="2" format="1228">
      <pivotArea type="data" outline="0" fieldPosition="0">
        <references count="2">
          <reference field="4294967294" count="1" selected="0">
            <x v="2"/>
          </reference>
          <reference field="2" count="1" selected="0">
            <x v="32"/>
          </reference>
        </references>
      </pivotArea>
    </chartFormat>
    <chartFormat chart="2" format="1229">
      <pivotArea type="data" outline="0" fieldPosition="0">
        <references count="2">
          <reference field="4294967294" count="1" selected="0">
            <x v="2"/>
          </reference>
          <reference field="2" count="1" selected="0">
            <x v="222"/>
          </reference>
        </references>
      </pivotArea>
    </chartFormat>
    <chartFormat chart="2" format="1230">
      <pivotArea type="data" outline="0" fieldPosition="0">
        <references count="2">
          <reference field="4294967294" count="1" selected="0">
            <x v="2"/>
          </reference>
          <reference field="2" count="1" selected="0">
            <x v="6"/>
          </reference>
        </references>
      </pivotArea>
    </chartFormat>
    <chartFormat chart="2" format="1231">
      <pivotArea type="data" outline="0" fieldPosition="0">
        <references count="2">
          <reference field="4294967294" count="1" selected="0">
            <x v="2"/>
          </reference>
          <reference field="2" count="1" selected="0">
            <x v="217"/>
          </reference>
        </references>
      </pivotArea>
    </chartFormat>
    <chartFormat chart="2" format="1232">
      <pivotArea type="data" outline="0" fieldPosition="0">
        <references count="2">
          <reference field="4294967294" count="1" selected="0">
            <x v="2"/>
          </reference>
          <reference field="2" count="1" selected="0">
            <x v="34"/>
          </reference>
        </references>
      </pivotArea>
    </chartFormat>
    <chartFormat chart="2" format="1233">
      <pivotArea type="data" outline="0" fieldPosition="0">
        <references count="2">
          <reference field="4294967294" count="1" selected="0">
            <x v="2"/>
          </reference>
          <reference field="2" count="1" selected="0">
            <x v="51"/>
          </reference>
        </references>
      </pivotArea>
    </chartFormat>
    <chartFormat chart="2" format="1234">
      <pivotArea type="data" outline="0" fieldPosition="0">
        <references count="2">
          <reference field="4294967294" count="1" selected="0">
            <x v="2"/>
          </reference>
          <reference field="2" count="1" selected="0">
            <x v="124"/>
          </reference>
        </references>
      </pivotArea>
    </chartFormat>
    <chartFormat chart="2" format="1235">
      <pivotArea type="data" outline="0" fieldPosition="0">
        <references count="2">
          <reference field="4294967294" count="1" selected="0">
            <x v="2"/>
          </reference>
          <reference field="2" count="1" selected="0">
            <x v="187"/>
          </reference>
        </references>
      </pivotArea>
    </chartFormat>
    <chartFormat chart="2" format="1236">
      <pivotArea type="data" outline="0" fieldPosition="0">
        <references count="2">
          <reference field="4294967294" count="1" selected="0">
            <x v="2"/>
          </reference>
          <reference field="2" count="1" selected="0">
            <x v="129"/>
          </reference>
        </references>
      </pivotArea>
    </chartFormat>
    <chartFormat chart="2" format="1237">
      <pivotArea type="data" outline="0" fieldPosition="0">
        <references count="2">
          <reference field="4294967294" count="1" selected="0">
            <x v="2"/>
          </reference>
          <reference field="2" count="1" selected="0">
            <x v="54"/>
          </reference>
        </references>
      </pivotArea>
    </chartFormat>
    <chartFormat chart="2" format="1238">
      <pivotArea type="data" outline="0" fieldPosition="0">
        <references count="2">
          <reference field="4294967294" count="1" selected="0">
            <x v="2"/>
          </reference>
          <reference field="2" count="1" selected="0">
            <x v="16"/>
          </reference>
        </references>
      </pivotArea>
    </chartFormat>
    <chartFormat chart="2" format="1239">
      <pivotArea type="data" outline="0" fieldPosition="0">
        <references count="2">
          <reference field="4294967294" count="1" selected="0">
            <x v="2"/>
          </reference>
          <reference field="2" count="1" selected="0">
            <x v="58"/>
          </reference>
        </references>
      </pivotArea>
    </chartFormat>
    <chartFormat chart="2" format="1240">
      <pivotArea type="data" outline="0" fieldPosition="0">
        <references count="2">
          <reference field="4294967294" count="1" selected="0">
            <x v="2"/>
          </reference>
          <reference field="2" count="1" selected="0">
            <x v="73"/>
          </reference>
        </references>
      </pivotArea>
    </chartFormat>
    <chartFormat chart="2" format="1241">
      <pivotArea type="data" outline="0" fieldPosition="0">
        <references count="2">
          <reference field="4294967294" count="1" selected="0">
            <x v="2"/>
          </reference>
          <reference field="2" count="1" selected="0">
            <x v="207"/>
          </reference>
        </references>
      </pivotArea>
    </chartFormat>
    <chartFormat chart="2" format="1242">
      <pivotArea type="data" outline="0" fieldPosition="0">
        <references count="2">
          <reference field="4294967294" count="1" selected="0">
            <x v="2"/>
          </reference>
          <reference field="2" count="1" selected="0">
            <x v="134"/>
          </reference>
        </references>
      </pivotArea>
    </chartFormat>
    <chartFormat chart="2" format="1243">
      <pivotArea type="data" outline="0" fieldPosition="0">
        <references count="2">
          <reference field="4294967294" count="1" selected="0">
            <x v="2"/>
          </reference>
          <reference field="2" count="1" selected="0">
            <x v="108"/>
          </reference>
        </references>
      </pivotArea>
    </chartFormat>
    <chartFormat chart="2" format="1244">
      <pivotArea type="data" outline="0" fieldPosition="0">
        <references count="2">
          <reference field="4294967294" count="1" selected="0">
            <x v="2"/>
          </reference>
          <reference field="2" count="1" selected="0">
            <x v="74"/>
          </reference>
        </references>
      </pivotArea>
    </chartFormat>
    <chartFormat chart="2" format="1245">
      <pivotArea type="data" outline="0" fieldPosition="0">
        <references count="2">
          <reference field="4294967294" count="1" selected="0">
            <x v="2"/>
          </reference>
          <reference field="2" count="1" selected="0">
            <x v="88"/>
          </reference>
        </references>
      </pivotArea>
    </chartFormat>
    <chartFormat chart="2" format="1246">
      <pivotArea type="data" outline="0" fieldPosition="0">
        <references count="2">
          <reference field="4294967294" count="1" selected="0">
            <x v="2"/>
          </reference>
          <reference field="2" count="1" selected="0">
            <x v="142"/>
          </reference>
        </references>
      </pivotArea>
    </chartFormat>
    <chartFormat chart="2" format="1247">
      <pivotArea type="data" outline="0" fieldPosition="0">
        <references count="2">
          <reference field="4294967294" count="1" selected="0">
            <x v="2"/>
          </reference>
          <reference field="2" count="1" selected="0">
            <x v="175"/>
          </reference>
        </references>
      </pivotArea>
    </chartFormat>
    <chartFormat chart="2" format="1248">
      <pivotArea type="data" outline="0" fieldPosition="0">
        <references count="2">
          <reference field="4294967294" count="1" selected="0">
            <x v="2"/>
          </reference>
          <reference field="2" count="1" selected="0">
            <x v="39"/>
          </reference>
        </references>
      </pivotArea>
    </chartFormat>
    <chartFormat chart="2" format="1249">
      <pivotArea type="data" outline="0" fieldPosition="0">
        <references count="2">
          <reference field="4294967294" count="1" selected="0">
            <x v="2"/>
          </reference>
          <reference field="2" count="1" selected="0">
            <x v="178"/>
          </reference>
        </references>
      </pivotArea>
    </chartFormat>
    <chartFormat chart="2" format="1250">
      <pivotArea type="data" outline="0" fieldPosition="0">
        <references count="2">
          <reference field="4294967294" count="1" selected="0">
            <x v="2"/>
          </reference>
          <reference field="2" count="1" selected="0">
            <x v="145"/>
          </reference>
        </references>
      </pivotArea>
    </chartFormat>
    <chartFormat chart="2" format="1251">
      <pivotArea type="data" outline="0" fieldPosition="0">
        <references count="2">
          <reference field="4294967294" count="1" selected="0">
            <x v="2"/>
          </reference>
          <reference field="2" count="1" selected="0">
            <x v="184"/>
          </reference>
        </references>
      </pivotArea>
    </chartFormat>
    <chartFormat chart="2" format="1252">
      <pivotArea type="data" outline="0" fieldPosition="0">
        <references count="2">
          <reference field="4294967294" count="1" selected="0">
            <x v="2"/>
          </reference>
          <reference field="2" count="1" selected="0">
            <x v="18"/>
          </reference>
        </references>
      </pivotArea>
    </chartFormat>
    <chartFormat chart="2" format="1253">
      <pivotArea type="data" outline="0" fieldPosition="0">
        <references count="2">
          <reference field="4294967294" count="1" selected="0">
            <x v="2"/>
          </reference>
          <reference field="2" count="1" selected="0">
            <x v="93"/>
          </reference>
        </references>
      </pivotArea>
    </chartFormat>
    <chartFormat chart="2" format="1254">
      <pivotArea type="data" outline="0" fieldPosition="0">
        <references count="2">
          <reference field="4294967294" count="1" selected="0">
            <x v="2"/>
          </reference>
          <reference field="2" count="1" selected="0">
            <x v="80"/>
          </reference>
        </references>
      </pivotArea>
    </chartFormat>
    <chartFormat chart="2" format="1255">
      <pivotArea type="data" outline="0" fieldPosition="0">
        <references count="2">
          <reference field="4294967294" count="1" selected="0">
            <x v="2"/>
          </reference>
          <reference field="2" count="1" selected="0">
            <x v="23"/>
          </reference>
        </references>
      </pivotArea>
    </chartFormat>
    <chartFormat chart="2" format="1256">
      <pivotArea type="data" outline="0" fieldPosition="0">
        <references count="2">
          <reference field="4294967294" count="1" selected="0">
            <x v="2"/>
          </reference>
          <reference field="2" count="1" selected="0">
            <x v="149"/>
          </reference>
        </references>
      </pivotArea>
    </chartFormat>
    <chartFormat chart="2" format="1257">
      <pivotArea type="data" outline="0" fieldPosition="0">
        <references count="2">
          <reference field="4294967294" count="1" selected="0">
            <x v="2"/>
          </reference>
          <reference field="2" count="1" selected="0">
            <x v="99"/>
          </reference>
        </references>
      </pivotArea>
    </chartFormat>
    <chartFormat chart="2" format="1258">
      <pivotArea type="data" outline="0" fieldPosition="0">
        <references count="2">
          <reference field="4294967294" count="1" selected="0">
            <x v="2"/>
          </reference>
          <reference field="2" count="1" selected="0">
            <x v="41"/>
          </reference>
        </references>
      </pivotArea>
    </chartFormat>
    <chartFormat chart="2" format="1259">
      <pivotArea type="data" outline="0" fieldPosition="0">
        <references count="2">
          <reference field="4294967294" count="1" selected="0">
            <x v="2"/>
          </reference>
          <reference field="2" count="1" selected="0">
            <x v="10"/>
          </reference>
        </references>
      </pivotArea>
    </chartFormat>
    <chartFormat chart="2" format="1260">
      <pivotArea type="data" outline="0" fieldPosition="0">
        <references count="2">
          <reference field="4294967294" count="1" selected="0">
            <x v="2"/>
          </reference>
          <reference field="2" count="1" selected="0">
            <x v="151"/>
          </reference>
        </references>
      </pivotArea>
    </chartFormat>
    <chartFormat chart="2" format="1261">
      <pivotArea type="data" outline="0" fieldPosition="0">
        <references count="2">
          <reference field="4294967294" count="1" selected="0">
            <x v="2"/>
          </reference>
          <reference field="2" count="1" selected="0">
            <x v="26"/>
          </reference>
        </references>
      </pivotArea>
    </chartFormat>
    <chartFormat chart="2" format="1262">
      <pivotArea type="data" outline="0" fieldPosition="0">
        <references count="2">
          <reference field="4294967294" count="1" selected="0">
            <x v="2"/>
          </reference>
          <reference field="2" count="1" selected="0">
            <x v="152"/>
          </reference>
        </references>
      </pivotArea>
    </chartFormat>
    <chartFormat chart="2" format="1263">
      <pivotArea type="data" outline="0" fieldPosition="0">
        <references count="2">
          <reference field="4294967294" count="1" selected="0">
            <x v="2"/>
          </reference>
          <reference field="2" count="1" selected="0">
            <x v="205"/>
          </reference>
        </references>
      </pivotArea>
    </chartFormat>
    <chartFormat chart="2" format="1264">
      <pivotArea type="data" outline="0" fieldPosition="0">
        <references count="2">
          <reference field="4294967294" count="1" selected="0">
            <x v="2"/>
          </reference>
          <reference field="2" count="1" selected="0">
            <x v="159"/>
          </reference>
        </references>
      </pivotArea>
    </chartFormat>
    <chartFormat chart="2" format="1265">
      <pivotArea type="data" outline="0" fieldPosition="0">
        <references count="2">
          <reference field="4294967294" count="1" selected="0">
            <x v="2"/>
          </reference>
          <reference field="2" count="1" selected="0">
            <x v="209"/>
          </reference>
        </references>
      </pivotArea>
    </chartFormat>
    <chartFormat chart="2" format="1266">
      <pivotArea type="data" outline="0" fieldPosition="0">
        <references count="2">
          <reference field="4294967294" count="1" selected="0">
            <x v="2"/>
          </reference>
          <reference field="2" count="1" selected="0">
            <x v="19"/>
          </reference>
        </references>
      </pivotArea>
    </chartFormat>
    <chartFormat chart="2" format="1267">
      <pivotArea type="data" outline="0" fieldPosition="0">
        <references count="2">
          <reference field="4294967294" count="1" selected="0">
            <x v="2"/>
          </reference>
          <reference field="2" count="1" selected="0">
            <x v="211"/>
          </reference>
        </references>
      </pivotArea>
    </chartFormat>
    <chartFormat chart="2" format="1268">
      <pivotArea type="data" outline="0" fieldPosition="0">
        <references count="2">
          <reference field="4294967294" count="1" selected="0">
            <x v="2"/>
          </reference>
          <reference field="2" count="1" selected="0">
            <x v="27"/>
          </reference>
        </references>
      </pivotArea>
    </chartFormat>
    <chartFormat chart="2" format="1269">
      <pivotArea type="data" outline="0" fieldPosition="0">
        <references count="2">
          <reference field="4294967294" count="1" selected="0">
            <x v="2"/>
          </reference>
          <reference field="2" count="1" selected="0">
            <x v="216"/>
          </reference>
        </references>
      </pivotArea>
    </chartFormat>
    <chartFormat chart="2" format="1270">
      <pivotArea type="data" outline="0" fieldPosition="0">
        <references count="2">
          <reference field="4294967294" count="1" selected="0">
            <x v="2"/>
          </reference>
          <reference field="2" count="1" selected="0">
            <x v="29"/>
          </reference>
        </references>
      </pivotArea>
    </chartFormat>
    <chartFormat chart="2" format="1271">
      <pivotArea type="data" outline="0" fieldPosition="0">
        <references count="2">
          <reference field="4294967294" count="1" selected="0">
            <x v="2"/>
          </reference>
          <reference field="2" count="1" selected="0">
            <x v="87"/>
          </reference>
        </references>
      </pivotArea>
    </chartFormat>
    <chartFormat chart="2" format="1272">
      <pivotArea type="data" outline="0" fieldPosition="0">
        <references count="2">
          <reference field="4294967294" count="1" selected="0">
            <x v="2"/>
          </reference>
          <reference field="2" count="1" selected="0">
            <x v="5"/>
          </reference>
        </references>
      </pivotArea>
    </chartFormat>
    <chartFormat chart="2" format="1273">
      <pivotArea type="data" outline="0" fieldPosition="0">
        <references count="2">
          <reference field="4294967294" count="1" selected="0">
            <x v="2"/>
          </reference>
          <reference field="2" count="1" selected="0">
            <x v="75"/>
          </reference>
        </references>
      </pivotArea>
    </chartFormat>
    <chartFormat chart="2" format="1274">
      <pivotArea type="data" outline="0" fieldPosition="0">
        <references count="2">
          <reference field="4294967294" count="1" selected="0">
            <x v="2"/>
          </reference>
          <reference field="2" count="1" selected="0">
            <x v="136"/>
          </reference>
        </references>
      </pivotArea>
    </chartFormat>
    <chartFormat chart="2" format="1275">
      <pivotArea type="data" outline="0" fieldPosition="0">
        <references count="2">
          <reference field="4294967294" count="1" selected="0">
            <x v="2"/>
          </reference>
          <reference field="2" count="1" selected="0">
            <x v="135"/>
          </reference>
        </references>
      </pivotArea>
    </chartFormat>
    <chartFormat chart="2" format="1276">
      <pivotArea type="data" outline="0" fieldPosition="0">
        <references count="2">
          <reference field="4294967294" count="1" selected="0">
            <x v="2"/>
          </reference>
          <reference field="2" count="1" selected="0">
            <x v="141"/>
          </reference>
        </references>
      </pivotArea>
    </chartFormat>
    <chartFormat chart="2" format="1277">
      <pivotArea type="data" outline="0" fieldPosition="0">
        <references count="2">
          <reference field="4294967294" count="1" selected="0">
            <x v="2"/>
          </reference>
          <reference field="2" count="1" selected="0">
            <x v="212"/>
          </reference>
        </references>
      </pivotArea>
    </chartFormat>
    <chartFormat chart="2" format="1278">
      <pivotArea type="data" outline="0" fieldPosition="0">
        <references count="2">
          <reference field="4294967294" count="1" selected="0">
            <x v="2"/>
          </reference>
          <reference field="2" count="1" selected="0">
            <x v="180"/>
          </reference>
        </references>
      </pivotArea>
    </chartFormat>
    <chartFormat chart="2" format="1279">
      <pivotArea type="data" outline="0" fieldPosition="0">
        <references count="2">
          <reference field="4294967294" count="1" selected="0">
            <x v="2"/>
          </reference>
          <reference field="2" count="1" selected="0">
            <x v="65"/>
          </reference>
        </references>
      </pivotArea>
    </chartFormat>
    <chartFormat chart="2" format="1280">
      <pivotArea type="data" outline="0" fieldPosition="0">
        <references count="2">
          <reference field="4294967294" count="1" selected="0">
            <x v="2"/>
          </reference>
          <reference field="2" count="1" selected="0">
            <x v="153"/>
          </reference>
        </references>
      </pivotArea>
    </chartFormat>
    <chartFormat chart="2" format="1281">
      <pivotArea type="data" outline="0" fieldPosition="0">
        <references count="2">
          <reference field="4294967294" count="1" selected="0">
            <x v="2"/>
          </reference>
          <reference field="2" count="1" selected="0">
            <x v="147"/>
          </reference>
        </references>
      </pivotArea>
    </chartFormat>
    <chartFormat chart="2" format="1282">
      <pivotArea type="data" outline="0" fieldPosition="0">
        <references count="2">
          <reference field="4294967294" count="1" selected="0">
            <x v="2"/>
          </reference>
          <reference field="2" count="1" selected="0">
            <x v="154"/>
          </reference>
        </references>
      </pivotArea>
    </chartFormat>
    <chartFormat chart="2" format="1283">
      <pivotArea type="data" outline="0" fieldPosition="0">
        <references count="2">
          <reference field="4294967294" count="1" selected="0">
            <x v="2"/>
          </reference>
          <reference field="2" count="1" selected="0">
            <x v="173"/>
          </reference>
        </references>
      </pivotArea>
    </chartFormat>
    <chartFormat chart="2" format="1284">
      <pivotArea type="data" outline="0" fieldPosition="0">
        <references count="2">
          <reference field="4294967294" count="1" selected="0">
            <x v="2"/>
          </reference>
          <reference field="2" count="1" selected="0">
            <x v="42"/>
          </reference>
        </references>
      </pivotArea>
    </chartFormat>
    <chartFormat chart="2" format="1285">
      <pivotArea type="data" outline="0" fieldPosition="0">
        <references count="2">
          <reference field="4294967294" count="1" selected="0">
            <x v="2"/>
          </reference>
          <reference field="2" count="1" selected="0">
            <x v="90"/>
          </reference>
        </references>
      </pivotArea>
    </chartFormat>
    <chartFormat chart="2" format="1286">
      <pivotArea type="data" outline="0" fieldPosition="0">
        <references count="2">
          <reference field="4294967294" count="1" selected="0">
            <x v="2"/>
          </reference>
          <reference field="2" count="1" selected="0">
            <x v="157"/>
          </reference>
        </references>
      </pivotArea>
    </chartFormat>
    <chartFormat chart="2" format="1287">
      <pivotArea type="data" outline="0" fieldPosition="0">
        <references count="2">
          <reference field="4294967294" count="1" selected="0">
            <x v="2"/>
          </reference>
          <reference field="2" count="1" selected="0">
            <x v="59"/>
          </reference>
        </references>
      </pivotArea>
    </chartFormat>
    <chartFormat chart="2" format="1288">
      <pivotArea type="data" outline="0" fieldPosition="0">
        <references count="2">
          <reference field="4294967294" count="1" selected="0">
            <x v="2"/>
          </reference>
          <reference field="2" count="1" selected="0">
            <x v="158"/>
          </reference>
        </references>
      </pivotArea>
    </chartFormat>
    <chartFormat chart="2" format="1289">
      <pivotArea type="data" outline="0" fieldPosition="0">
        <references count="2">
          <reference field="4294967294" count="1" selected="0">
            <x v="2"/>
          </reference>
          <reference field="2" count="1" selected="0">
            <x v="202"/>
          </reference>
        </references>
      </pivotArea>
    </chartFormat>
    <chartFormat chart="2" format="1290">
      <pivotArea type="data" outline="0" fieldPosition="0">
        <references count="2">
          <reference field="4294967294" count="1" selected="0">
            <x v="2"/>
          </reference>
          <reference field="2" count="1" selected="0">
            <x v="12"/>
          </reference>
        </references>
      </pivotArea>
    </chartFormat>
    <chartFormat chart="2" format="1291">
      <pivotArea type="data" outline="0" fieldPosition="0">
        <references count="2">
          <reference field="4294967294" count="1" selected="0">
            <x v="2"/>
          </reference>
          <reference field="2" count="1" selected="0">
            <x v="204"/>
          </reference>
        </references>
      </pivotArea>
    </chartFormat>
    <chartFormat chart="2" format="1292">
      <pivotArea type="data" outline="0" fieldPosition="0">
        <references count="2">
          <reference field="4294967294" count="1" selected="0">
            <x v="2"/>
          </reference>
          <reference field="2" count="1" selected="0">
            <x v="76"/>
          </reference>
        </references>
      </pivotArea>
    </chartFormat>
    <chartFormat chart="2" format="1293">
      <pivotArea type="data" outline="0" fieldPosition="0">
        <references count="2">
          <reference field="4294967294" count="1" selected="0">
            <x v="2"/>
          </reference>
          <reference field="2" count="1" selected="0">
            <x v="206"/>
          </reference>
        </references>
      </pivotArea>
    </chartFormat>
    <chartFormat chart="2" format="1294">
      <pivotArea type="data" outline="0" fieldPosition="0">
        <references count="2">
          <reference field="4294967294" count="1" selected="0">
            <x v="2"/>
          </reference>
          <reference field="2" count="1" selected="0">
            <x v="7"/>
          </reference>
        </references>
      </pivotArea>
    </chartFormat>
    <chartFormat chart="2" format="1295">
      <pivotArea type="data" outline="0" fieldPosition="0">
        <references count="2">
          <reference field="4294967294" count="1" selected="0">
            <x v="2"/>
          </reference>
          <reference field="2" count="1" selected="0">
            <x v="172"/>
          </reference>
        </references>
      </pivotArea>
    </chartFormat>
    <chartFormat chart="2" format="1296">
      <pivotArea type="data" outline="0" fieldPosition="0">
        <references count="2">
          <reference field="4294967294" count="1" selected="0">
            <x v="2"/>
          </reference>
          <reference field="2" count="1" selected="0">
            <x v="1"/>
          </reference>
        </references>
      </pivotArea>
    </chartFormat>
    <chartFormat chart="2" format="1297">
      <pivotArea type="data" outline="0" fieldPosition="0">
        <references count="2">
          <reference field="4294967294" count="1" selected="0">
            <x v="2"/>
          </reference>
          <reference field="2" count="1" selected="0">
            <x v="174"/>
          </reference>
        </references>
      </pivotArea>
    </chartFormat>
    <chartFormat chart="2" format="1298">
      <pivotArea type="data" outline="0" fieldPosition="0">
        <references count="2">
          <reference field="4294967294" count="1" selected="0">
            <x v="2"/>
          </reference>
          <reference field="2" count="1" selected="0">
            <x v="8"/>
          </reference>
        </references>
      </pivotArea>
    </chartFormat>
    <chartFormat chart="2" format="1299">
      <pivotArea type="data" outline="0" fieldPosition="0">
        <references count="2">
          <reference field="4294967294" count="1" selected="0">
            <x v="2"/>
          </reference>
          <reference field="2" count="1" selected="0">
            <x v="131"/>
          </reference>
        </references>
      </pivotArea>
    </chartFormat>
    <chartFormat chart="2" format="1300">
      <pivotArea type="data" outline="0" fieldPosition="0">
        <references count="2">
          <reference field="4294967294" count="1" selected="0">
            <x v="2"/>
          </reference>
          <reference field="2" count="1" selected="0">
            <x v="197"/>
          </reference>
        </references>
      </pivotArea>
    </chartFormat>
    <chartFormat chart="2" format="1301">
      <pivotArea type="data" outline="0" fieldPosition="0">
        <references count="2">
          <reference field="4294967294" count="1" selected="0">
            <x v="2"/>
          </reference>
          <reference field="2" count="1" selected="0">
            <x v="138"/>
          </reference>
        </references>
      </pivotArea>
    </chartFormat>
    <chartFormat chart="2" format="1302">
      <pivotArea type="data" outline="0" fieldPosition="0">
        <references count="2">
          <reference field="4294967294" count="1" selected="0">
            <x v="2"/>
          </reference>
          <reference field="2" count="1" selected="0">
            <x v="57"/>
          </reference>
        </references>
      </pivotArea>
    </chartFormat>
    <chartFormat chart="2" format="1303">
      <pivotArea type="data" outline="0" fieldPosition="0">
        <references count="2">
          <reference field="4294967294" count="1" selected="0">
            <x v="2"/>
          </reference>
          <reference field="2" count="1" selected="0">
            <x v="126"/>
          </reference>
        </references>
      </pivotArea>
    </chartFormat>
    <chartFormat chart="2" format="1304">
      <pivotArea type="data" outline="0" fieldPosition="0">
        <references count="2">
          <reference field="4294967294" count="1" selected="0">
            <x v="2"/>
          </reference>
          <reference field="2" count="1" selected="0">
            <x v="48"/>
          </reference>
        </references>
      </pivotArea>
    </chartFormat>
    <chartFormat chart="2" format="1305">
      <pivotArea type="data" outline="0" fieldPosition="0">
        <references count="2">
          <reference field="4294967294" count="1" selected="0">
            <x v="2"/>
          </reference>
          <reference field="2" count="1" selected="0">
            <x v="165"/>
          </reference>
        </references>
      </pivotArea>
    </chartFormat>
    <chartFormat chart="2" format="1306">
      <pivotArea type="data" outline="0" fieldPosition="0">
        <references count="2">
          <reference field="4294967294" count="1" selected="0">
            <x v="2"/>
          </reference>
          <reference field="2" count="1" selected="0">
            <x v="107"/>
          </reference>
        </references>
      </pivotArea>
    </chartFormat>
    <chartFormat chart="2" format="1307">
      <pivotArea type="data" outline="0" fieldPosition="0">
        <references count="2">
          <reference field="4294967294" count="1" selected="0">
            <x v="2"/>
          </reference>
          <reference field="2" count="1" selected="0">
            <x v="213"/>
          </reference>
        </references>
      </pivotArea>
    </chartFormat>
    <chartFormat chart="2" format="1308">
      <pivotArea type="data" outline="0" fieldPosition="0">
        <references count="2">
          <reference field="4294967294" count="1" selected="0">
            <x v="2"/>
          </reference>
          <reference field="2" count="1" selected="0">
            <x v="17"/>
          </reference>
        </references>
      </pivotArea>
    </chartFormat>
    <chartFormat chart="2" format="1309">
      <pivotArea type="data" outline="0" fieldPosition="0">
        <references count="2">
          <reference field="4294967294" count="1" selected="0">
            <x v="2"/>
          </reference>
          <reference field="2" count="1" selected="0">
            <x v="95"/>
          </reference>
        </references>
      </pivotArea>
    </chartFormat>
    <chartFormat chart="2" format="1310">
      <pivotArea type="data" outline="0" fieldPosition="0">
        <references count="2">
          <reference field="4294967294" count="1" selected="0">
            <x v="2"/>
          </reference>
          <reference field="2" count="1" selected="0">
            <x v="121"/>
          </reference>
        </references>
      </pivotArea>
    </chartFormat>
    <chartFormat chart="2" format="1311">
      <pivotArea type="data" outline="0" fieldPosition="0">
        <references count="2">
          <reference field="4294967294" count="1" selected="0">
            <x v="2"/>
          </reference>
          <reference field="2" count="1" selected="0">
            <x v="130"/>
          </reference>
        </references>
      </pivotArea>
    </chartFormat>
    <chartFormat chart="2" format="1312">
      <pivotArea type="data" outline="0" fieldPosition="0">
        <references count="2">
          <reference field="4294967294" count="1" selected="0">
            <x v="2"/>
          </reference>
          <reference field="2" count="1" selected="0">
            <x v="46"/>
          </reference>
        </references>
      </pivotArea>
    </chartFormat>
    <chartFormat chart="2" format="1313">
      <pivotArea type="data" outline="0" fieldPosition="0">
        <references count="2">
          <reference field="4294967294" count="1" selected="0">
            <x v="2"/>
          </reference>
          <reference field="2" count="1" selected="0">
            <x v="167"/>
          </reference>
        </references>
      </pivotArea>
    </chartFormat>
    <chartFormat chart="2" format="1314">
      <pivotArea type="data" outline="0" fieldPosition="0">
        <references count="2">
          <reference field="4294967294" count="1" selected="0">
            <x v="2"/>
          </reference>
          <reference field="2" count="1" selected="0">
            <x v="139"/>
          </reference>
        </references>
      </pivotArea>
    </chartFormat>
    <chartFormat chart="2" format="1315">
      <pivotArea type="data" outline="0" fieldPosition="0">
        <references count="2">
          <reference field="4294967294" count="1" selected="0">
            <x v="2"/>
          </reference>
          <reference field="2" count="1" selected="0">
            <x v="14"/>
          </reference>
        </references>
      </pivotArea>
    </chartFormat>
    <chartFormat chart="2" format="1316">
      <pivotArea type="data" outline="0" fieldPosition="0">
        <references count="2">
          <reference field="4294967294" count="1" selected="0">
            <x v="2"/>
          </reference>
          <reference field="2" count="1" selected="0">
            <x v="109"/>
          </reference>
        </references>
      </pivotArea>
    </chartFormat>
    <chartFormat chart="2" format="1317">
      <pivotArea type="data" outline="0" fieldPosition="0">
        <references count="2">
          <reference field="4294967294" count="1" selected="0">
            <x v="2"/>
          </reference>
          <reference field="2" count="1" selected="0">
            <x v="188"/>
          </reference>
        </references>
      </pivotArea>
    </chartFormat>
    <chartFormat chart="2" format="1318">
      <pivotArea type="data" outline="0" fieldPosition="0">
        <references count="2">
          <reference field="4294967294" count="1" selected="0">
            <x v="2"/>
          </reference>
          <reference field="2" count="1" selected="0">
            <x v="36"/>
          </reference>
        </references>
      </pivotArea>
    </chartFormat>
    <chartFormat chart="2" format="1319">
      <pivotArea type="data" outline="0" fieldPosition="0">
        <references count="2">
          <reference field="4294967294" count="1" selected="0">
            <x v="2"/>
          </reference>
          <reference field="2" count="1" selected="0">
            <x v="164"/>
          </reference>
        </references>
      </pivotArea>
    </chartFormat>
    <chartFormat chart="2" format="1320">
      <pivotArea type="data" outline="0" fieldPosition="0">
        <references count="2">
          <reference field="4294967294" count="1" selected="0">
            <x v="2"/>
          </reference>
          <reference field="2" count="1" selected="0">
            <x v="101"/>
          </reference>
        </references>
      </pivotArea>
    </chartFormat>
    <chartFormat chart="2" format="1321">
      <pivotArea type="data" outline="0" fieldPosition="0">
        <references count="2">
          <reference field="4294967294" count="1" selected="0">
            <x v="2"/>
          </reference>
          <reference field="2" count="1" selected="0">
            <x v="37"/>
          </reference>
        </references>
      </pivotArea>
    </chartFormat>
    <chartFormat chart="2" format="1322">
      <pivotArea type="data" outline="0" fieldPosition="0">
        <references count="2">
          <reference field="4294967294" count="1" selected="0">
            <x v="2"/>
          </reference>
          <reference field="2" count="1" selected="0">
            <x v="127"/>
          </reference>
        </references>
      </pivotArea>
    </chartFormat>
    <chartFormat chart="2" format="1323">
      <pivotArea type="data" outline="0" fieldPosition="0">
        <references count="2">
          <reference field="4294967294" count="1" selected="0">
            <x v="2"/>
          </reference>
          <reference field="2" count="1" selected="0">
            <x v="43"/>
          </reference>
        </references>
      </pivotArea>
    </chartFormat>
    <chartFormat chart="2" format="1324">
      <pivotArea type="data" outline="0" fieldPosition="0">
        <references count="2">
          <reference field="4294967294" count="1" selected="0">
            <x v="2"/>
          </reference>
          <reference field="2" count="1" selected="0">
            <x v="182"/>
          </reference>
        </references>
      </pivotArea>
    </chartFormat>
    <chartFormat chart="2" format="1325">
      <pivotArea type="data" outline="0" fieldPosition="0">
        <references count="2">
          <reference field="4294967294" count="1" selected="0">
            <x v="2"/>
          </reference>
          <reference field="2" count="1" selected="0">
            <x v="219"/>
          </reference>
        </references>
      </pivotArea>
    </chartFormat>
    <chartFormat chart="2" format="1326">
      <pivotArea type="data" outline="0" fieldPosition="0">
        <references count="2">
          <reference field="4294967294" count="1" selected="0">
            <x v="2"/>
          </reference>
          <reference field="2" count="1" selected="0">
            <x v="128"/>
          </reference>
        </references>
      </pivotArea>
    </chartFormat>
    <chartFormat chart="2" format="1327">
      <pivotArea type="data" outline="0" fieldPosition="0">
        <references count="2">
          <reference field="4294967294" count="1" selected="0">
            <x v="2"/>
          </reference>
          <reference field="2" count="1" selected="0">
            <x v="97"/>
          </reference>
        </references>
      </pivotArea>
    </chartFormat>
    <chartFormat chart="2" format="1328">
      <pivotArea type="data" outline="0" fieldPosition="0">
        <references count="2">
          <reference field="4294967294" count="1" selected="0">
            <x v="2"/>
          </reference>
          <reference field="2" count="1" selected="0">
            <x v="186"/>
          </reference>
        </references>
      </pivotArea>
    </chartFormat>
    <chartFormat chart="2" format="1329">
      <pivotArea type="data" outline="0" fieldPosition="0">
        <references count="2">
          <reference field="4294967294" count="1" selected="0">
            <x v="2"/>
          </reference>
          <reference field="2" count="1" selected="0">
            <x v="113"/>
          </reference>
        </references>
      </pivotArea>
    </chartFormat>
    <chartFormat chart="2" format="1330">
      <pivotArea type="data" outline="0" fieldPosition="0">
        <references count="2">
          <reference field="4294967294" count="1" selected="0">
            <x v="2"/>
          </reference>
          <reference field="2" count="1" selected="0">
            <x v="111"/>
          </reference>
        </references>
      </pivotArea>
    </chartFormat>
    <chartFormat chart="2" format="1331">
      <pivotArea type="data" outline="0" fieldPosition="0">
        <references count="2">
          <reference field="4294967294" count="1" selected="0">
            <x v="2"/>
          </reference>
          <reference field="2" count="1" selected="0">
            <x v="110"/>
          </reference>
        </references>
      </pivotArea>
    </chartFormat>
    <chartFormat chart="2" format="1332">
      <pivotArea type="data" outline="0" fieldPosition="0">
        <references count="2">
          <reference field="4294967294" count="1" selected="0">
            <x v="2"/>
          </reference>
          <reference field="2" count="1" selected="0">
            <x v="4"/>
          </reference>
        </references>
      </pivotArea>
    </chartFormat>
    <chartFormat chart="2" format="1333">
      <pivotArea type="data" outline="0" fieldPosition="0">
        <references count="2">
          <reference field="4294967294" count="1" selected="0">
            <x v="2"/>
          </reference>
          <reference field="2" count="1" selected="0">
            <x v="38"/>
          </reference>
        </references>
      </pivotArea>
    </chartFormat>
    <chartFormat chart="2" format="1334">
      <pivotArea type="data" outline="0" fieldPosition="0">
        <references count="2">
          <reference field="4294967294" count="1" selected="0">
            <x v="2"/>
          </reference>
          <reference field="2" count="1" selected="0">
            <x v="208"/>
          </reference>
        </references>
      </pivotArea>
    </chartFormat>
    <chartFormat chart="2" format="1335">
      <pivotArea type="data" outline="0" fieldPosition="0">
        <references count="2">
          <reference field="4294967294" count="1" selected="0">
            <x v="2"/>
          </reference>
          <reference field="2" count="1" selected="0">
            <x v="156"/>
          </reference>
        </references>
      </pivotArea>
    </chartFormat>
    <chartFormat chart="2" format="1336">
      <pivotArea type="data" outline="0" fieldPosition="0">
        <references count="2">
          <reference field="4294967294" count="1" selected="0">
            <x v="2"/>
          </reference>
          <reference field="2" count="1" selected="0">
            <x v="125"/>
          </reference>
        </references>
      </pivotArea>
    </chartFormat>
    <chartFormat chart="2" format="1337">
      <pivotArea type="data" outline="0" fieldPosition="0">
        <references count="2">
          <reference field="4294967294" count="1" selected="0">
            <x v="2"/>
          </reference>
          <reference field="2" count="1" selected="0">
            <x v="185"/>
          </reference>
        </references>
      </pivotArea>
    </chartFormat>
    <chartFormat chart="2" format="1338">
      <pivotArea type="data" outline="0" fieldPosition="0">
        <references count="2">
          <reference field="4294967294" count="1" selected="0">
            <x v="2"/>
          </reference>
          <reference field="2" count="1" selected="0">
            <x v="181"/>
          </reference>
        </references>
      </pivotArea>
    </chartFormat>
    <chartFormat chart="2" format="1339">
      <pivotArea type="data" outline="0" fieldPosition="0">
        <references count="2">
          <reference field="4294967294" count="1" selected="0">
            <x v="2"/>
          </reference>
          <reference field="2" count="1" selected="0">
            <x v="78"/>
          </reference>
        </references>
      </pivotArea>
    </chartFormat>
    <chartFormat chart="2" format="1340">
      <pivotArea type="data" outline="0" fieldPosition="0">
        <references count="2">
          <reference field="4294967294" count="1" selected="0">
            <x v="2"/>
          </reference>
          <reference field="2" count="1" selected="0">
            <x v="50"/>
          </reference>
        </references>
      </pivotArea>
    </chartFormat>
    <chartFormat chart="2" format="1341">
      <pivotArea type="data" outline="0" fieldPosition="0">
        <references count="2">
          <reference field="4294967294" count="1" selected="0">
            <x v="2"/>
          </reference>
          <reference field="2" count="1" selected="0">
            <x v="116"/>
          </reference>
        </references>
      </pivotArea>
    </chartFormat>
    <chartFormat chart="2" format="1342">
      <pivotArea type="data" outline="0" fieldPosition="0">
        <references count="2">
          <reference field="4294967294" count="1" selected="0">
            <x v="2"/>
          </reference>
          <reference field="2" count="1" selected="0">
            <x v="183"/>
          </reference>
        </references>
      </pivotArea>
    </chartFormat>
    <chartFormat chart="2" format="1343">
      <pivotArea type="data" outline="0" fieldPosition="0">
        <references count="2">
          <reference field="4294967294" count="1" selected="0">
            <x v="2"/>
          </reference>
          <reference field="2" count="1" selected="0">
            <x v="166"/>
          </reference>
        </references>
      </pivotArea>
    </chartFormat>
    <chartFormat chart="2" format="1344">
      <pivotArea type="data" outline="0" fieldPosition="0">
        <references count="2">
          <reference field="4294967294" count="1" selected="0">
            <x v="2"/>
          </reference>
          <reference field="2" count="1" selected="0">
            <x v="60"/>
          </reference>
        </references>
      </pivotArea>
    </chartFormat>
    <chartFormat chart="2" format="1345">
      <pivotArea type="data" outline="0" fieldPosition="0">
        <references count="2">
          <reference field="4294967294" count="1" selected="0">
            <x v="2"/>
          </reference>
          <reference field="2" count="1" selected="0">
            <x v="168"/>
          </reference>
        </references>
      </pivotArea>
    </chartFormat>
    <chartFormat chart="2" format="1346">
      <pivotArea type="data" outline="0" fieldPosition="0">
        <references count="2">
          <reference field="4294967294" count="1" selected="0">
            <x v="2"/>
          </reference>
          <reference field="2" count="1" selected="0">
            <x v="214"/>
          </reference>
        </references>
      </pivotArea>
    </chartFormat>
  </chartFormats>
  <pivotTableStyleInfo name="PivotStyleLight16" showRowHeaders="1" showColHeaders="1" showRowStripes="0" showColStripes="0" showLastColumn="1"/>
  <filters count="1">
    <filter fld="2" type="count" evalOrder="-1" id="1" iMeasureFld="2">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B843EE-D467-4C2C-B1E0-9492CFFCA20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2:AL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profit margin" fld="17" subtotal="average" baseField="0" baseItem="0" numFmtId="9"/>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5383CD8-A048-4805-911B-EF9EB31115E0}" sourceName="Years (Order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3BCE74B0-99F9-4E20-AF9E-C2A760EF2115}" sourceName="SalesRep">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10">
        <i x="1" s="1"/>
        <i x="4" s="1"/>
        <i x="2" s="1"/>
        <i x="8" s="1"/>
        <i x="9" s="1"/>
        <i x="5" s="1"/>
        <i x="3"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8E8CA15-259E-49E7-9FAF-CAF3AA66B133}" sourceName="Count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8A048D3F-426B-4EB9-97F0-727B34AD9D37}" sourceName="Months (Order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38D9E07F-C373-4115-8FB4-5687B0B9C96C}" sourceName="Discou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31">
        <i x="18" s="1"/>
        <i x="27" s="1"/>
        <i x="0" s="1"/>
        <i x="28" s="1"/>
        <i x="16" s="1"/>
        <i x="10" s="1"/>
        <i x="15" s="1"/>
        <i x="4" s="1"/>
        <i x="14" s="1"/>
        <i x="5" s="1"/>
        <i x="22" s="1"/>
        <i x="12" s="1"/>
        <i x="2" s="1"/>
        <i x="6" s="1"/>
        <i x="9" s="1"/>
        <i x="25" s="1"/>
        <i x="29" s="1"/>
        <i x="30" s="1"/>
        <i x="23" s="1"/>
        <i x="21" s="1"/>
        <i x="20" s="1"/>
        <i x="1" s="1"/>
        <i x="13" s="1"/>
        <i x="3" s="1"/>
        <i x="17" s="1"/>
        <i x="7" s="1"/>
        <i x="26" s="1"/>
        <i x="24" s="1"/>
        <i x="11" s="1"/>
        <i x="19"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62DE1A-4F80-4CFE-A58C-10B15EC069A5}"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4"/>
  </pivotTables>
  <data>
    <tabular pivotCacheId="1056309263">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071DB8-F4E3-4837-9DD9-E470E2B0246E}" sourceName="Segme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8426210C-2D68-4E78-81BD-660C6532D4BB}" cache="Slicer_Years__OrderDate" caption="Years (OrderDate)" startItem="1" rowHeight="241300"/>
  <slicer name="SalesRep" xr10:uid="{5877119A-2CD6-4ED3-8353-5B911E1110F1}" cache="Slicer_SalesRep" caption="SalesRep" startItem="4" rowHeight="241300"/>
  <slicer name="Country" xr10:uid="{205938D0-F17E-4107-B33D-D122190ADC1F}" cache="Slicer_Country" caption="Country" rowHeight="241300"/>
  <slicer name="Months (OrderDate)" xr10:uid="{2B541180-8B94-49B6-9C2E-72B4521AD39A}" cache="Slicer_Months__OrderDate" caption="Months (OrderDate)" rowHeight="241300"/>
  <slicer name="Discount" xr10:uid="{C1875E6C-15BB-4C5E-B185-0D7AA30E3124}" cache="Slicer_Discount" caption="Discount" startItem="10" rowHeight="241300"/>
  <slicer name="Category" xr10:uid="{841E4E75-193C-4FB8-8D1A-96893F8CB01C}" cache="Slicer_Category" caption="Category" rowHeight="241300"/>
  <slicer name="Segment" xr10:uid="{9CDB4253-C15B-47B1-8AA1-D4B5C30FFB09}"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1C524-0A1E-4060-BB42-40537E10C367}" name="Table1" displayName="Table1" ref="A1:R1001" totalsRowShown="0" headerRowDxfId="26">
  <autoFilter ref="A1:R1001" xr:uid="{9C81C524-0A1E-4060-BB42-40537E10C367}"/>
  <tableColumns count="18">
    <tableColumn id="1" xr3:uid="{ED7B9A24-A091-475F-9679-37A7E01E6770}" name="OrderID"/>
    <tableColumn id="2" xr3:uid="{FCEF47D0-A8CE-489A-9077-668675C656D0}" name="OrderDate" dataDxfId="25"/>
    <tableColumn id="3" xr3:uid="{6E1C30BE-C4C1-4132-BC17-75618465AB7F}" name="CustomerName"/>
    <tableColumn id="4" xr3:uid="{341BE051-3FD7-4B5A-BC9B-3AFA0184BCB7}" name="Segment"/>
    <tableColumn id="5" xr3:uid="{AE31FB1E-8DB8-4E36-A859-DA19A48D6675}" name="Region"/>
    <tableColumn id="6" xr3:uid="{61653BD2-4A4E-4046-A905-AF25ACCA3B8B}" name="Country"/>
    <tableColumn id="7" xr3:uid="{6651C9B0-9666-44F7-B4C9-7C36B0BBAE3E}" name="Category"/>
    <tableColumn id="8" xr3:uid="{97AF3D90-18CB-4538-8384-714B2117554A}" name="SubCategory"/>
    <tableColumn id="9" xr3:uid="{8E590241-6FE3-4D29-B8CC-E5DA60076260}" name="Product"/>
    <tableColumn id="10" xr3:uid="{5C582E12-7397-43F7-BFFA-DAD9AAB23BD9}" name="Quantity"/>
    <tableColumn id="11" xr3:uid="{3C18C76A-6A89-42B8-B1AC-E35B4F99FA2A}" name="UnitPrice" dataDxfId="24" dataCellStyle="Currency"/>
    <tableColumn id="12" xr3:uid="{1DD4FEE4-1B77-4691-A703-02B10EC09EF8}" name="CostPrice" dataDxfId="23"/>
    <tableColumn id="13" xr3:uid="{56BDC031-5693-45F0-A382-AAFBACF29E33}" name="Revenue" dataDxfId="22">
      <calculatedColumnFormula>Table1[[#This Row],[UnitPrice]]*Table1[[#This Row],[Quantity]]</calculatedColumnFormula>
    </tableColumn>
    <tableColumn id="14" xr3:uid="{3283A611-D34E-4A42-802D-F490FF03317D}" name="total Cost" dataDxfId="21">
      <calculatedColumnFormula>Table1[[#This Row],[CostPrice]]*Table1[[#This Row],[Quantity]]</calculatedColumnFormula>
    </tableColumn>
    <tableColumn id="15" xr3:uid="{EBC2AEC7-9081-473A-91DD-CADDE37F6E3E}" name="Profit" dataDxfId="20"/>
    <tableColumn id="16" xr3:uid="{B077C51C-CBC9-4D67-994E-A1C6FF0D7C7F}" name="Discount" dataCellStyle="Percent"/>
    <tableColumn id="17" xr3:uid="{479BF218-FD62-4D2C-A03A-30716A81C490}" name="SalesRep"/>
    <tableColumn id="18" xr3:uid="{C5C91FA0-39FD-4C75-8045-CA6CC427DD9A}" name="profit margin" dataDxfId="19" dataCellStyle="Percent">
      <calculatedColumnFormula>O2/M2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B705-3EB8-4618-93A3-A8390A954CDF}">
  <dimension ref="A1:Q1001"/>
  <sheetViews>
    <sheetView workbookViewId="0">
      <selection activeCell="S24" sqref="S24"/>
    </sheetView>
  </sheetViews>
  <sheetFormatPr defaultRowHeight="15" x14ac:dyDescent="0.25"/>
  <sheetData>
    <row r="1" spans="1:17" x14ac:dyDescent="0.25">
      <c r="A1" t="s">
        <v>339</v>
      </c>
      <c r="B1" t="s">
        <v>1</v>
      </c>
      <c r="C1" t="s">
        <v>2</v>
      </c>
      <c r="D1" t="s">
        <v>3</v>
      </c>
      <c r="E1" t="s">
        <v>4</v>
      </c>
      <c r="F1" t="s">
        <v>5</v>
      </c>
      <c r="G1" t="s">
        <v>6</v>
      </c>
      <c r="H1" t="s">
        <v>7</v>
      </c>
      <c r="I1" t="s">
        <v>8</v>
      </c>
      <c r="J1" t="s">
        <v>9</v>
      </c>
      <c r="K1" t="s">
        <v>10</v>
      </c>
      <c r="L1" t="s">
        <v>11</v>
      </c>
      <c r="M1" t="s">
        <v>12</v>
      </c>
      <c r="N1" t="s">
        <v>338</v>
      </c>
      <c r="O1" t="s">
        <v>13</v>
      </c>
      <c r="P1" t="s">
        <v>14</v>
      </c>
      <c r="Q1" t="s">
        <v>15</v>
      </c>
    </row>
    <row r="2" spans="1:17" x14ac:dyDescent="0.25">
      <c r="A2">
        <v>1000</v>
      </c>
      <c r="B2" s="1">
        <v>45581</v>
      </c>
      <c r="C2" t="s">
        <v>16</v>
      </c>
      <c r="D2" t="s">
        <v>17</v>
      </c>
      <c r="E2" t="s">
        <v>18</v>
      </c>
      <c r="F2" t="s">
        <v>19</v>
      </c>
      <c r="G2" t="s">
        <v>20</v>
      </c>
      <c r="H2" t="s">
        <v>21</v>
      </c>
      <c r="I2" t="s">
        <v>22</v>
      </c>
      <c r="J2">
        <v>9</v>
      </c>
      <c r="K2">
        <v>91.5</v>
      </c>
      <c r="L2">
        <v>59.26</v>
      </c>
      <c r="M2">
        <v>815.26</v>
      </c>
      <c r="N2">
        <v>533.34</v>
      </c>
      <c r="O2">
        <v>281.92</v>
      </c>
      <c r="P2">
        <v>0.01</v>
      </c>
      <c r="Q2" t="s">
        <v>23</v>
      </c>
    </row>
    <row r="3" spans="1:17" x14ac:dyDescent="0.25">
      <c r="A3">
        <v>1001</v>
      </c>
      <c r="B3" s="1">
        <v>45165</v>
      </c>
      <c r="C3" t="s">
        <v>24</v>
      </c>
      <c r="D3" t="s">
        <v>25</v>
      </c>
      <c r="E3" t="s">
        <v>26</v>
      </c>
      <c r="F3" t="s">
        <v>27</v>
      </c>
      <c r="G3" t="s">
        <v>20</v>
      </c>
      <c r="H3" t="s">
        <v>28</v>
      </c>
      <c r="I3" t="s">
        <v>29</v>
      </c>
      <c r="J3">
        <v>1</v>
      </c>
      <c r="K3">
        <v>760.01</v>
      </c>
      <c r="L3">
        <v>422.47</v>
      </c>
      <c r="M3">
        <v>661.21</v>
      </c>
      <c r="N3">
        <v>422.47</v>
      </c>
      <c r="O3">
        <v>238.74</v>
      </c>
      <c r="P3">
        <v>0.13</v>
      </c>
      <c r="Q3" t="s">
        <v>30</v>
      </c>
    </row>
    <row r="4" spans="1:17" x14ac:dyDescent="0.25">
      <c r="A4">
        <v>1002</v>
      </c>
      <c r="B4" s="1">
        <v>45086</v>
      </c>
      <c r="C4" t="s">
        <v>31</v>
      </c>
      <c r="D4" t="s">
        <v>32</v>
      </c>
      <c r="E4" t="s">
        <v>33</v>
      </c>
      <c r="F4" t="s">
        <v>34</v>
      </c>
      <c r="G4" t="s">
        <v>35</v>
      </c>
      <c r="H4" t="s">
        <v>36</v>
      </c>
      <c r="I4" t="s">
        <v>37</v>
      </c>
      <c r="J4">
        <v>6</v>
      </c>
      <c r="K4">
        <v>605.71</v>
      </c>
      <c r="L4">
        <v>473.96</v>
      </c>
      <c r="M4">
        <v>2834.72</v>
      </c>
      <c r="N4">
        <v>2843.76</v>
      </c>
      <c r="O4">
        <v>-9.0399999999999991</v>
      </c>
      <c r="P4">
        <v>0.22</v>
      </c>
      <c r="Q4" t="s">
        <v>38</v>
      </c>
    </row>
    <row r="5" spans="1:17" x14ac:dyDescent="0.25">
      <c r="A5">
        <v>1003</v>
      </c>
      <c r="B5" s="1">
        <v>45054</v>
      </c>
      <c r="C5" t="s">
        <v>39</v>
      </c>
      <c r="D5" t="s">
        <v>25</v>
      </c>
      <c r="E5" t="s">
        <v>18</v>
      </c>
      <c r="F5" t="s">
        <v>40</v>
      </c>
      <c r="G5" t="s">
        <v>41</v>
      </c>
      <c r="H5" t="s">
        <v>42</v>
      </c>
      <c r="I5" t="s">
        <v>43</v>
      </c>
      <c r="J5">
        <v>2</v>
      </c>
      <c r="K5">
        <v>50.6</v>
      </c>
      <c r="L5">
        <v>29.34</v>
      </c>
      <c r="M5">
        <v>92.09</v>
      </c>
      <c r="N5">
        <v>58.68</v>
      </c>
      <c r="O5">
        <v>33.409999999999997</v>
      </c>
      <c r="P5">
        <v>0.09</v>
      </c>
      <c r="Q5" t="s">
        <v>44</v>
      </c>
    </row>
    <row r="6" spans="1:17" x14ac:dyDescent="0.25">
      <c r="A6">
        <v>1004</v>
      </c>
      <c r="B6" s="1">
        <v>45165</v>
      </c>
      <c r="C6" t="s">
        <v>45</v>
      </c>
      <c r="D6" t="s">
        <v>32</v>
      </c>
      <c r="E6" t="s">
        <v>18</v>
      </c>
      <c r="F6" t="s">
        <v>27</v>
      </c>
      <c r="G6" t="s">
        <v>41</v>
      </c>
      <c r="H6" t="s">
        <v>46</v>
      </c>
      <c r="I6" t="s">
        <v>47</v>
      </c>
      <c r="J6">
        <v>6</v>
      </c>
      <c r="K6">
        <v>358.49</v>
      </c>
      <c r="L6">
        <v>263.33</v>
      </c>
      <c r="M6">
        <v>1699.24</v>
      </c>
      <c r="N6">
        <v>1579.98</v>
      </c>
      <c r="O6">
        <v>119.26</v>
      </c>
      <c r="P6">
        <v>0.21</v>
      </c>
      <c r="Q6" t="s">
        <v>44</v>
      </c>
    </row>
    <row r="7" spans="1:17" x14ac:dyDescent="0.25">
      <c r="A7">
        <v>1005</v>
      </c>
      <c r="B7" s="1">
        <v>45550</v>
      </c>
      <c r="C7" t="s">
        <v>48</v>
      </c>
      <c r="D7" t="s">
        <v>17</v>
      </c>
      <c r="E7" t="s">
        <v>26</v>
      </c>
      <c r="F7" t="s">
        <v>19</v>
      </c>
      <c r="G7" t="s">
        <v>35</v>
      </c>
      <c r="H7" t="s">
        <v>49</v>
      </c>
      <c r="I7" t="s">
        <v>50</v>
      </c>
      <c r="J7">
        <v>9</v>
      </c>
      <c r="K7">
        <v>223.52</v>
      </c>
      <c r="L7">
        <v>137.13</v>
      </c>
      <c r="M7">
        <v>1548.99</v>
      </c>
      <c r="N7">
        <v>1234.17</v>
      </c>
      <c r="O7">
        <v>314.82</v>
      </c>
      <c r="P7">
        <v>0.23</v>
      </c>
      <c r="Q7" t="s">
        <v>51</v>
      </c>
    </row>
    <row r="8" spans="1:17" x14ac:dyDescent="0.25">
      <c r="A8">
        <v>1006</v>
      </c>
      <c r="B8" s="1">
        <v>45161</v>
      </c>
      <c r="C8" t="s">
        <v>52</v>
      </c>
      <c r="D8" t="s">
        <v>32</v>
      </c>
      <c r="E8" t="s">
        <v>53</v>
      </c>
      <c r="F8" t="s">
        <v>40</v>
      </c>
      <c r="G8" t="s">
        <v>20</v>
      </c>
      <c r="H8" t="s">
        <v>21</v>
      </c>
      <c r="I8" t="s">
        <v>54</v>
      </c>
      <c r="J8">
        <v>4</v>
      </c>
      <c r="K8">
        <v>657.16</v>
      </c>
      <c r="L8">
        <v>419.58</v>
      </c>
      <c r="M8">
        <v>1918.91</v>
      </c>
      <c r="N8">
        <v>1678.32</v>
      </c>
      <c r="O8">
        <v>240.59</v>
      </c>
      <c r="P8">
        <v>0.27</v>
      </c>
      <c r="Q8" t="s">
        <v>55</v>
      </c>
    </row>
    <row r="9" spans="1:17" x14ac:dyDescent="0.25">
      <c r="A9">
        <v>1007</v>
      </c>
      <c r="B9" s="1">
        <v>45073</v>
      </c>
      <c r="C9" t="s">
        <v>56</v>
      </c>
      <c r="D9" t="s">
        <v>25</v>
      </c>
      <c r="E9" t="s">
        <v>18</v>
      </c>
      <c r="F9" t="s">
        <v>27</v>
      </c>
      <c r="G9" t="s">
        <v>41</v>
      </c>
      <c r="H9" t="s">
        <v>46</v>
      </c>
      <c r="I9" t="s">
        <v>57</v>
      </c>
      <c r="J9">
        <v>4</v>
      </c>
      <c r="K9">
        <v>997.34</v>
      </c>
      <c r="L9">
        <v>546.96</v>
      </c>
      <c r="M9">
        <v>3390.96</v>
      </c>
      <c r="N9">
        <v>2187.84</v>
      </c>
      <c r="O9">
        <v>1203.1199999999999</v>
      </c>
      <c r="P9">
        <v>0.15</v>
      </c>
      <c r="Q9" t="s">
        <v>51</v>
      </c>
    </row>
    <row r="10" spans="1:17" x14ac:dyDescent="0.25">
      <c r="A10">
        <v>1008</v>
      </c>
      <c r="B10" s="1">
        <v>45039</v>
      </c>
      <c r="C10" t="s">
        <v>58</v>
      </c>
      <c r="D10" t="s">
        <v>25</v>
      </c>
      <c r="E10" t="s">
        <v>53</v>
      </c>
      <c r="F10" t="s">
        <v>34</v>
      </c>
      <c r="G10" t="s">
        <v>35</v>
      </c>
      <c r="H10" t="s">
        <v>49</v>
      </c>
      <c r="I10" t="s">
        <v>59</v>
      </c>
      <c r="J10">
        <v>8</v>
      </c>
      <c r="K10">
        <v>531.47</v>
      </c>
      <c r="L10">
        <v>446.37</v>
      </c>
      <c r="M10">
        <v>3146.3</v>
      </c>
      <c r="N10">
        <v>3570.96</v>
      </c>
      <c r="O10">
        <v>-424.66</v>
      </c>
      <c r="P10">
        <v>0.26</v>
      </c>
      <c r="Q10" t="s">
        <v>51</v>
      </c>
    </row>
    <row r="11" spans="1:17" x14ac:dyDescent="0.25">
      <c r="A11">
        <v>1009</v>
      </c>
      <c r="B11" s="1">
        <v>45623</v>
      </c>
      <c r="C11" t="s">
        <v>60</v>
      </c>
      <c r="D11" t="s">
        <v>17</v>
      </c>
      <c r="E11" t="s">
        <v>18</v>
      </c>
      <c r="F11" t="s">
        <v>40</v>
      </c>
      <c r="G11" t="s">
        <v>20</v>
      </c>
      <c r="H11" t="s">
        <v>28</v>
      </c>
      <c r="I11" t="s">
        <v>61</v>
      </c>
      <c r="J11">
        <v>3</v>
      </c>
      <c r="K11">
        <v>456.46</v>
      </c>
      <c r="L11">
        <v>380.61</v>
      </c>
      <c r="M11">
        <v>1013.34</v>
      </c>
      <c r="N11">
        <v>1141.83</v>
      </c>
      <c r="O11">
        <v>-128.49</v>
      </c>
      <c r="P11">
        <v>0.26</v>
      </c>
      <c r="Q11" t="s">
        <v>30</v>
      </c>
    </row>
    <row r="12" spans="1:17" x14ac:dyDescent="0.25">
      <c r="A12">
        <v>1010</v>
      </c>
      <c r="B12" s="1">
        <v>45439</v>
      </c>
      <c r="C12" t="s">
        <v>62</v>
      </c>
      <c r="D12" t="s">
        <v>17</v>
      </c>
      <c r="E12" t="s">
        <v>33</v>
      </c>
      <c r="F12" t="s">
        <v>40</v>
      </c>
      <c r="G12" t="s">
        <v>41</v>
      </c>
      <c r="H12" t="s">
        <v>63</v>
      </c>
      <c r="I12" t="s">
        <v>64</v>
      </c>
      <c r="J12">
        <v>4</v>
      </c>
      <c r="K12">
        <v>157.08000000000001</v>
      </c>
      <c r="L12">
        <v>120.46</v>
      </c>
      <c r="M12">
        <v>527.79</v>
      </c>
      <c r="N12">
        <v>481.84</v>
      </c>
      <c r="O12">
        <v>45.95</v>
      </c>
      <c r="P12">
        <v>0.16</v>
      </c>
      <c r="Q12" t="s">
        <v>38</v>
      </c>
    </row>
    <row r="13" spans="1:17" x14ac:dyDescent="0.25">
      <c r="A13">
        <v>1011</v>
      </c>
      <c r="B13" s="1">
        <v>44927</v>
      </c>
      <c r="C13" t="s">
        <v>65</v>
      </c>
      <c r="D13" t="s">
        <v>32</v>
      </c>
      <c r="E13" t="s">
        <v>33</v>
      </c>
      <c r="F13" t="s">
        <v>34</v>
      </c>
      <c r="G13" t="s">
        <v>35</v>
      </c>
      <c r="H13" t="s">
        <v>49</v>
      </c>
      <c r="I13" t="s">
        <v>66</v>
      </c>
      <c r="J13">
        <v>1</v>
      </c>
      <c r="K13">
        <v>244.67</v>
      </c>
      <c r="L13">
        <v>170.92</v>
      </c>
      <c r="M13">
        <v>239.78</v>
      </c>
      <c r="N13">
        <v>170.92</v>
      </c>
      <c r="O13">
        <v>68.86</v>
      </c>
      <c r="P13">
        <v>0.02</v>
      </c>
      <c r="Q13" t="s">
        <v>55</v>
      </c>
    </row>
    <row r="14" spans="1:17" x14ac:dyDescent="0.25">
      <c r="A14">
        <v>1012</v>
      </c>
      <c r="B14" s="1">
        <v>44997</v>
      </c>
      <c r="C14" t="s">
        <v>67</v>
      </c>
      <c r="D14" t="s">
        <v>25</v>
      </c>
      <c r="E14" t="s">
        <v>26</v>
      </c>
      <c r="F14" t="s">
        <v>27</v>
      </c>
      <c r="G14" t="s">
        <v>41</v>
      </c>
      <c r="H14" t="s">
        <v>42</v>
      </c>
      <c r="I14" t="s">
        <v>68</v>
      </c>
      <c r="J14">
        <v>9</v>
      </c>
      <c r="K14">
        <v>873.07</v>
      </c>
      <c r="L14">
        <v>565.84</v>
      </c>
      <c r="M14">
        <v>7386.17</v>
      </c>
      <c r="N14">
        <v>5092.5600000000004</v>
      </c>
      <c r="O14">
        <v>2293.61</v>
      </c>
      <c r="P14">
        <v>0.06</v>
      </c>
      <c r="Q14" t="s">
        <v>38</v>
      </c>
    </row>
    <row r="15" spans="1:17" x14ac:dyDescent="0.25">
      <c r="A15">
        <v>1013</v>
      </c>
      <c r="B15" s="1">
        <v>45633</v>
      </c>
      <c r="C15" t="s">
        <v>69</v>
      </c>
      <c r="D15" t="s">
        <v>32</v>
      </c>
      <c r="E15" t="s">
        <v>53</v>
      </c>
      <c r="F15" t="s">
        <v>40</v>
      </c>
      <c r="G15" t="s">
        <v>35</v>
      </c>
      <c r="H15" t="s">
        <v>70</v>
      </c>
      <c r="I15" t="s">
        <v>71</v>
      </c>
      <c r="J15">
        <v>2</v>
      </c>
      <c r="K15">
        <v>251.67</v>
      </c>
      <c r="L15">
        <v>131.47</v>
      </c>
      <c r="M15">
        <v>498.31</v>
      </c>
      <c r="N15">
        <v>262.94</v>
      </c>
      <c r="O15">
        <v>235.37</v>
      </c>
      <c r="P15">
        <v>0.01</v>
      </c>
      <c r="Q15" t="s">
        <v>38</v>
      </c>
    </row>
    <row r="16" spans="1:17" x14ac:dyDescent="0.25">
      <c r="A16">
        <v>1014</v>
      </c>
      <c r="B16" s="1">
        <v>45162</v>
      </c>
      <c r="C16" t="s">
        <v>72</v>
      </c>
      <c r="D16" t="s">
        <v>25</v>
      </c>
      <c r="E16" t="s">
        <v>33</v>
      </c>
      <c r="F16" t="s">
        <v>34</v>
      </c>
      <c r="G16" t="s">
        <v>20</v>
      </c>
      <c r="H16" t="s">
        <v>21</v>
      </c>
      <c r="I16" t="s">
        <v>22</v>
      </c>
      <c r="J16">
        <v>6</v>
      </c>
      <c r="K16">
        <v>75.5</v>
      </c>
      <c r="L16">
        <v>44.04</v>
      </c>
      <c r="M16">
        <v>362.4</v>
      </c>
      <c r="N16">
        <v>264.24</v>
      </c>
      <c r="O16">
        <v>98.16</v>
      </c>
      <c r="P16">
        <v>0.2</v>
      </c>
      <c r="Q16" t="s">
        <v>23</v>
      </c>
    </row>
    <row r="17" spans="1:17" x14ac:dyDescent="0.25">
      <c r="A17">
        <v>1015</v>
      </c>
      <c r="B17" s="1">
        <v>45479</v>
      </c>
      <c r="C17" t="s">
        <v>73</v>
      </c>
      <c r="D17" t="s">
        <v>17</v>
      </c>
      <c r="E17" t="s">
        <v>53</v>
      </c>
      <c r="F17" t="s">
        <v>19</v>
      </c>
      <c r="G17" t="s">
        <v>35</v>
      </c>
      <c r="H17" t="s">
        <v>49</v>
      </c>
      <c r="I17" t="s">
        <v>66</v>
      </c>
      <c r="J17">
        <v>2</v>
      </c>
      <c r="K17">
        <v>101.45</v>
      </c>
      <c r="L17">
        <v>66.03</v>
      </c>
      <c r="M17">
        <v>176.52</v>
      </c>
      <c r="N17">
        <v>132.06</v>
      </c>
      <c r="O17">
        <v>44.46</v>
      </c>
      <c r="P17">
        <v>0.13</v>
      </c>
      <c r="Q17" t="s">
        <v>55</v>
      </c>
    </row>
    <row r="18" spans="1:17" x14ac:dyDescent="0.25">
      <c r="A18">
        <v>1016</v>
      </c>
      <c r="B18" s="1">
        <v>44982</v>
      </c>
      <c r="C18" t="s">
        <v>74</v>
      </c>
      <c r="D18" t="s">
        <v>17</v>
      </c>
      <c r="E18" t="s">
        <v>33</v>
      </c>
      <c r="F18" t="s">
        <v>34</v>
      </c>
      <c r="G18" t="s">
        <v>35</v>
      </c>
      <c r="H18" t="s">
        <v>70</v>
      </c>
      <c r="I18" t="s">
        <v>71</v>
      </c>
      <c r="J18">
        <v>2</v>
      </c>
      <c r="K18">
        <v>252.41</v>
      </c>
      <c r="L18">
        <v>143.01</v>
      </c>
      <c r="M18">
        <v>439.19</v>
      </c>
      <c r="N18">
        <v>286.02</v>
      </c>
      <c r="O18">
        <v>153.16999999999999</v>
      </c>
      <c r="P18">
        <v>0.13</v>
      </c>
      <c r="Q18" t="s">
        <v>75</v>
      </c>
    </row>
    <row r="19" spans="1:17" x14ac:dyDescent="0.25">
      <c r="A19">
        <v>1017</v>
      </c>
      <c r="B19" s="1">
        <v>45114</v>
      </c>
      <c r="C19" t="s">
        <v>76</v>
      </c>
      <c r="D19" t="s">
        <v>25</v>
      </c>
      <c r="E19" t="s">
        <v>33</v>
      </c>
      <c r="F19" t="s">
        <v>27</v>
      </c>
      <c r="G19" t="s">
        <v>41</v>
      </c>
      <c r="H19" t="s">
        <v>42</v>
      </c>
      <c r="I19" t="s">
        <v>77</v>
      </c>
      <c r="J19">
        <v>9</v>
      </c>
      <c r="K19">
        <v>836.85</v>
      </c>
      <c r="L19">
        <v>702.24</v>
      </c>
      <c r="M19">
        <v>5422.79</v>
      </c>
      <c r="N19">
        <v>6320.16</v>
      </c>
      <c r="O19">
        <v>-897.37</v>
      </c>
      <c r="P19">
        <v>0.28000000000000003</v>
      </c>
      <c r="Q19" t="s">
        <v>23</v>
      </c>
    </row>
    <row r="20" spans="1:17" x14ac:dyDescent="0.25">
      <c r="A20">
        <v>1018</v>
      </c>
      <c r="B20" s="1">
        <v>45097</v>
      </c>
      <c r="C20" t="s">
        <v>78</v>
      </c>
      <c r="D20" t="s">
        <v>32</v>
      </c>
      <c r="E20" t="s">
        <v>26</v>
      </c>
      <c r="F20" t="s">
        <v>27</v>
      </c>
      <c r="G20" t="s">
        <v>20</v>
      </c>
      <c r="H20" t="s">
        <v>21</v>
      </c>
      <c r="I20" t="s">
        <v>79</v>
      </c>
      <c r="J20">
        <v>1</v>
      </c>
      <c r="K20">
        <v>985.38</v>
      </c>
      <c r="L20">
        <v>584.15</v>
      </c>
      <c r="M20">
        <v>748.89</v>
      </c>
      <c r="N20">
        <v>584.15</v>
      </c>
      <c r="O20">
        <v>164.74</v>
      </c>
      <c r="P20">
        <v>0.24</v>
      </c>
      <c r="Q20" t="s">
        <v>55</v>
      </c>
    </row>
    <row r="21" spans="1:17" x14ac:dyDescent="0.25">
      <c r="A21">
        <v>1019</v>
      </c>
      <c r="B21" s="1">
        <v>45219</v>
      </c>
      <c r="C21" t="s">
        <v>80</v>
      </c>
      <c r="D21" t="s">
        <v>17</v>
      </c>
      <c r="E21" t="s">
        <v>53</v>
      </c>
      <c r="F21" t="s">
        <v>19</v>
      </c>
      <c r="G21" t="s">
        <v>20</v>
      </c>
      <c r="H21" t="s">
        <v>28</v>
      </c>
      <c r="I21" t="s">
        <v>81</v>
      </c>
      <c r="J21">
        <v>1</v>
      </c>
      <c r="K21">
        <v>581.28</v>
      </c>
      <c r="L21">
        <v>400.95</v>
      </c>
      <c r="M21">
        <v>453.4</v>
      </c>
      <c r="N21">
        <v>400.95</v>
      </c>
      <c r="O21">
        <v>52.45</v>
      </c>
      <c r="P21">
        <v>0.22</v>
      </c>
      <c r="Q21" t="s">
        <v>51</v>
      </c>
    </row>
    <row r="22" spans="1:17" x14ac:dyDescent="0.25">
      <c r="A22">
        <v>1020</v>
      </c>
      <c r="B22" s="1">
        <v>44978</v>
      </c>
      <c r="C22" t="s">
        <v>82</v>
      </c>
      <c r="D22" t="s">
        <v>17</v>
      </c>
      <c r="E22" t="s">
        <v>26</v>
      </c>
      <c r="F22" t="s">
        <v>34</v>
      </c>
      <c r="G22" t="s">
        <v>41</v>
      </c>
      <c r="H22" t="s">
        <v>42</v>
      </c>
      <c r="I22" t="s">
        <v>77</v>
      </c>
      <c r="J22">
        <v>2</v>
      </c>
      <c r="K22">
        <v>597.05999999999995</v>
      </c>
      <c r="L22">
        <v>439.63</v>
      </c>
      <c r="M22">
        <v>1110.53</v>
      </c>
      <c r="N22">
        <v>879.26</v>
      </c>
      <c r="O22">
        <v>231.27</v>
      </c>
      <c r="P22">
        <v>7.0000000000000007E-2</v>
      </c>
      <c r="Q22" t="s">
        <v>44</v>
      </c>
    </row>
    <row r="23" spans="1:17" x14ac:dyDescent="0.25">
      <c r="A23">
        <v>1021</v>
      </c>
      <c r="B23" s="1">
        <v>45510</v>
      </c>
      <c r="C23" t="s">
        <v>83</v>
      </c>
      <c r="D23" t="s">
        <v>17</v>
      </c>
      <c r="E23" t="s">
        <v>33</v>
      </c>
      <c r="F23" t="s">
        <v>34</v>
      </c>
      <c r="G23" t="s">
        <v>35</v>
      </c>
      <c r="H23" t="s">
        <v>70</v>
      </c>
      <c r="I23" t="s">
        <v>84</v>
      </c>
      <c r="J23">
        <v>10</v>
      </c>
      <c r="K23">
        <v>525.16999999999996</v>
      </c>
      <c r="L23">
        <v>434.39</v>
      </c>
      <c r="M23">
        <v>4936.6000000000004</v>
      </c>
      <c r="N23">
        <v>4343.8999999999996</v>
      </c>
      <c r="O23">
        <v>592.70000000000005</v>
      </c>
      <c r="P23">
        <v>0.06</v>
      </c>
      <c r="Q23" t="s">
        <v>85</v>
      </c>
    </row>
    <row r="24" spans="1:17" x14ac:dyDescent="0.25">
      <c r="A24">
        <v>1022</v>
      </c>
      <c r="B24" s="1">
        <v>45171</v>
      </c>
      <c r="C24" t="s">
        <v>86</v>
      </c>
      <c r="D24" t="s">
        <v>25</v>
      </c>
      <c r="E24" t="s">
        <v>18</v>
      </c>
      <c r="F24" t="s">
        <v>27</v>
      </c>
      <c r="G24" t="s">
        <v>35</v>
      </c>
      <c r="H24" t="s">
        <v>36</v>
      </c>
      <c r="I24" t="s">
        <v>87</v>
      </c>
      <c r="J24">
        <v>8</v>
      </c>
      <c r="K24">
        <v>623.04999999999995</v>
      </c>
      <c r="L24">
        <v>434.3</v>
      </c>
      <c r="M24">
        <v>4834.87</v>
      </c>
      <c r="N24">
        <v>3474.4</v>
      </c>
      <c r="O24">
        <v>1360.47</v>
      </c>
      <c r="P24">
        <v>0.03</v>
      </c>
      <c r="Q24" t="s">
        <v>38</v>
      </c>
    </row>
    <row r="25" spans="1:17" x14ac:dyDescent="0.25">
      <c r="A25">
        <v>1023</v>
      </c>
      <c r="B25" s="1">
        <v>45145</v>
      </c>
      <c r="C25" t="s">
        <v>88</v>
      </c>
      <c r="D25" t="s">
        <v>25</v>
      </c>
      <c r="E25" t="s">
        <v>18</v>
      </c>
      <c r="F25" t="s">
        <v>34</v>
      </c>
      <c r="G25" t="s">
        <v>20</v>
      </c>
      <c r="H25" t="s">
        <v>28</v>
      </c>
      <c r="I25" t="s">
        <v>29</v>
      </c>
      <c r="J25">
        <v>3</v>
      </c>
      <c r="K25">
        <v>440.99</v>
      </c>
      <c r="L25">
        <v>304.33999999999997</v>
      </c>
      <c r="M25">
        <v>1203.9000000000001</v>
      </c>
      <c r="N25">
        <v>913.02</v>
      </c>
      <c r="O25">
        <v>290.88</v>
      </c>
      <c r="P25">
        <v>0.09</v>
      </c>
      <c r="Q25" t="s">
        <v>38</v>
      </c>
    </row>
    <row r="26" spans="1:17" x14ac:dyDescent="0.25">
      <c r="A26">
        <v>1024</v>
      </c>
      <c r="B26" s="1">
        <v>44935</v>
      </c>
      <c r="C26" t="s">
        <v>89</v>
      </c>
      <c r="D26" t="s">
        <v>17</v>
      </c>
      <c r="E26" t="s">
        <v>18</v>
      </c>
      <c r="F26" t="s">
        <v>34</v>
      </c>
      <c r="G26" t="s">
        <v>20</v>
      </c>
      <c r="H26" t="s">
        <v>28</v>
      </c>
      <c r="I26" t="s">
        <v>90</v>
      </c>
      <c r="J26">
        <v>2</v>
      </c>
      <c r="K26">
        <v>743.7</v>
      </c>
      <c r="L26">
        <v>412.31</v>
      </c>
      <c r="M26">
        <v>1368.41</v>
      </c>
      <c r="N26">
        <v>824.62</v>
      </c>
      <c r="O26">
        <v>543.79</v>
      </c>
      <c r="P26">
        <v>0.08</v>
      </c>
      <c r="Q26" t="s">
        <v>23</v>
      </c>
    </row>
    <row r="27" spans="1:17" x14ac:dyDescent="0.25">
      <c r="A27">
        <v>1025</v>
      </c>
      <c r="B27" s="1">
        <v>45278</v>
      </c>
      <c r="C27" t="s">
        <v>91</v>
      </c>
      <c r="D27" t="s">
        <v>17</v>
      </c>
      <c r="E27" t="s">
        <v>18</v>
      </c>
      <c r="F27" t="s">
        <v>27</v>
      </c>
      <c r="G27" t="s">
        <v>35</v>
      </c>
      <c r="H27" t="s">
        <v>36</v>
      </c>
      <c r="I27" t="s">
        <v>87</v>
      </c>
      <c r="J27">
        <v>7</v>
      </c>
      <c r="K27">
        <v>830.2</v>
      </c>
      <c r="L27">
        <v>427.91</v>
      </c>
      <c r="M27">
        <v>5230.26</v>
      </c>
      <c r="N27">
        <v>2995.37</v>
      </c>
      <c r="O27">
        <v>2234.89</v>
      </c>
      <c r="P27">
        <v>0.1</v>
      </c>
      <c r="Q27" t="s">
        <v>92</v>
      </c>
    </row>
    <row r="28" spans="1:17" x14ac:dyDescent="0.25">
      <c r="A28">
        <v>1026</v>
      </c>
      <c r="B28" s="1">
        <v>45579</v>
      </c>
      <c r="C28" t="s">
        <v>56</v>
      </c>
      <c r="D28" t="s">
        <v>17</v>
      </c>
      <c r="E28" t="s">
        <v>53</v>
      </c>
      <c r="F28" t="s">
        <v>27</v>
      </c>
      <c r="G28" t="s">
        <v>41</v>
      </c>
      <c r="H28" t="s">
        <v>42</v>
      </c>
      <c r="I28" t="s">
        <v>77</v>
      </c>
      <c r="J28">
        <v>2</v>
      </c>
      <c r="K28">
        <v>945.33</v>
      </c>
      <c r="L28">
        <v>701.3</v>
      </c>
      <c r="M28">
        <v>1815.03</v>
      </c>
      <c r="N28">
        <v>1402.6</v>
      </c>
      <c r="O28">
        <v>412.43</v>
      </c>
      <c r="P28">
        <v>0.04</v>
      </c>
      <c r="Q28" t="s">
        <v>51</v>
      </c>
    </row>
    <row r="29" spans="1:17" x14ac:dyDescent="0.25">
      <c r="A29">
        <v>1027</v>
      </c>
      <c r="B29" s="1">
        <v>45305</v>
      </c>
      <c r="C29" t="s">
        <v>93</v>
      </c>
      <c r="D29" t="s">
        <v>25</v>
      </c>
      <c r="E29" t="s">
        <v>53</v>
      </c>
      <c r="F29" t="s">
        <v>19</v>
      </c>
      <c r="G29" t="s">
        <v>20</v>
      </c>
      <c r="H29" t="s">
        <v>28</v>
      </c>
      <c r="I29" t="s">
        <v>29</v>
      </c>
      <c r="J29">
        <v>1</v>
      </c>
      <c r="K29">
        <v>899.43</v>
      </c>
      <c r="L29">
        <v>515.85</v>
      </c>
      <c r="M29">
        <v>836.47</v>
      </c>
      <c r="N29">
        <v>515.85</v>
      </c>
      <c r="O29">
        <v>320.62</v>
      </c>
      <c r="P29">
        <v>7.0000000000000007E-2</v>
      </c>
      <c r="Q29" t="s">
        <v>44</v>
      </c>
    </row>
    <row r="30" spans="1:17" x14ac:dyDescent="0.25">
      <c r="A30">
        <v>1028</v>
      </c>
      <c r="B30" s="1">
        <v>45289</v>
      </c>
      <c r="C30" t="s">
        <v>67</v>
      </c>
      <c r="D30" t="s">
        <v>32</v>
      </c>
      <c r="E30" t="s">
        <v>26</v>
      </c>
      <c r="F30" t="s">
        <v>19</v>
      </c>
      <c r="G30" t="s">
        <v>20</v>
      </c>
      <c r="H30" t="s">
        <v>21</v>
      </c>
      <c r="I30" t="s">
        <v>79</v>
      </c>
      <c r="J30">
        <v>1</v>
      </c>
      <c r="K30">
        <v>183.46</v>
      </c>
      <c r="L30">
        <v>151.09</v>
      </c>
      <c r="M30">
        <v>141.26</v>
      </c>
      <c r="N30">
        <v>151.09</v>
      </c>
      <c r="O30">
        <v>-9.83</v>
      </c>
      <c r="P30">
        <v>0.23</v>
      </c>
      <c r="Q30" t="s">
        <v>75</v>
      </c>
    </row>
    <row r="31" spans="1:17" x14ac:dyDescent="0.25">
      <c r="A31">
        <v>1029</v>
      </c>
      <c r="B31" s="1">
        <v>45612</v>
      </c>
      <c r="C31" t="s">
        <v>94</v>
      </c>
      <c r="D31" t="s">
        <v>25</v>
      </c>
      <c r="E31" t="s">
        <v>18</v>
      </c>
      <c r="F31" t="s">
        <v>19</v>
      </c>
      <c r="G31" t="s">
        <v>41</v>
      </c>
      <c r="H31" t="s">
        <v>42</v>
      </c>
      <c r="I31" t="s">
        <v>68</v>
      </c>
      <c r="J31">
        <v>1</v>
      </c>
      <c r="K31">
        <v>859.3</v>
      </c>
      <c r="L31">
        <v>496.55</v>
      </c>
      <c r="M31">
        <v>653.07000000000005</v>
      </c>
      <c r="N31">
        <v>496.55</v>
      </c>
      <c r="O31">
        <v>156.52000000000001</v>
      </c>
      <c r="P31">
        <v>0.24</v>
      </c>
      <c r="Q31" t="s">
        <v>55</v>
      </c>
    </row>
    <row r="32" spans="1:17" x14ac:dyDescent="0.25">
      <c r="A32">
        <v>1030</v>
      </c>
      <c r="B32" s="1">
        <v>45285</v>
      </c>
      <c r="C32" t="s">
        <v>95</v>
      </c>
      <c r="D32" t="s">
        <v>25</v>
      </c>
      <c r="E32" t="s">
        <v>26</v>
      </c>
      <c r="F32" t="s">
        <v>34</v>
      </c>
      <c r="G32" t="s">
        <v>41</v>
      </c>
      <c r="H32" t="s">
        <v>42</v>
      </c>
      <c r="I32" t="s">
        <v>68</v>
      </c>
      <c r="J32">
        <v>6</v>
      </c>
      <c r="K32">
        <v>282.20999999999998</v>
      </c>
      <c r="L32">
        <v>147.96</v>
      </c>
      <c r="M32">
        <v>1303.81</v>
      </c>
      <c r="N32">
        <v>887.76</v>
      </c>
      <c r="O32">
        <v>416.05</v>
      </c>
      <c r="P32">
        <v>0.23</v>
      </c>
      <c r="Q32" t="s">
        <v>85</v>
      </c>
    </row>
    <row r="33" spans="1:17" x14ac:dyDescent="0.25">
      <c r="A33">
        <v>1031</v>
      </c>
      <c r="B33" s="1">
        <v>45583</v>
      </c>
      <c r="C33" t="s">
        <v>96</v>
      </c>
      <c r="D33" t="s">
        <v>17</v>
      </c>
      <c r="E33" t="s">
        <v>18</v>
      </c>
      <c r="F33" t="s">
        <v>34</v>
      </c>
      <c r="G33" t="s">
        <v>20</v>
      </c>
      <c r="H33" t="s">
        <v>28</v>
      </c>
      <c r="I33" t="s">
        <v>81</v>
      </c>
      <c r="J33">
        <v>10</v>
      </c>
      <c r="K33">
        <v>962.72</v>
      </c>
      <c r="L33">
        <v>570.80999999999995</v>
      </c>
      <c r="M33">
        <v>9338.3799999999992</v>
      </c>
      <c r="N33">
        <v>5708.1</v>
      </c>
      <c r="O33">
        <v>3630.28</v>
      </c>
      <c r="P33">
        <v>0.03</v>
      </c>
      <c r="Q33" t="s">
        <v>75</v>
      </c>
    </row>
    <row r="34" spans="1:17" x14ac:dyDescent="0.25">
      <c r="A34">
        <v>1032</v>
      </c>
      <c r="B34" s="1">
        <v>45280</v>
      </c>
      <c r="C34" t="s">
        <v>97</v>
      </c>
      <c r="D34" t="s">
        <v>32</v>
      </c>
      <c r="E34" t="s">
        <v>53</v>
      </c>
      <c r="F34" t="s">
        <v>34</v>
      </c>
      <c r="G34" t="s">
        <v>35</v>
      </c>
      <c r="H34" t="s">
        <v>70</v>
      </c>
      <c r="I34" t="s">
        <v>98</v>
      </c>
      <c r="J34">
        <v>5</v>
      </c>
      <c r="K34">
        <v>49.16</v>
      </c>
      <c r="L34">
        <v>32.08</v>
      </c>
      <c r="M34">
        <v>206.47</v>
      </c>
      <c r="N34">
        <v>160.4</v>
      </c>
      <c r="O34">
        <v>46.07</v>
      </c>
      <c r="P34">
        <v>0.16</v>
      </c>
      <c r="Q34" t="s">
        <v>38</v>
      </c>
    </row>
    <row r="35" spans="1:17" x14ac:dyDescent="0.25">
      <c r="A35">
        <v>1033</v>
      </c>
      <c r="B35" s="1">
        <v>45630</v>
      </c>
      <c r="C35" t="s">
        <v>99</v>
      </c>
      <c r="D35" t="s">
        <v>17</v>
      </c>
      <c r="E35" t="s">
        <v>26</v>
      </c>
      <c r="F35" t="s">
        <v>40</v>
      </c>
      <c r="G35" t="s">
        <v>35</v>
      </c>
      <c r="H35" t="s">
        <v>36</v>
      </c>
      <c r="I35" t="s">
        <v>100</v>
      </c>
      <c r="J35">
        <v>6</v>
      </c>
      <c r="K35">
        <v>625.04</v>
      </c>
      <c r="L35">
        <v>457.65</v>
      </c>
      <c r="M35">
        <v>3600.23</v>
      </c>
      <c r="N35">
        <v>2745.9</v>
      </c>
      <c r="O35">
        <v>854.33</v>
      </c>
      <c r="P35">
        <v>0.04</v>
      </c>
      <c r="Q35" t="s">
        <v>30</v>
      </c>
    </row>
    <row r="36" spans="1:17" x14ac:dyDescent="0.25">
      <c r="A36">
        <v>1034</v>
      </c>
      <c r="B36" s="1">
        <v>45446</v>
      </c>
      <c r="C36" t="s">
        <v>101</v>
      </c>
      <c r="D36" t="s">
        <v>32</v>
      </c>
      <c r="E36" t="s">
        <v>18</v>
      </c>
      <c r="F36" t="s">
        <v>27</v>
      </c>
      <c r="G36" t="s">
        <v>41</v>
      </c>
      <c r="H36" t="s">
        <v>46</v>
      </c>
      <c r="I36" t="s">
        <v>102</v>
      </c>
      <c r="J36">
        <v>3</v>
      </c>
      <c r="K36">
        <v>195.88</v>
      </c>
      <c r="L36">
        <v>143.53</v>
      </c>
      <c r="M36">
        <v>523</v>
      </c>
      <c r="N36">
        <v>430.59</v>
      </c>
      <c r="O36">
        <v>92.41</v>
      </c>
      <c r="P36">
        <v>0.11</v>
      </c>
      <c r="Q36" t="s">
        <v>92</v>
      </c>
    </row>
    <row r="37" spans="1:17" x14ac:dyDescent="0.25">
      <c r="A37">
        <v>1035</v>
      </c>
      <c r="B37" s="1">
        <v>45557</v>
      </c>
      <c r="C37" t="s">
        <v>103</v>
      </c>
      <c r="D37" t="s">
        <v>32</v>
      </c>
      <c r="E37" t="s">
        <v>33</v>
      </c>
      <c r="F37" t="s">
        <v>40</v>
      </c>
      <c r="G37" t="s">
        <v>35</v>
      </c>
      <c r="H37" t="s">
        <v>36</v>
      </c>
      <c r="I37" t="s">
        <v>37</v>
      </c>
      <c r="J37">
        <v>10</v>
      </c>
      <c r="K37">
        <v>608.63</v>
      </c>
      <c r="L37">
        <v>372.96</v>
      </c>
      <c r="M37">
        <v>5295.08</v>
      </c>
      <c r="N37">
        <v>3729.6</v>
      </c>
      <c r="O37">
        <v>1565.48</v>
      </c>
      <c r="P37">
        <v>0.13</v>
      </c>
      <c r="Q37" t="s">
        <v>23</v>
      </c>
    </row>
    <row r="38" spans="1:17" x14ac:dyDescent="0.25">
      <c r="A38">
        <v>1036</v>
      </c>
      <c r="B38" s="1">
        <v>45450</v>
      </c>
      <c r="C38" t="s">
        <v>104</v>
      </c>
      <c r="D38" t="s">
        <v>17</v>
      </c>
      <c r="E38" t="s">
        <v>26</v>
      </c>
      <c r="F38" t="s">
        <v>34</v>
      </c>
      <c r="G38" t="s">
        <v>35</v>
      </c>
      <c r="H38" t="s">
        <v>70</v>
      </c>
      <c r="I38" t="s">
        <v>84</v>
      </c>
      <c r="J38">
        <v>10</v>
      </c>
      <c r="K38">
        <v>338.51</v>
      </c>
      <c r="L38">
        <v>266.22000000000003</v>
      </c>
      <c r="M38">
        <v>2606.5300000000002</v>
      </c>
      <c r="N38">
        <v>2662.2</v>
      </c>
      <c r="O38">
        <v>-55.67</v>
      </c>
      <c r="P38">
        <v>0.23</v>
      </c>
      <c r="Q38" t="s">
        <v>30</v>
      </c>
    </row>
    <row r="39" spans="1:17" x14ac:dyDescent="0.25">
      <c r="A39">
        <v>1037</v>
      </c>
      <c r="B39" s="1">
        <v>45157</v>
      </c>
      <c r="C39" t="s">
        <v>105</v>
      </c>
      <c r="D39" t="s">
        <v>25</v>
      </c>
      <c r="E39" t="s">
        <v>33</v>
      </c>
      <c r="F39" t="s">
        <v>34</v>
      </c>
      <c r="G39" t="s">
        <v>20</v>
      </c>
      <c r="H39" t="s">
        <v>28</v>
      </c>
      <c r="I39" t="s">
        <v>90</v>
      </c>
      <c r="J39">
        <v>8</v>
      </c>
      <c r="K39">
        <v>417.37</v>
      </c>
      <c r="L39">
        <v>300.68</v>
      </c>
      <c r="M39">
        <v>3138.62</v>
      </c>
      <c r="N39">
        <v>2405.44</v>
      </c>
      <c r="O39">
        <v>733.18</v>
      </c>
      <c r="P39">
        <v>0.06</v>
      </c>
      <c r="Q39" t="s">
        <v>75</v>
      </c>
    </row>
    <row r="40" spans="1:17" x14ac:dyDescent="0.25">
      <c r="A40">
        <v>1038</v>
      </c>
      <c r="B40" s="1">
        <v>45433</v>
      </c>
      <c r="C40" t="s">
        <v>106</v>
      </c>
      <c r="D40" t="s">
        <v>25</v>
      </c>
      <c r="E40" t="s">
        <v>33</v>
      </c>
      <c r="F40" t="s">
        <v>34</v>
      </c>
      <c r="G40" t="s">
        <v>35</v>
      </c>
      <c r="H40" t="s">
        <v>36</v>
      </c>
      <c r="I40" t="s">
        <v>87</v>
      </c>
      <c r="J40">
        <v>9</v>
      </c>
      <c r="K40">
        <v>467.23</v>
      </c>
      <c r="L40">
        <v>324.77</v>
      </c>
      <c r="M40">
        <v>3027.65</v>
      </c>
      <c r="N40">
        <v>2922.93</v>
      </c>
      <c r="O40">
        <v>104.72</v>
      </c>
      <c r="P40">
        <v>0.28000000000000003</v>
      </c>
      <c r="Q40" t="s">
        <v>44</v>
      </c>
    </row>
    <row r="41" spans="1:17" x14ac:dyDescent="0.25">
      <c r="A41">
        <v>1039</v>
      </c>
      <c r="B41" s="1">
        <v>45394</v>
      </c>
      <c r="C41" t="s">
        <v>107</v>
      </c>
      <c r="D41" t="s">
        <v>32</v>
      </c>
      <c r="E41" t="s">
        <v>18</v>
      </c>
      <c r="F41" t="s">
        <v>27</v>
      </c>
      <c r="G41" t="s">
        <v>41</v>
      </c>
      <c r="H41" t="s">
        <v>63</v>
      </c>
      <c r="I41" t="s">
        <v>64</v>
      </c>
      <c r="J41">
        <v>7</v>
      </c>
      <c r="K41">
        <v>831.42</v>
      </c>
      <c r="L41">
        <v>575.14</v>
      </c>
      <c r="M41">
        <v>4248.5600000000004</v>
      </c>
      <c r="N41">
        <v>4025.98</v>
      </c>
      <c r="O41">
        <v>222.58</v>
      </c>
      <c r="P41">
        <v>0.27</v>
      </c>
      <c r="Q41" t="s">
        <v>55</v>
      </c>
    </row>
    <row r="42" spans="1:17" x14ac:dyDescent="0.25">
      <c r="A42">
        <v>1040</v>
      </c>
      <c r="B42" s="1">
        <v>45387</v>
      </c>
      <c r="C42" t="s">
        <v>108</v>
      </c>
      <c r="D42" t="s">
        <v>25</v>
      </c>
      <c r="E42" t="s">
        <v>18</v>
      </c>
      <c r="F42" t="s">
        <v>27</v>
      </c>
      <c r="G42" t="s">
        <v>41</v>
      </c>
      <c r="H42" t="s">
        <v>42</v>
      </c>
      <c r="I42" t="s">
        <v>68</v>
      </c>
      <c r="J42">
        <v>8</v>
      </c>
      <c r="K42">
        <v>82.1</v>
      </c>
      <c r="L42">
        <v>49.26</v>
      </c>
      <c r="M42">
        <v>604.26</v>
      </c>
      <c r="N42">
        <v>394.08</v>
      </c>
      <c r="O42">
        <v>210.18</v>
      </c>
      <c r="P42">
        <v>0.08</v>
      </c>
      <c r="Q42" t="s">
        <v>85</v>
      </c>
    </row>
    <row r="43" spans="1:17" x14ac:dyDescent="0.25">
      <c r="A43">
        <v>1041</v>
      </c>
      <c r="B43" s="1">
        <v>45480</v>
      </c>
      <c r="C43" t="s">
        <v>109</v>
      </c>
      <c r="D43" t="s">
        <v>25</v>
      </c>
      <c r="E43" t="s">
        <v>26</v>
      </c>
      <c r="F43" t="s">
        <v>27</v>
      </c>
      <c r="G43" t="s">
        <v>41</v>
      </c>
      <c r="H43" t="s">
        <v>42</v>
      </c>
      <c r="I43" t="s">
        <v>43</v>
      </c>
      <c r="J43">
        <v>4</v>
      </c>
      <c r="K43">
        <v>68.91</v>
      </c>
      <c r="L43">
        <v>44.29</v>
      </c>
      <c r="M43">
        <v>231.54</v>
      </c>
      <c r="N43">
        <v>177.16</v>
      </c>
      <c r="O43">
        <v>54.38</v>
      </c>
      <c r="P43">
        <v>0.16</v>
      </c>
      <c r="Q43" t="s">
        <v>75</v>
      </c>
    </row>
    <row r="44" spans="1:17" x14ac:dyDescent="0.25">
      <c r="A44">
        <v>1042</v>
      </c>
      <c r="B44" s="1">
        <v>44990</v>
      </c>
      <c r="C44" t="s">
        <v>110</v>
      </c>
      <c r="D44" t="s">
        <v>32</v>
      </c>
      <c r="E44" t="s">
        <v>53</v>
      </c>
      <c r="F44" t="s">
        <v>34</v>
      </c>
      <c r="G44" t="s">
        <v>41</v>
      </c>
      <c r="H44" t="s">
        <v>46</v>
      </c>
      <c r="I44" t="s">
        <v>57</v>
      </c>
      <c r="J44">
        <v>1</v>
      </c>
      <c r="K44">
        <v>943.03</v>
      </c>
      <c r="L44">
        <v>570.08000000000004</v>
      </c>
      <c r="M44">
        <v>829.87</v>
      </c>
      <c r="N44">
        <v>570.08000000000004</v>
      </c>
      <c r="O44">
        <v>259.79000000000002</v>
      </c>
      <c r="P44">
        <v>0.12</v>
      </c>
      <c r="Q44" t="s">
        <v>75</v>
      </c>
    </row>
    <row r="45" spans="1:17" x14ac:dyDescent="0.25">
      <c r="A45">
        <v>1043</v>
      </c>
      <c r="B45" s="1">
        <v>45478</v>
      </c>
      <c r="C45" t="s">
        <v>99</v>
      </c>
      <c r="D45" t="s">
        <v>17</v>
      </c>
      <c r="E45" t="s">
        <v>26</v>
      </c>
      <c r="F45" t="s">
        <v>27</v>
      </c>
      <c r="G45" t="s">
        <v>20</v>
      </c>
      <c r="H45" t="s">
        <v>28</v>
      </c>
      <c r="I45" t="s">
        <v>61</v>
      </c>
      <c r="J45">
        <v>8</v>
      </c>
      <c r="K45">
        <v>33.880000000000003</v>
      </c>
      <c r="L45">
        <v>20.93</v>
      </c>
      <c r="M45">
        <v>216.83</v>
      </c>
      <c r="N45">
        <v>167.44</v>
      </c>
      <c r="O45">
        <v>49.39</v>
      </c>
      <c r="P45">
        <v>0.2</v>
      </c>
      <c r="Q45" t="s">
        <v>75</v>
      </c>
    </row>
    <row r="46" spans="1:17" x14ac:dyDescent="0.25">
      <c r="A46">
        <v>1044</v>
      </c>
      <c r="B46" s="1">
        <v>45096</v>
      </c>
      <c r="C46" t="s">
        <v>111</v>
      </c>
      <c r="D46" t="s">
        <v>25</v>
      </c>
      <c r="E46" t="s">
        <v>33</v>
      </c>
      <c r="F46" t="s">
        <v>27</v>
      </c>
      <c r="G46" t="s">
        <v>41</v>
      </c>
      <c r="H46" t="s">
        <v>63</v>
      </c>
      <c r="I46" t="s">
        <v>64</v>
      </c>
      <c r="J46">
        <v>1</v>
      </c>
      <c r="K46">
        <v>88.53</v>
      </c>
      <c r="L46">
        <v>57.55</v>
      </c>
      <c r="M46">
        <v>65.510000000000005</v>
      </c>
      <c r="N46">
        <v>57.55</v>
      </c>
      <c r="O46">
        <v>7.96</v>
      </c>
      <c r="P46">
        <v>0.26</v>
      </c>
      <c r="Q46" t="s">
        <v>92</v>
      </c>
    </row>
    <row r="47" spans="1:17" x14ac:dyDescent="0.25">
      <c r="A47">
        <v>1045</v>
      </c>
      <c r="B47" s="1">
        <v>44978</v>
      </c>
      <c r="C47" t="s">
        <v>86</v>
      </c>
      <c r="D47" t="s">
        <v>32</v>
      </c>
      <c r="E47" t="s">
        <v>26</v>
      </c>
      <c r="F47" t="s">
        <v>27</v>
      </c>
      <c r="G47" t="s">
        <v>35</v>
      </c>
      <c r="H47" t="s">
        <v>49</v>
      </c>
      <c r="I47" t="s">
        <v>50</v>
      </c>
      <c r="J47">
        <v>5</v>
      </c>
      <c r="K47">
        <v>753.25</v>
      </c>
      <c r="L47">
        <v>595.95000000000005</v>
      </c>
      <c r="M47">
        <v>3464.95</v>
      </c>
      <c r="N47">
        <v>2979.75</v>
      </c>
      <c r="O47">
        <v>485.2</v>
      </c>
      <c r="P47">
        <v>0.08</v>
      </c>
      <c r="Q47" t="s">
        <v>44</v>
      </c>
    </row>
    <row r="48" spans="1:17" x14ac:dyDescent="0.25">
      <c r="A48">
        <v>1046</v>
      </c>
      <c r="B48" s="1">
        <v>45408</v>
      </c>
      <c r="C48" t="s">
        <v>112</v>
      </c>
      <c r="D48" t="s">
        <v>17</v>
      </c>
      <c r="E48" t="s">
        <v>33</v>
      </c>
      <c r="F48" t="s">
        <v>40</v>
      </c>
      <c r="G48" t="s">
        <v>20</v>
      </c>
      <c r="H48" t="s">
        <v>113</v>
      </c>
      <c r="I48" t="s">
        <v>114</v>
      </c>
      <c r="J48">
        <v>1</v>
      </c>
      <c r="K48">
        <v>755.46</v>
      </c>
      <c r="L48">
        <v>628.82000000000005</v>
      </c>
      <c r="M48">
        <v>710.13</v>
      </c>
      <c r="N48">
        <v>628.82000000000005</v>
      </c>
      <c r="O48">
        <v>81.31</v>
      </c>
      <c r="P48">
        <v>0.06</v>
      </c>
      <c r="Q48" t="s">
        <v>51</v>
      </c>
    </row>
    <row r="49" spans="1:17" x14ac:dyDescent="0.25">
      <c r="A49">
        <v>1047</v>
      </c>
      <c r="B49" s="1">
        <v>45563</v>
      </c>
      <c r="C49" t="s">
        <v>115</v>
      </c>
      <c r="D49" t="s">
        <v>25</v>
      </c>
      <c r="E49" t="s">
        <v>53</v>
      </c>
      <c r="F49" t="s">
        <v>34</v>
      </c>
      <c r="G49" t="s">
        <v>41</v>
      </c>
      <c r="H49" t="s">
        <v>42</v>
      </c>
      <c r="I49" t="s">
        <v>68</v>
      </c>
      <c r="J49">
        <v>5</v>
      </c>
      <c r="K49">
        <v>768.06</v>
      </c>
      <c r="L49">
        <v>429.14</v>
      </c>
      <c r="M49">
        <v>3149.05</v>
      </c>
      <c r="N49">
        <v>2145.6999999999998</v>
      </c>
      <c r="O49">
        <v>1003.35</v>
      </c>
      <c r="P49">
        <v>0.18</v>
      </c>
      <c r="Q49" t="s">
        <v>44</v>
      </c>
    </row>
    <row r="50" spans="1:17" x14ac:dyDescent="0.25">
      <c r="A50">
        <v>1048</v>
      </c>
      <c r="B50" s="1">
        <v>45094</v>
      </c>
      <c r="C50" t="s">
        <v>116</v>
      </c>
      <c r="D50" t="s">
        <v>17</v>
      </c>
      <c r="E50" t="s">
        <v>33</v>
      </c>
      <c r="F50" t="s">
        <v>40</v>
      </c>
      <c r="G50" t="s">
        <v>41</v>
      </c>
      <c r="H50" t="s">
        <v>63</v>
      </c>
      <c r="I50" t="s">
        <v>117</v>
      </c>
      <c r="J50">
        <v>7</v>
      </c>
      <c r="K50">
        <v>941.76</v>
      </c>
      <c r="L50">
        <v>536.25</v>
      </c>
      <c r="M50">
        <v>5405.7</v>
      </c>
      <c r="N50">
        <v>3753.75</v>
      </c>
      <c r="O50">
        <v>1651.95</v>
      </c>
      <c r="P50">
        <v>0.18</v>
      </c>
      <c r="Q50" t="s">
        <v>23</v>
      </c>
    </row>
    <row r="51" spans="1:17" x14ac:dyDescent="0.25">
      <c r="A51">
        <v>1049</v>
      </c>
      <c r="B51" s="1">
        <v>45031</v>
      </c>
      <c r="C51" t="s">
        <v>97</v>
      </c>
      <c r="D51" t="s">
        <v>32</v>
      </c>
      <c r="E51" t="s">
        <v>33</v>
      </c>
      <c r="F51" t="s">
        <v>34</v>
      </c>
      <c r="G51" t="s">
        <v>35</v>
      </c>
      <c r="H51" t="s">
        <v>70</v>
      </c>
      <c r="I51" t="s">
        <v>71</v>
      </c>
      <c r="J51">
        <v>6</v>
      </c>
      <c r="K51">
        <v>73.61</v>
      </c>
      <c r="L51">
        <v>53.49</v>
      </c>
      <c r="M51">
        <v>441.66</v>
      </c>
      <c r="N51">
        <v>320.94</v>
      </c>
      <c r="O51">
        <v>120.72</v>
      </c>
      <c r="P51">
        <v>0</v>
      </c>
      <c r="Q51" t="s">
        <v>75</v>
      </c>
    </row>
    <row r="52" spans="1:17" x14ac:dyDescent="0.25">
      <c r="A52">
        <v>1050</v>
      </c>
      <c r="B52" s="1">
        <v>45428</v>
      </c>
      <c r="C52" t="s">
        <v>118</v>
      </c>
      <c r="D52" t="s">
        <v>32</v>
      </c>
      <c r="E52" t="s">
        <v>53</v>
      </c>
      <c r="F52" t="s">
        <v>19</v>
      </c>
      <c r="G52" t="s">
        <v>35</v>
      </c>
      <c r="H52" t="s">
        <v>36</v>
      </c>
      <c r="I52" t="s">
        <v>100</v>
      </c>
      <c r="J52">
        <v>9</v>
      </c>
      <c r="K52">
        <v>965.65</v>
      </c>
      <c r="L52">
        <v>574.11</v>
      </c>
      <c r="M52">
        <v>6605.05</v>
      </c>
      <c r="N52">
        <v>5166.99</v>
      </c>
      <c r="O52">
        <v>1438.06</v>
      </c>
      <c r="P52">
        <v>0.24</v>
      </c>
      <c r="Q52" t="s">
        <v>38</v>
      </c>
    </row>
    <row r="53" spans="1:17" x14ac:dyDescent="0.25">
      <c r="A53">
        <v>1051</v>
      </c>
      <c r="B53" s="1">
        <v>45422</v>
      </c>
      <c r="C53" t="s">
        <v>119</v>
      </c>
      <c r="D53" t="s">
        <v>17</v>
      </c>
      <c r="E53" t="s">
        <v>18</v>
      </c>
      <c r="F53" t="s">
        <v>40</v>
      </c>
      <c r="G53" t="s">
        <v>20</v>
      </c>
      <c r="H53" t="s">
        <v>21</v>
      </c>
      <c r="I53" t="s">
        <v>54</v>
      </c>
      <c r="J53">
        <v>8</v>
      </c>
      <c r="K53">
        <v>247.64</v>
      </c>
      <c r="L53">
        <v>164.1</v>
      </c>
      <c r="M53">
        <v>1624.52</v>
      </c>
      <c r="N53">
        <v>1312.8</v>
      </c>
      <c r="O53">
        <v>311.72000000000003</v>
      </c>
      <c r="P53">
        <v>0.18</v>
      </c>
      <c r="Q53" t="s">
        <v>75</v>
      </c>
    </row>
    <row r="54" spans="1:17" x14ac:dyDescent="0.25">
      <c r="A54">
        <v>1052</v>
      </c>
      <c r="B54" s="1">
        <v>45271</v>
      </c>
      <c r="C54" t="s">
        <v>120</v>
      </c>
      <c r="D54" t="s">
        <v>32</v>
      </c>
      <c r="E54" t="s">
        <v>26</v>
      </c>
      <c r="F54" t="s">
        <v>27</v>
      </c>
      <c r="G54" t="s">
        <v>20</v>
      </c>
      <c r="H54" t="s">
        <v>28</v>
      </c>
      <c r="I54" t="s">
        <v>29</v>
      </c>
      <c r="J54">
        <v>6</v>
      </c>
      <c r="K54">
        <v>283.26</v>
      </c>
      <c r="L54">
        <v>200.73</v>
      </c>
      <c r="M54">
        <v>1257.67</v>
      </c>
      <c r="N54">
        <v>1204.3800000000001</v>
      </c>
      <c r="O54">
        <v>53.29</v>
      </c>
      <c r="P54">
        <v>0.26</v>
      </c>
      <c r="Q54" t="s">
        <v>38</v>
      </c>
    </row>
    <row r="55" spans="1:17" x14ac:dyDescent="0.25">
      <c r="A55">
        <v>1053</v>
      </c>
      <c r="B55" s="1">
        <v>44937</v>
      </c>
      <c r="C55" t="s">
        <v>121</v>
      </c>
      <c r="D55" t="s">
        <v>25</v>
      </c>
      <c r="E55" t="s">
        <v>26</v>
      </c>
      <c r="F55" t="s">
        <v>27</v>
      </c>
      <c r="G55" t="s">
        <v>35</v>
      </c>
      <c r="H55" t="s">
        <v>70</v>
      </c>
      <c r="I55" t="s">
        <v>98</v>
      </c>
      <c r="J55">
        <v>8</v>
      </c>
      <c r="K55">
        <v>647.66999999999996</v>
      </c>
      <c r="L55">
        <v>435.1</v>
      </c>
      <c r="M55">
        <v>3937.83</v>
      </c>
      <c r="N55">
        <v>3480.8</v>
      </c>
      <c r="O55">
        <v>457.03</v>
      </c>
      <c r="P55">
        <v>0.24</v>
      </c>
      <c r="Q55" t="s">
        <v>44</v>
      </c>
    </row>
    <row r="56" spans="1:17" x14ac:dyDescent="0.25">
      <c r="A56">
        <v>1054</v>
      </c>
      <c r="B56" s="1">
        <v>45228</v>
      </c>
      <c r="C56" t="s">
        <v>122</v>
      </c>
      <c r="D56" t="s">
        <v>17</v>
      </c>
      <c r="E56" t="s">
        <v>26</v>
      </c>
      <c r="F56" t="s">
        <v>40</v>
      </c>
      <c r="G56" t="s">
        <v>41</v>
      </c>
      <c r="H56" t="s">
        <v>63</v>
      </c>
      <c r="I56" t="s">
        <v>117</v>
      </c>
      <c r="J56">
        <v>8</v>
      </c>
      <c r="K56">
        <v>555.71</v>
      </c>
      <c r="L56">
        <v>344.72</v>
      </c>
      <c r="M56">
        <v>3111.98</v>
      </c>
      <c r="N56">
        <v>2757.76</v>
      </c>
      <c r="O56">
        <v>354.22</v>
      </c>
      <c r="P56">
        <v>0.3</v>
      </c>
      <c r="Q56" t="s">
        <v>38</v>
      </c>
    </row>
    <row r="57" spans="1:17" x14ac:dyDescent="0.25">
      <c r="A57">
        <v>1055</v>
      </c>
      <c r="B57" s="1">
        <v>45265</v>
      </c>
      <c r="C57" t="s">
        <v>123</v>
      </c>
      <c r="D57" t="s">
        <v>32</v>
      </c>
      <c r="E57" t="s">
        <v>18</v>
      </c>
      <c r="F57" t="s">
        <v>40</v>
      </c>
      <c r="G57" t="s">
        <v>35</v>
      </c>
      <c r="H57" t="s">
        <v>36</v>
      </c>
      <c r="I57" t="s">
        <v>87</v>
      </c>
      <c r="J57">
        <v>4</v>
      </c>
      <c r="K57">
        <v>318.97000000000003</v>
      </c>
      <c r="L57">
        <v>242.42</v>
      </c>
      <c r="M57">
        <v>905.87</v>
      </c>
      <c r="N57">
        <v>969.68</v>
      </c>
      <c r="O57">
        <v>-63.81</v>
      </c>
      <c r="P57">
        <v>0.28999999999999998</v>
      </c>
      <c r="Q57" t="s">
        <v>92</v>
      </c>
    </row>
    <row r="58" spans="1:17" x14ac:dyDescent="0.25">
      <c r="A58">
        <v>1056</v>
      </c>
      <c r="B58" s="1">
        <v>45123</v>
      </c>
      <c r="C58" t="s">
        <v>69</v>
      </c>
      <c r="D58" t="s">
        <v>32</v>
      </c>
      <c r="E58" t="s">
        <v>18</v>
      </c>
      <c r="F58" t="s">
        <v>40</v>
      </c>
      <c r="G58" t="s">
        <v>20</v>
      </c>
      <c r="H58" t="s">
        <v>21</v>
      </c>
      <c r="I58" t="s">
        <v>54</v>
      </c>
      <c r="J58">
        <v>4</v>
      </c>
      <c r="K58">
        <v>364.08</v>
      </c>
      <c r="L58">
        <v>220.56</v>
      </c>
      <c r="M58">
        <v>1150.49</v>
      </c>
      <c r="N58">
        <v>882.24</v>
      </c>
      <c r="O58">
        <v>268.25</v>
      </c>
      <c r="P58">
        <v>0.21</v>
      </c>
      <c r="Q58" t="s">
        <v>92</v>
      </c>
    </row>
    <row r="59" spans="1:17" x14ac:dyDescent="0.25">
      <c r="A59">
        <v>1057</v>
      </c>
      <c r="B59" s="1">
        <v>45207</v>
      </c>
      <c r="C59" t="s">
        <v>124</v>
      </c>
      <c r="D59" t="s">
        <v>17</v>
      </c>
      <c r="E59" t="s">
        <v>18</v>
      </c>
      <c r="F59" t="s">
        <v>19</v>
      </c>
      <c r="G59" t="s">
        <v>41</v>
      </c>
      <c r="H59" t="s">
        <v>46</v>
      </c>
      <c r="I59" t="s">
        <v>47</v>
      </c>
      <c r="J59">
        <v>1</v>
      </c>
      <c r="K59">
        <v>576.19000000000005</v>
      </c>
      <c r="L59">
        <v>382.76</v>
      </c>
      <c r="M59">
        <v>501.29</v>
      </c>
      <c r="N59">
        <v>382.76</v>
      </c>
      <c r="O59">
        <v>118.53</v>
      </c>
      <c r="P59">
        <v>0.13</v>
      </c>
      <c r="Q59" t="s">
        <v>92</v>
      </c>
    </row>
    <row r="60" spans="1:17" x14ac:dyDescent="0.25">
      <c r="A60">
        <v>1058</v>
      </c>
      <c r="B60" s="1">
        <v>44979</v>
      </c>
      <c r="C60" t="s">
        <v>95</v>
      </c>
      <c r="D60" t="s">
        <v>32</v>
      </c>
      <c r="E60" t="s">
        <v>33</v>
      </c>
      <c r="F60" t="s">
        <v>34</v>
      </c>
      <c r="G60" t="s">
        <v>35</v>
      </c>
      <c r="H60" t="s">
        <v>49</v>
      </c>
      <c r="I60" t="s">
        <v>66</v>
      </c>
      <c r="J60">
        <v>10</v>
      </c>
      <c r="K60">
        <v>631.29999999999995</v>
      </c>
      <c r="L60">
        <v>327.5</v>
      </c>
      <c r="M60">
        <v>6060.48</v>
      </c>
      <c r="N60">
        <v>3275</v>
      </c>
      <c r="O60">
        <v>2785.48</v>
      </c>
      <c r="P60">
        <v>0.04</v>
      </c>
      <c r="Q60" t="s">
        <v>125</v>
      </c>
    </row>
    <row r="61" spans="1:17" x14ac:dyDescent="0.25">
      <c r="A61">
        <v>1059</v>
      </c>
      <c r="B61" s="1">
        <v>45238</v>
      </c>
      <c r="C61" t="s">
        <v>126</v>
      </c>
      <c r="D61" t="s">
        <v>25</v>
      </c>
      <c r="E61" t="s">
        <v>53</v>
      </c>
      <c r="F61" t="s">
        <v>19</v>
      </c>
      <c r="G61" t="s">
        <v>41</v>
      </c>
      <c r="H61" t="s">
        <v>46</v>
      </c>
      <c r="I61" t="s">
        <v>57</v>
      </c>
      <c r="J61">
        <v>8</v>
      </c>
      <c r="K61">
        <v>300.87</v>
      </c>
      <c r="L61">
        <v>212.41</v>
      </c>
      <c r="M61">
        <v>2094.06</v>
      </c>
      <c r="N61">
        <v>1699.28</v>
      </c>
      <c r="O61">
        <v>394.78</v>
      </c>
      <c r="P61">
        <v>0.13</v>
      </c>
      <c r="Q61" t="s">
        <v>125</v>
      </c>
    </row>
    <row r="62" spans="1:17" x14ac:dyDescent="0.25">
      <c r="A62">
        <v>1060</v>
      </c>
      <c r="B62" s="1">
        <v>45562</v>
      </c>
      <c r="C62" t="s">
        <v>127</v>
      </c>
      <c r="D62" t="s">
        <v>17</v>
      </c>
      <c r="E62" t="s">
        <v>33</v>
      </c>
      <c r="F62" t="s">
        <v>19</v>
      </c>
      <c r="G62" t="s">
        <v>41</v>
      </c>
      <c r="H62" t="s">
        <v>42</v>
      </c>
      <c r="I62" t="s">
        <v>68</v>
      </c>
      <c r="J62">
        <v>2</v>
      </c>
      <c r="K62">
        <v>161.27000000000001</v>
      </c>
      <c r="L62">
        <v>90.45</v>
      </c>
      <c r="M62">
        <v>316.08999999999997</v>
      </c>
      <c r="N62">
        <v>180.9</v>
      </c>
      <c r="O62">
        <v>135.19</v>
      </c>
      <c r="P62">
        <v>0.02</v>
      </c>
      <c r="Q62" t="s">
        <v>51</v>
      </c>
    </row>
    <row r="63" spans="1:17" x14ac:dyDescent="0.25">
      <c r="A63">
        <v>1061</v>
      </c>
      <c r="B63" s="1">
        <v>45345</v>
      </c>
      <c r="C63" t="s">
        <v>128</v>
      </c>
      <c r="D63" t="s">
        <v>17</v>
      </c>
      <c r="E63" t="s">
        <v>53</v>
      </c>
      <c r="F63" t="s">
        <v>40</v>
      </c>
      <c r="G63" t="s">
        <v>20</v>
      </c>
      <c r="H63" t="s">
        <v>21</v>
      </c>
      <c r="I63" t="s">
        <v>54</v>
      </c>
      <c r="J63">
        <v>5</v>
      </c>
      <c r="K63">
        <v>704.47</v>
      </c>
      <c r="L63">
        <v>464.18</v>
      </c>
      <c r="M63">
        <v>2782.66</v>
      </c>
      <c r="N63">
        <v>2320.9</v>
      </c>
      <c r="O63">
        <v>461.76</v>
      </c>
      <c r="P63">
        <v>0.21</v>
      </c>
      <c r="Q63" t="s">
        <v>30</v>
      </c>
    </row>
    <row r="64" spans="1:17" x14ac:dyDescent="0.25">
      <c r="A64">
        <v>1062</v>
      </c>
      <c r="B64" s="1">
        <v>45567</v>
      </c>
      <c r="C64" t="s">
        <v>129</v>
      </c>
      <c r="D64" t="s">
        <v>25</v>
      </c>
      <c r="E64" t="s">
        <v>53</v>
      </c>
      <c r="F64" t="s">
        <v>34</v>
      </c>
      <c r="G64" t="s">
        <v>41</v>
      </c>
      <c r="H64" t="s">
        <v>42</v>
      </c>
      <c r="I64" t="s">
        <v>43</v>
      </c>
      <c r="J64">
        <v>3</v>
      </c>
      <c r="K64">
        <v>908.87</v>
      </c>
      <c r="L64">
        <v>717.39</v>
      </c>
      <c r="M64">
        <v>2672.08</v>
      </c>
      <c r="N64">
        <v>2152.17</v>
      </c>
      <c r="O64">
        <v>519.91</v>
      </c>
      <c r="P64">
        <v>0.02</v>
      </c>
      <c r="Q64" t="s">
        <v>92</v>
      </c>
    </row>
    <row r="65" spans="1:17" x14ac:dyDescent="0.25">
      <c r="A65">
        <v>1063</v>
      </c>
      <c r="B65" s="1">
        <v>45241</v>
      </c>
      <c r="C65" t="s">
        <v>130</v>
      </c>
      <c r="D65" t="s">
        <v>17</v>
      </c>
      <c r="E65" t="s">
        <v>18</v>
      </c>
      <c r="F65" t="s">
        <v>27</v>
      </c>
      <c r="G65" t="s">
        <v>20</v>
      </c>
      <c r="H65" t="s">
        <v>28</v>
      </c>
      <c r="I65" t="s">
        <v>29</v>
      </c>
      <c r="J65">
        <v>7</v>
      </c>
      <c r="K65">
        <v>942.96</v>
      </c>
      <c r="L65">
        <v>636.65</v>
      </c>
      <c r="M65">
        <v>5610.61</v>
      </c>
      <c r="N65">
        <v>4456.55</v>
      </c>
      <c r="O65">
        <v>1154.06</v>
      </c>
      <c r="P65">
        <v>0.15</v>
      </c>
      <c r="Q65" t="s">
        <v>44</v>
      </c>
    </row>
    <row r="66" spans="1:17" x14ac:dyDescent="0.25">
      <c r="A66">
        <v>1064</v>
      </c>
      <c r="B66" s="1">
        <v>45539</v>
      </c>
      <c r="C66" t="s">
        <v>131</v>
      </c>
      <c r="D66" t="s">
        <v>32</v>
      </c>
      <c r="E66" t="s">
        <v>18</v>
      </c>
      <c r="F66" t="s">
        <v>40</v>
      </c>
      <c r="G66" t="s">
        <v>20</v>
      </c>
      <c r="H66" t="s">
        <v>21</v>
      </c>
      <c r="I66" t="s">
        <v>132</v>
      </c>
      <c r="J66">
        <v>10</v>
      </c>
      <c r="K66">
        <v>589.19000000000005</v>
      </c>
      <c r="L66">
        <v>298.87</v>
      </c>
      <c r="M66">
        <v>4536.76</v>
      </c>
      <c r="N66">
        <v>2988.7</v>
      </c>
      <c r="O66">
        <v>1548.06</v>
      </c>
      <c r="P66">
        <v>0.23</v>
      </c>
      <c r="Q66" t="s">
        <v>30</v>
      </c>
    </row>
    <row r="67" spans="1:17" x14ac:dyDescent="0.25">
      <c r="A67">
        <v>1065</v>
      </c>
      <c r="B67" s="1">
        <v>45517</v>
      </c>
      <c r="C67" t="s">
        <v>133</v>
      </c>
      <c r="D67" t="s">
        <v>25</v>
      </c>
      <c r="E67" t="s">
        <v>53</v>
      </c>
      <c r="F67" t="s">
        <v>27</v>
      </c>
      <c r="G67" t="s">
        <v>35</v>
      </c>
      <c r="H67" t="s">
        <v>36</v>
      </c>
      <c r="I67" t="s">
        <v>100</v>
      </c>
      <c r="J67">
        <v>7</v>
      </c>
      <c r="K67">
        <v>636.61</v>
      </c>
      <c r="L67">
        <v>427.87</v>
      </c>
      <c r="M67">
        <v>4322.58</v>
      </c>
      <c r="N67">
        <v>2995.09</v>
      </c>
      <c r="O67">
        <v>1327.49</v>
      </c>
      <c r="P67">
        <v>0.03</v>
      </c>
      <c r="Q67" t="s">
        <v>85</v>
      </c>
    </row>
    <row r="68" spans="1:17" x14ac:dyDescent="0.25">
      <c r="A68">
        <v>1066</v>
      </c>
      <c r="B68" s="1">
        <v>45345</v>
      </c>
      <c r="C68" t="s">
        <v>134</v>
      </c>
      <c r="D68" t="s">
        <v>17</v>
      </c>
      <c r="E68" t="s">
        <v>33</v>
      </c>
      <c r="F68" t="s">
        <v>19</v>
      </c>
      <c r="G68" t="s">
        <v>35</v>
      </c>
      <c r="H68" t="s">
        <v>49</v>
      </c>
      <c r="I68" t="s">
        <v>59</v>
      </c>
      <c r="J68">
        <v>8</v>
      </c>
      <c r="K68">
        <v>291.77999999999997</v>
      </c>
      <c r="L68">
        <v>242.42</v>
      </c>
      <c r="M68">
        <v>1774.02</v>
      </c>
      <c r="N68">
        <v>1939.36</v>
      </c>
      <c r="O68">
        <v>-165.34</v>
      </c>
      <c r="P68">
        <v>0.24</v>
      </c>
      <c r="Q68" t="s">
        <v>38</v>
      </c>
    </row>
    <row r="69" spans="1:17" x14ac:dyDescent="0.25">
      <c r="A69">
        <v>1067</v>
      </c>
      <c r="B69" s="1">
        <v>44964</v>
      </c>
      <c r="C69" t="s">
        <v>135</v>
      </c>
      <c r="D69" t="s">
        <v>32</v>
      </c>
      <c r="E69" t="s">
        <v>18</v>
      </c>
      <c r="F69" t="s">
        <v>40</v>
      </c>
      <c r="G69" t="s">
        <v>20</v>
      </c>
      <c r="H69" t="s">
        <v>28</v>
      </c>
      <c r="I69" t="s">
        <v>90</v>
      </c>
      <c r="J69">
        <v>9</v>
      </c>
      <c r="K69">
        <v>464.67</v>
      </c>
      <c r="L69">
        <v>241.15</v>
      </c>
      <c r="M69">
        <v>3512.91</v>
      </c>
      <c r="N69">
        <v>2170.35</v>
      </c>
      <c r="O69">
        <v>1342.56</v>
      </c>
      <c r="P69">
        <v>0.16</v>
      </c>
      <c r="Q69" t="s">
        <v>125</v>
      </c>
    </row>
    <row r="70" spans="1:17" x14ac:dyDescent="0.25">
      <c r="A70">
        <v>1068</v>
      </c>
      <c r="B70" s="1">
        <v>45437</v>
      </c>
      <c r="C70" t="s">
        <v>136</v>
      </c>
      <c r="D70" t="s">
        <v>25</v>
      </c>
      <c r="E70" t="s">
        <v>26</v>
      </c>
      <c r="F70" t="s">
        <v>40</v>
      </c>
      <c r="G70" t="s">
        <v>41</v>
      </c>
      <c r="H70" t="s">
        <v>42</v>
      </c>
      <c r="I70" t="s">
        <v>68</v>
      </c>
      <c r="J70">
        <v>8</v>
      </c>
      <c r="K70">
        <v>881.44</v>
      </c>
      <c r="L70">
        <v>590.26</v>
      </c>
      <c r="M70">
        <v>6981</v>
      </c>
      <c r="N70">
        <v>4722.08</v>
      </c>
      <c r="O70">
        <v>2258.92</v>
      </c>
      <c r="P70">
        <v>0.01</v>
      </c>
      <c r="Q70" t="s">
        <v>125</v>
      </c>
    </row>
    <row r="71" spans="1:17" x14ac:dyDescent="0.25">
      <c r="A71">
        <v>1069</v>
      </c>
      <c r="B71" s="1">
        <v>45172</v>
      </c>
      <c r="C71" t="s">
        <v>137</v>
      </c>
      <c r="D71" t="s">
        <v>32</v>
      </c>
      <c r="E71" t="s">
        <v>33</v>
      </c>
      <c r="F71" t="s">
        <v>27</v>
      </c>
      <c r="G71" t="s">
        <v>20</v>
      </c>
      <c r="H71" t="s">
        <v>21</v>
      </c>
      <c r="I71" t="s">
        <v>22</v>
      </c>
      <c r="J71">
        <v>8</v>
      </c>
      <c r="K71">
        <v>947.33</v>
      </c>
      <c r="L71">
        <v>688.42</v>
      </c>
      <c r="M71">
        <v>7199.71</v>
      </c>
      <c r="N71">
        <v>5507.36</v>
      </c>
      <c r="O71">
        <v>1692.35</v>
      </c>
      <c r="P71">
        <v>0.05</v>
      </c>
      <c r="Q71" t="s">
        <v>30</v>
      </c>
    </row>
    <row r="72" spans="1:17" x14ac:dyDescent="0.25">
      <c r="A72">
        <v>1070</v>
      </c>
      <c r="B72" s="1">
        <v>45448</v>
      </c>
      <c r="C72" t="s">
        <v>138</v>
      </c>
      <c r="D72" t="s">
        <v>32</v>
      </c>
      <c r="E72" t="s">
        <v>53</v>
      </c>
      <c r="F72" t="s">
        <v>27</v>
      </c>
      <c r="G72" t="s">
        <v>20</v>
      </c>
      <c r="H72" t="s">
        <v>28</v>
      </c>
      <c r="I72" t="s">
        <v>81</v>
      </c>
      <c r="J72">
        <v>7</v>
      </c>
      <c r="K72">
        <v>194.66</v>
      </c>
      <c r="L72">
        <v>138.16999999999999</v>
      </c>
      <c r="M72">
        <v>1062.8399999999999</v>
      </c>
      <c r="N72">
        <v>967.19</v>
      </c>
      <c r="O72">
        <v>95.65</v>
      </c>
      <c r="P72">
        <v>0.22</v>
      </c>
      <c r="Q72" t="s">
        <v>92</v>
      </c>
    </row>
    <row r="73" spans="1:17" x14ac:dyDescent="0.25">
      <c r="A73">
        <v>1071</v>
      </c>
      <c r="B73" s="1">
        <v>44998</v>
      </c>
      <c r="C73" t="s">
        <v>108</v>
      </c>
      <c r="D73" t="s">
        <v>32</v>
      </c>
      <c r="E73" t="s">
        <v>18</v>
      </c>
      <c r="F73" t="s">
        <v>40</v>
      </c>
      <c r="G73" t="s">
        <v>20</v>
      </c>
      <c r="H73" t="s">
        <v>28</v>
      </c>
      <c r="I73" t="s">
        <v>29</v>
      </c>
      <c r="J73">
        <v>10</v>
      </c>
      <c r="K73">
        <v>582.02</v>
      </c>
      <c r="L73">
        <v>425.44</v>
      </c>
      <c r="M73">
        <v>4306.95</v>
      </c>
      <c r="N73">
        <v>4254.3999999999996</v>
      </c>
      <c r="O73">
        <v>52.55</v>
      </c>
      <c r="P73">
        <v>0.26</v>
      </c>
      <c r="Q73" t="s">
        <v>55</v>
      </c>
    </row>
    <row r="74" spans="1:17" x14ac:dyDescent="0.25">
      <c r="A74">
        <v>1072</v>
      </c>
      <c r="B74" s="1">
        <v>45478</v>
      </c>
      <c r="C74" t="s">
        <v>139</v>
      </c>
      <c r="D74" t="s">
        <v>32</v>
      </c>
      <c r="E74" t="s">
        <v>53</v>
      </c>
      <c r="F74" t="s">
        <v>27</v>
      </c>
      <c r="G74" t="s">
        <v>35</v>
      </c>
      <c r="H74" t="s">
        <v>36</v>
      </c>
      <c r="I74" t="s">
        <v>100</v>
      </c>
      <c r="J74">
        <v>4</v>
      </c>
      <c r="K74">
        <v>573.94000000000005</v>
      </c>
      <c r="L74">
        <v>333.89</v>
      </c>
      <c r="M74">
        <v>1767.74</v>
      </c>
      <c r="N74">
        <v>1335.56</v>
      </c>
      <c r="O74">
        <v>432.18</v>
      </c>
      <c r="P74">
        <v>0.23</v>
      </c>
      <c r="Q74" t="s">
        <v>51</v>
      </c>
    </row>
    <row r="75" spans="1:17" x14ac:dyDescent="0.25">
      <c r="A75">
        <v>1073</v>
      </c>
      <c r="B75" s="1">
        <v>45252</v>
      </c>
      <c r="C75" t="s">
        <v>140</v>
      </c>
      <c r="D75" t="s">
        <v>17</v>
      </c>
      <c r="E75" t="s">
        <v>53</v>
      </c>
      <c r="F75" t="s">
        <v>27</v>
      </c>
      <c r="G75" t="s">
        <v>41</v>
      </c>
      <c r="H75" t="s">
        <v>63</v>
      </c>
      <c r="I75" t="s">
        <v>141</v>
      </c>
      <c r="J75">
        <v>8</v>
      </c>
      <c r="K75">
        <v>965</v>
      </c>
      <c r="L75">
        <v>525.14</v>
      </c>
      <c r="M75">
        <v>5481.2</v>
      </c>
      <c r="N75">
        <v>4201.12</v>
      </c>
      <c r="O75">
        <v>1280.08</v>
      </c>
      <c r="P75">
        <v>0.28999999999999998</v>
      </c>
      <c r="Q75" t="s">
        <v>85</v>
      </c>
    </row>
    <row r="76" spans="1:17" x14ac:dyDescent="0.25">
      <c r="A76">
        <v>1074</v>
      </c>
      <c r="B76" s="1">
        <v>45029</v>
      </c>
      <c r="C76" t="s">
        <v>142</v>
      </c>
      <c r="D76" t="s">
        <v>32</v>
      </c>
      <c r="E76" t="s">
        <v>33</v>
      </c>
      <c r="F76" t="s">
        <v>27</v>
      </c>
      <c r="G76" t="s">
        <v>20</v>
      </c>
      <c r="H76" t="s">
        <v>113</v>
      </c>
      <c r="I76" t="s">
        <v>114</v>
      </c>
      <c r="J76">
        <v>7</v>
      </c>
      <c r="K76">
        <v>871.58</v>
      </c>
      <c r="L76">
        <v>731.68</v>
      </c>
      <c r="M76">
        <v>5979.04</v>
      </c>
      <c r="N76">
        <v>5121.76</v>
      </c>
      <c r="O76">
        <v>857.28</v>
      </c>
      <c r="P76">
        <v>0.02</v>
      </c>
      <c r="Q76" t="s">
        <v>30</v>
      </c>
    </row>
    <row r="77" spans="1:17" x14ac:dyDescent="0.25">
      <c r="A77">
        <v>1075</v>
      </c>
      <c r="B77" s="1">
        <v>45273</v>
      </c>
      <c r="C77" t="s">
        <v>130</v>
      </c>
      <c r="D77" t="s">
        <v>32</v>
      </c>
      <c r="E77" t="s">
        <v>33</v>
      </c>
      <c r="F77" t="s">
        <v>40</v>
      </c>
      <c r="G77" t="s">
        <v>41</v>
      </c>
      <c r="H77" t="s">
        <v>63</v>
      </c>
      <c r="I77" t="s">
        <v>117</v>
      </c>
      <c r="J77">
        <v>6</v>
      </c>
      <c r="K77">
        <v>628.66999999999996</v>
      </c>
      <c r="L77">
        <v>509.6</v>
      </c>
      <c r="M77">
        <v>3206.22</v>
      </c>
      <c r="N77">
        <v>3057.6</v>
      </c>
      <c r="O77">
        <v>148.62</v>
      </c>
      <c r="P77">
        <v>0.15</v>
      </c>
      <c r="Q77" t="s">
        <v>38</v>
      </c>
    </row>
    <row r="78" spans="1:17" x14ac:dyDescent="0.25">
      <c r="A78">
        <v>1076</v>
      </c>
      <c r="B78" s="1">
        <v>44963</v>
      </c>
      <c r="C78" t="s">
        <v>143</v>
      </c>
      <c r="D78" t="s">
        <v>25</v>
      </c>
      <c r="E78" t="s">
        <v>18</v>
      </c>
      <c r="F78" t="s">
        <v>19</v>
      </c>
      <c r="G78" t="s">
        <v>41</v>
      </c>
      <c r="H78" t="s">
        <v>42</v>
      </c>
      <c r="I78" t="s">
        <v>68</v>
      </c>
      <c r="J78">
        <v>2</v>
      </c>
      <c r="K78">
        <v>761.57</v>
      </c>
      <c r="L78">
        <v>568.41</v>
      </c>
      <c r="M78">
        <v>1477.45</v>
      </c>
      <c r="N78">
        <v>1136.82</v>
      </c>
      <c r="O78">
        <v>340.63</v>
      </c>
      <c r="P78">
        <v>0.03</v>
      </c>
      <c r="Q78" t="s">
        <v>92</v>
      </c>
    </row>
    <row r="79" spans="1:17" x14ac:dyDescent="0.25">
      <c r="A79">
        <v>1077</v>
      </c>
      <c r="B79" s="1">
        <v>45637</v>
      </c>
      <c r="C79" t="s">
        <v>144</v>
      </c>
      <c r="D79" t="s">
        <v>25</v>
      </c>
      <c r="E79" t="s">
        <v>33</v>
      </c>
      <c r="F79" t="s">
        <v>40</v>
      </c>
      <c r="G79" t="s">
        <v>20</v>
      </c>
      <c r="H79" t="s">
        <v>28</v>
      </c>
      <c r="I79" t="s">
        <v>29</v>
      </c>
      <c r="J79">
        <v>6</v>
      </c>
      <c r="K79">
        <v>433.53</v>
      </c>
      <c r="L79">
        <v>253.82</v>
      </c>
      <c r="M79">
        <v>2289.04</v>
      </c>
      <c r="N79">
        <v>1522.92</v>
      </c>
      <c r="O79">
        <v>766.12</v>
      </c>
      <c r="P79">
        <v>0.12</v>
      </c>
      <c r="Q79" t="s">
        <v>92</v>
      </c>
    </row>
    <row r="80" spans="1:17" x14ac:dyDescent="0.25">
      <c r="A80">
        <v>1078</v>
      </c>
      <c r="B80" s="1">
        <v>45101</v>
      </c>
      <c r="C80" t="s">
        <v>145</v>
      </c>
      <c r="D80" t="s">
        <v>17</v>
      </c>
      <c r="E80" t="s">
        <v>53</v>
      </c>
      <c r="F80" t="s">
        <v>19</v>
      </c>
      <c r="G80" t="s">
        <v>35</v>
      </c>
      <c r="H80" t="s">
        <v>70</v>
      </c>
      <c r="I80" t="s">
        <v>98</v>
      </c>
      <c r="J80">
        <v>4</v>
      </c>
      <c r="K80">
        <v>463.84</v>
      </c>
      <c r="L80">
        <v>273.14999999999998</v>
      </c>
      <c r="M80">
        <v>1706.93</v>
      </c>
      <c r="N80">
        <v>1092.5999999999999</v>
      </c>
      <c r="O80">
        <v>614.33000000000004</v>
      </c>
      <c r="P80">
        <v>0.08</v>
      </c>
      <c r="Q80" t="s">
        <v>51</v>
      </c>
    </row>
    <row r="81" spans="1:17" x14ac:dyDescent="0.25">
      <c r="A81">
        <v>1079</v>
      </c>
      <c r="B81" s="1">
        <v>45403</v>
      </c>
      <c r="C81" t="s">
        <v>146</v>
      </c>
      <c r="D81" t="s">
        <v>17</v>
      </c>
      <c r="E81" t="s">
        <v>26</v>
      </c>
      <c r="F81" t="s">
        <v>34</v>
      </c>
      <c r="G81" t="s">
        <v>35</v>
      </c>
      <c r="H81" t="s">
        <v>49</v>
      </c>
      <c r="I81" t="s">
        <v>59</v>
      </c>
      <c r="J81">
        <v>5</v>
      </c>
      <c r="K81">
        <v>640.74</v>
      </c>
      <c r="L81">
        <v>415.53</v>
      </c>
      <c r="M81">
        <v>2947.4</v>
      </c>
      <c r="N81">
        <v>2077.65</v>
      </c>
      <c r="O81">
        <v>869.75</v>
      </c>
      <c r="P81">
        <v>0.08</v>
      </c>
      <c r="Q81" t="s">
        <v>30</v>
      </c>
    </row>
    <row r="82" spans="1:17" x14ac:dyDescent="0.25">
      <c r="A82">
        <v>1080</v>
      </c>
      <c r="B82" s="1">
        <v>45130</v>
      </c>
      <c r="C82" t="s">
        <v>147</v>
      </c>
      <c r="D82" t="s">
        <v>32</v>
      </c>
      <c r="E82" t="s">
        <v>33</v>
      </c>
      <c r="F82" t="s">
        <v>19</v>
      </c>
      <c r="G82" t="s">
        <v>35</v>
      </c>
      <c r="H82" t="s">
        <v>70</v>
      </c>
      <c r="I82" t="s">
        <v>71</v>
      </c>
      <c r="J82">
        <v>10</v>
      </c>
      <c r="K82">
        <v>299.39</v>
      </c>
      <c r="L82">
        <v>222.97</v>
      </c>
      <c r="M82">
        <v>2963.96</v>
      </c>
      <c r="N82">
        <v>2229.6999999999998</v>
      </c>
      <c r="O82">
        <v>734.26</v>
      </c>
      <c r="P82">
        <v>0.01</v>
      </c>
      <c r="Q82" t="s">
        <v>75</v>
      </c>
    </row>
    <row r="83" spans="1:17" x14ac:dyDescent="0.25">
      <c r="A83">
        <v>1081</v>
      </c>
      <c r="B83" s="1">
        <v>45208</v>
      </c>
      <c r="C83" t="s">
        <v>127</v>
      </c>
      <c r="D83" t="s">
        <v>17</v>
      </c>
      <c r="E83" t="s">
        <v>33</v>
      </c>
      <c r="F83" t="s">
        <v>27</v>
      </c>
      <c r="G83" t="s">
        <v>35</v>
      </c>
      <c r="H83" t="s">
        <v>36</v>
      </c>
      <c r="I83" t="s">
        <v>100</v>
      </c>
      <c r="J83">
        <v>6</v>
      </c>
      <c r="K83">
        <v>222.91</v>
      </c>
      <c r="L83">
        <v>126.29</v>
      </c>
      <c r="M83">
        <v>1230.46</v>
      </c>
      <c r="N83">
        <v>757.74</v>
      </c>
      <c r="O83">
        <v>472.72</v>
      </c>
      <c r="P83">
        <v>0.08</v>
      </c>
      <c r="Q83" t="s">
        <v>92</v>
      </c>
    </row>
    <row r="84" spans="1:17" x14ac:dyDescent="0.25">
      <c r="A84">
        <v>1082</v>
      </c>
      <c r="B84" s="1">
        <v>45570</v>
      </c>
      <c r="C84" t="s">
        <v>148</v>
      </c>
      <c r="D84" t="s">
        <v>17</v>
      </c>
      <c r="E84" t="s">
        <v>33</v>
      </c>
      <c r="F84" t="s">
        <v>40</v>
      </c>
      <c r="G84" t="s">
        <v>35</v>
      </c>
      <c r="H84" t="s">
        <v>36</v>
      </c>
      <c r="I84" t="s">
        <v>100</v>
      </c>
      <c r="J84">
        <v>6</v>
      </c>
      <c r="K84">
        <v>733.7</v>
      </c>
      <c r="L84">
        <v>390</v>
      </c>
      <c r="M84">
        <v>4006</v>
      </c>
      <c r="N84">
        <v>2340</v>
      </c>
      <c r="O84">
        <v>1666</v>
      </c>
      <c r="P84">
        <v>0.09</v>
      </c>
      <c r="Q84" t="s">
        <v>75</v>
      </c>
    </row>
    <row r="85" spans="1:17" x14ac:dyDescent="0.25">
      <c r="A85">
        <v>1083</v>
      </c>
      <c r="B85" s="1">
        <v>45106</v>
      </c>
      <c r="C85" t="s">
        <v>149</v>
      </c>
      <c r="D85" t="s">
        <v>17</v>
      </c>
      <c r="E85" t="s">
        <v>18</v>
      </c>
      <c r="F85" t="s">
        <v>40</v>
      </c>
      <c r="G85" t="s">
        <v>20</v>
      </c>
      <c r="H85" t="s">
        <v>28</v>
      </c>
      <c r="I85" t="s">
        <v>61</v>
      </c>
      <c r="J85">
        <v>5</v>
      </c>
      <c r="K85">
        <v>747.83</v>
      </c>
      <c r="L85">
        <v>462.57</v>
      </c>
      <c r="M85">
        <v>3626.98</v>
      </c>
      <c r="N85">
        <v>2312.85</v>
      </c>
      <c r="O85">
        <v>1314.13</v>
      </c>
      <c r="P85">
        <v>0.03</v>
      </c>
      <c r="Q85" t="s">
        <v>44</v>
      </c>
    </row>
    <row r="86" spans="1:17" x14ac:dyDescent="0.25">
      <c r="A86">
        <v>1084</v>
      </c>
      <c r="B86" s="1">
        <v>45071</v>
      </c>
      <c r="C86" t="s">
        <v>105</v>
      </c>
      <c r="D86" t="s">
        <v>17</v>
      </c>
      <c r="E86" t="s">
        <v>53</v>
      </c>
      <c r="F86" t="s">
        <v>40</v>
      </c>
      <c r="G86" t="s">
        <v>20</v>
      </c>
      <c r="H86" t="s">
        <v>28</v>
      </c>
      <c r="I86" t="s">
        <v>90</v>
      </c>
      <c r="J86">
        <v>5</v>
      </c>
      <c r="K86">
        <v>538.89</v>
      </c>
      <c r="L86">
        <v>355.22</v>
      </c>
      <c r="M86">
        <v>2155.56</v>
      </c>
      <c r="N86">
        <v>1776.1</v>
      </c>
      <c r="O86">
        <v>379.46</v>
      </c>
      <c r="P86">
        <v>0.2</v>
      </c>
      <c r="Q86" t="s">
        <v>30</v>
      </c>
    </row>
    <row r="87" spans="1:17" x14ac:dyDescent="0.25">
      <c r="A87">
        <v>1085</v>
      </c>
      <c r="B87" s="1">
        <v>45525</v>
      </c>
      <c r="C87" t="s">
        <v>147</v>
      </c>
      <c r="D87" t="s">
        <v>17</v>
      </c>
      <c r="E87" t="s">
        <v>18</v>
      </c>
      <c r="F87" t="s">
        <v>34</v>
      </c>
      <c r="G87" t="s">
        <v>41</v>
      </c>
      <c r="H87" t="s">
        <v>42</v>
      </c>
      <c r="I87" t="s">
        <v>68</v>
      </c>
      <c r="J87">
        <v>1</v>
      </c>
      <c r="K87">
        <v>621.45000000000005</v>
      </c>
      <c r="L87">
        <v>515.87</v>
      </c>
      <c r="M87">
        <v>559.30999999999995</v>
      </c>
      <c r="N87">
        <v>515.87</v>
      </c>
      <c r="O87">
        <v>43.44</v>
      </c>
      <c r="P87">
        <v>0.1</v>
      </c>
      <c r="Q87" t="s">
        <v>125</v>
      </c>
    </row>
    <row r="88" spans="1:17" x14ac:dyDescent="0.25">
      <c r="A88">
        <v>1086</v>
      </c>
      <c r="B88" s="1">
        <v>45153</v>
      </c>
      <c r="C88" t="s">
        <v>150</v>
      </c>
      <c r="D88" t="s">
        <v>17</v>
      </c>
      <c r="E88" t="s">
        <v>53</v>
      </c>
      <c r="F88" t="s">
        <v>40</v>
      </c>
      <c r="G88" t="s">
        <v>41</v>
      </c>
      <c r="H88" t="s">
        <v>46</v>
      </c>
      <c r="I88" t="s">
        <v>47</v>
      </c>
      <c r="J88">
        <v>3</v>
      </c>
      <c r="K88">
        <v>50.12</v>
      </c>
      <c r="L88">
        <v>25.71</v>
      </c>
      <c r="M88">
        <v>105.25</v>
      </c>
      <c r="N88">
        <v>77.13</v>
      </c>
      <c r="O88">
        <v>28.12</v>
      </c>
      <c r="P88">
        <v>0.3</v>
      </c>
      <c r="Q88" t="s">
        <v>44</v>
      </c>
    </row>
    <row r="89" spans="1:17" x14ac:dyDescent="0.25">
      <c r="A89">
        <v>1087</v>
      </c>
      <c r="B89" s="1">
        <v>45026</v>
      </c>
      <c r="C89" t="s">
        <v>151</v>
      </c>
      <c r="D89" t="s">
        <v>17</v>
      </c>
      <c r="E89" t="s">
        <v>26</v>
      </c>
      <c r="F89" t="s">
        <v>27</v>
      </c>
      <c r="G89" t="s">
        <v>35</v>
      </c>
      <c r="H89" t="s">
        <v>49</v>
      </c>
      <c r="I89" t="s">
        <v>59</v>
      </c>
      <c r="J89">
        <v>9</v>
      </c>
      <c r="K89">
        <v>422.03</v>
      </c>
      <c r="L89">
        <v>320.66000000000003</v>
      </c>
      <c r="M89">
        <v>3608.36</v>
      </c>
      <c r="N89">
        <v>2885.94</v>
      </c>
      <c r="O89">
        <v>722.42</v>
      </c>
      <c r="P89">
        <v>0.05</v>
      </c>
      <c r="Q89" t="s">
        <v>75</v>
      </c>
    </row>
    <row r="90" spans="1:17" x14ac:dyDescent="0.25">
      <c r="A90">
        <v>1088</v>
      </c>
      <c r="B90" s="1">
        <v>45597</v>
      </c>
      <c r="C90" t="s">
        <v>152</v>
      </c>
      <c r="D90" t="s">
        <v>32</v>
      </c>
      <c r="E90" t="s">
        <v>53</v>
      </c>
      <c r="F90" t="s">
        <v>40</v>
      </c>
      <c r="G90" t="s">
        <v>20</v>
      </c>
      <c r="H90" t="s">
        <v>113</v>
      </c>
      <c r="I90" t="s">
        <v>153</v>
      </c>
      <c r="J90">
        <v>4</v>
      </c>
      <c r="K90">
        <v>446.17</v>
      </c>
      <c r="L90">
        <v>371.52</v>
      </c>
      <c r="M90">
        <v>1320.66</v>
      </c>
      <c r="N90">
        <v>1486.08</v>
      </c>
      <c r="O90">
        <v>-165.42</v>
      </c>
      <c r="P90">
        <v>0.26</v>
      </c>
      <c r="Q90" t="s">
        <v>44</v>
      </c>
    </row>
    <row r="91" spans="1:17" x14ac:dyDescent="0.25">
      <c r="A91">
        <v>1089</v>
      </c>
      <c r="B91" s="1">
        <v>45629</v>
      </c>
      <c r="C91" t="s">
        <v>154</v>
      </c>
      <c r="D91" t="s">
        <v>17</v>
      </c>
      <c r="E91" t="s">
        <v>18</v>
      </c>
      <c r="F91" t="s">
        <v>34</v>
      </c>
      <c r="G91" t="s">
        <v>35</v>
      </c>
      <c r="H91" t="s">
        <v>49</v>
      </c>
      <c r="I91" t="s">
        <v>66</v>
      </c>
      <c r="J91">
        <v>2</v>
      </c>
      <c r="K91">
        <v>949.27</v>
      </c>
      <c r="L91">
        <v>748.47</v>
      </c>
      <c r="M91">
        <v>1841.58</v>
      </c>
      <c r="N91">
        <v>1496.94</v>
      </c>
      <c r="O91">
        <v>344.64</v>
      </c>
      <c r="P91">
        <v>0.03</v>
      </c>
      <c r="Q91" t="s">
        <v>23</v>
      </c>
    </row>
    <row r="92" spans="1:17" x14ac:dyDescent="0.25">
      <c r="A92">
        <v>1090</v>
      </c>
      <c r="B92" s="1">
        <v>45584</v>
      </c>
      <c r="C92" t="s">
        <v>155</v>
      </c>
      <c r="D92" t="s">
        <v>25</v>
      </c>
      <c r="E92" t="s">
        <v>33</v>
      </c>
      <c r="F92" t="s">
        <v>40</v>
      </c>
      <c r="G92" t="s">
        <v>20</v>
      </c>
      <c r="H92" t="s">
        <v>21</v>
      </c>
      <c r="I92" t="s">
        <v>132</v>
      </c>
      <c r="J92">
        <v>2</v>
      </c>
      <c r="K92">
        <v>830.67</v>
      </c>
      <c r="L92">
        <v>576.46</v>
      </c>
      <c r="M92">
        <v>1362.3</v>
      </c>
      <c r="N92">
        <v>1152.92</v>
      </c>
      <c r="O92">
        <v>209.38</v>
      </c>
      <c r="P92">
        <v>0.18</v>
      </c>
      <c r="Q92" t="s">
        <v>23</v>
      </c>
    </row>
    <row r="93" spans="1:17" x14ac:dyDescent="0.25">
      <c r="A93">
        <v>1091</v>
      </c>
      <c r="B93" s="1">
        <v>45263</v>
      </c>
      <c r="C93" t="s">
        <v>62</v>
      </c>
      <c r="D93" t="s">
        <v>17</v>
      </c>
      <c r="E93" t="s">
        <v>33</v>
      </c>
      <c r="F93" t="s">
        <v>40</v>
      </c>
      <c r="G93" t="s">
        <v>20</v>
      </c>
      <c r="H93" t="s">
        <v>21</v>
      </c>
      <c r="I93" t="s">
        <v>54</v>
      </c>
      <c r="J93">
        <v>3</v>
      </c>
      <c r="K93">
        <v>114.38</v>
      </c>
      <c r="L93">
        <v>91.88</v>
      </c>
      <c r="M93">
        <v>329.41</v>
      </c>
      <c r="N93">
        <v>275.64</v>
      </c>
      <c r="O93">
        <v>53.77</v>
      </c>
      <c r="P93">
        <v>0.04</v>
      </c>
      <c r="Q93" t="s">
        <v>85</v>
      </c>
    </row>
    <row r="94" spans="1:17" x14ac:dyDescent="0.25">
      <c r="A94">
        <v>1092</v>
      </c>
      <c r="B94" s="1">
        <v>45170</v>
      </c>
      <c r="C94" t="s">
        <v>65</v>
      </c>
      <c r="D94" t="s">
        <v>25</v>
      </c>
      <c r="E94" t="s">
        <v>26</v>
      </c>
      <c r="F94" t="s">
        <v>40</v>
      </c>
      <c r="G94" t="s">
        <v>20</v>
      </c>
      <c r="H94" t="s">
        <v>21</v>
      </c>
      <c r="I94" t="s">
        <v>79</v>
      </c>
      <c r="J94">
        <v>9</v>
      </c>
      <c r="K94">
        <v>118.08</v>
      </c>
      <c r="L94">
        <v>61.67</v>
      </c>
      <c r="M94">
        <v>924.57</v>
      </c>
      <c r="N94">
        <v>555.03</v>
      </c>
      <c r="O94">
        <v>369.54</v>
      </c>
      <c r="P94">
        <v>0.13</v>
      </c>
      <c r="Q94" t="s">
        <v>85</v>
      </c>
    </row>
    <row r="95" spans="1:17" x14ac:dyDescent="0.25">
      <c r="A95">
        <v>1093</v>
      </c>
      <c r="B95" s="1">
        <v>45452</v>
      </c>
      <c r="C95" t="s">
        <v>143</v>
      </c>
      <c r="D95" t="s">
        <v>32</v>
      </c>
      <c r="E95" t="s">
        <v>26</v>
      </c>
      <c r="F95" t="s">
        <v>34</v>
      </c>
      <c r="G95" t="s">
        <v>41</v>
      </c>
      <c r="H95" t="s">
        <v>63</v>
      </c>
      <c r="I95" t="s">
        <v>64</v>
      </c>
      <c r="J95">
        <v>5</v>
      </c>
      <c r="K95">
        <v>460.75</v>
      </c>
      <c r="L95">
        <v>385.84</v>
      </c>
      <c r="M95">
        <v>2257.6799999999998</v>
      </c>
      <c r="N95">
        <v>1929.2</v>
      </c>
      <c r="O95">
        <v>328.48</v>
      </c>
      <c r="P95">
        <v>0.02</v>
      </c>
      <c r="Q95" t="s">
        <v>55</v>
      </c>
    </row>
    <row r="96" spans="1:17" x14ac:dyDescent="0.25">
      <c r="A96">
        <v>1094</v>
      </c>
      <c r="B96" s="1">
        <v>45338</v>
      </c>
      <c r="C96" t="s">
        <v>156</v>
      </c>
      <c r="D96" t="s">
        <v>25</v>
      </c>
      <c r="E96" t="s">
        <v>53</v>
      </c>
      <c r="F96" t="s">
        <v>27</v>
      </c>
      <c r="G96" t="s">
        <v>20</v>
      </c>
      <c r="H96" t="s">
        <v>21</v>
      </c>
      <c r="I96" t="s">
        <v>54</v>
      </c>
      <c r="J96">
        <v>10</v>
      </c>
      <c r="K96">
        <v>152.59</v>
      </c>
      <c r="L96">
        <v>83.03</v>
      </c>
      <c r="M96">
        <v>1235.98</v>
      </c>
      <c r="N96">
        <v>830.3</v>
      </c>
      <c r="O96">
        <v>405.68</v>
      </c>
      <c r="P96">
        <v>0.19</v>
      </c>
      <c r="Q96" t="s">
        <v>125</v>
      </c>
    </row>
    <row r="97" spans="1:17" x14ac:dyDescent="0.25">
      <c r="A97">
        <v>1095</v>
      </c>
      <c r="B97" s="1">
        <v>45488</v>
      </c>
      <c r="C97" t="s">
        <v>157</v>
      </c>
      <c r="D97" t="s">
        <v>32</v>
      </c>
      <c r="E97" t="s">
        <v>18</v>
      </c>
      <c r="F97" t="s">
        <v>27</v>
      </c>
      <c r="G97" t="s">
        <v>41</v>
      </c>
      <c r="H97" t="s">
        <v>63</v>
      </c>
      <c r="I97" t="s">
        <v>117</v>
      </c>
      <c r="J97">
        <v>2</v>
      </c>
      <c r="K97">
        <v>794.13</v>
      </c>
      <c r="L97">
        <v>428.87</v>
      </c>
      <c r="M97">
        <v>1270.6099999999999</v>
      </c>
      <c r="N97">
        <v>857.74</v>
      </c>
      <c r="O97">
        <v>412.87</v>
      </c>
      <c r="P97">
        <v>0.2</v>
      </c>
      <c r="Q97" t="s">
        <v>38</v>
      </c>
    </row>
    <row r="98" spans="1:17" x14ac:dyDescent="0.25">
      <c r="A98">
        <v>1096</v>
      </c>
      <c r="B98" s="1">
        <v>45147</v>
      </c>
      <c r="C98" t="s">
        <v>78</v>
      </c>
      <c r="D98" t="s">
        <v>25</v>
      </c>
      <c r="E98" t="s">
        <v>53</v>
      </c>
      <c r="F98" t="s">
        <v>40</v>
      </c>
      <c r="G98" t="s">
        <v>35</v>
      </c>
      <c r="H98" t="s">
        <v>49</v>
      </c>
      <c r="I98" t="s">
        <v>50</v>
      </c>
      <c r="J98">
        <v>2</v>
      </c>
      <c r="K98">
        <v>315.99</v>
      </c>
      <c r="L98">
        <v>192.56</v>
      </c>
      <c r="M98">
        <v>581.41999999999996</v>
      </c>
      <c r="N98">
        <v>385.12</v>
      </c>
      <c r="O98">
        <v>196.3</v>
      </c>
      <c r="P98">
        <v>0.08</v>
      </c>
      <c r="Q98" t="s">
        <v>92</v>
      </c>
    </row>
    <row r="99" spans="1:17" x14ac:dyDescent="0.25">
      <c r="A99">
        <v>1097</v>
      </c>
      <c r="B99" s="1">
        <v>45630</v>
      </c>
      <c r="C99" t="s">
        <v>158</v>
      </c>
      <c r="D99" t="s">
        <v>25</v>
      </c>
      <c r="E99" t="s">
        <v>33</v>
      </c>
      <c r="F99" t="s">
        <v>34</v>
      </c>
      <c r="G99" t="s">
        <v>20</v>
      </c>
      <c r="H99" t="s">
        <v>28</v>
      </c>
      <c r="I99" t="s">
        <v>90</v>
      </c>
      <c r="J99">
        <v>6</v>
      </c>
      <c r="K99">
        <v>812.71</v>
      </c>
      <c r="L99">
        <v>564.61</v>
      </c>
      <c r="M99">
        <v>3998.53</v>
      </c>
      <c r="N99">
        <v>3387.66</v>
      </c>
      <c r="O99">
        <v>610.87</v>
      </c>
      <c r="P99">
        <v>0.18</v>
      </c>
      <c r="Q99" t="s">
        <v>38</v>
      </c>
    </row>
    <row r="100" spans="1:17" x14ac:dyDescent="0.25">
      <c r="A100">
        <v>1098</v>
      </c>
      <c r="B100" s="1">
        <v>45502</v>
      </c>
      <c r="C100" t="s">
        <v>159</v>
      </c>
      <c r="D100" t="s">
        <v>25</v>
      </c>
      <c r="E100" t="s">
        <v>53</v>
      </c>
      <c r="F100" t="s">
        <v>40</v>
      </c>
      <c r="G100" t="s">
        <v>41</v>
      </c>
      <c r="H100" t="s">
        <v>46</v>
      </c>
      <c r="I100" t="s">
        <v>102</v>
      </c>
      <c r="J100">
        <v>1</v>
      </c>
      <c r="K100">
        <v>968.56</v>
      </c>
      <c r="L100">
        <v>687.82</v>
      </c>
      <c r="M100">
        <v>862.02</v>
      </c>
      <c r="N100">
        <v>687.82</v>
      </c>
      <c r="O100">
        <v>174.2</v>
      </c>
      <c r="P100">
        <v>0.11</v>
      </c>
      <c r="Q100" t="s">
        <v>125</v>
      </c>
    </row>
    <row r="101" spans="1:17" x14ac:dyDescent="0.25">
      <c r="A101">
        <v>1099</v>
      </c>
      <c r="B101" s="1">
        <v>45446</v>
      </c>
      <c r="C101" t="s">
        <v>149</v>
      </c>
      <c r="D101" t="s">
        <v>17</v>
      </c>
      <c r="E101" t="s">
        <v>53</v>
      </c>
      <c r="F101" t="s">
        <v>19</v>
      </c>
      <c r="G101" t="s">
        <v>20</v>
      </c>
      <c r="H101" t="s">
        <v>28</v>
      </c>
      <c r="I101" t="s">
        <v>29</v>
      </c>
      <c r="J101">
        <v>2</v>
      </c>
      <c r="K101">
        <v>763.79</v>
      </c>
      <c r="L101">
        <v>535.37</v>
      </c>
      <c r="M101">
        <v>1160.96</v>
      </c>
      <c r="N101">
        <v>1070.74</v>
      </c>
      <c r="O101">
        <v>90.22</v>
      </c>
      <c r="P101">
        <v>0.24</v>
      </c>
      <c r="Q101" t="s">
        <v>38</v>
      </c>
    </row>
    <row r="102" spans="1:17" x14ac:dyDescent="0.25">
      <c r="A102">
        <v>1100</v>
      </c>
      <c r="B102" s="1">
        <v>45563</v>
      </c>
      <c r="C102" t="s">
        <v>129</v>
      </c>
      <c r="D102" t="s">
        <v>17</v>
      </c>
      <c r="E102" t="s">
        <v>33</v>
      </c>
      <c r="F102" t="s">
        <v>40</v>
      </c>
      <c r="G102" t="s">
        <v>20</v>
      </c>
      <c r="H102" t="s">
        <v>21</v>
      </c>
      <c r="I102" t="s">
        <v>54</v>
      </c>
      <c r="J102">
        <v>5</v>
      </c>
      <c r="K102">
        <v>921.93</v>
      </c>
      <c r="L102">
        <v>574.23</v>
      </c>
      <c r="M102">
        <v>4379.17</v>
      </c>
      <c r="N102">
        <v>2871.15</v>
      </c>
      <c r="O102">
        <v>1508.02</v>
      </c>
      <c r="P102">
        <v>0.05</v>
      </c>
      <c r="Q102" t="s">
        <v>92</v>
      </c>
    </row>
    <row r="103" spans="1:17" x14ac:dyDescent="0.25">
      <c r="A103">
        <v>1101</v>
      </c>
      <c r="B103" s="1">
        <v>45506</v>
      </c>
      <c r="C103" t="s">
        <v>160</v>
      </c>
      <c r="D103" t="s">
        <v>25</v>
      </c>
      <c r="E103" t="s">
        <v>26</v>
      </c>
      <c r="F103" t="s">
        <v>34</v>
      </c>
      <c r="G103" t="s">
        <v>20</v>
      </c>
      <c r="H103" t="s">
        <v>113</v>
      </c>
      <c r="I103" t="s">
        <v>161</v>
      </c>
      <c r="J103">
        <v>4</v>
      </c>
      <c r="K103">
        <v>379.31</v>
      </c>
      <c r="L103">
        <v>249.88</v>
      </c>
      <c r="M103">
        <v>1441.38</v>
      </c>
      <c r="N103">
        <v>999.52</v>
      </c>
      <c r="O103">
        <v>441.86</v>
      </c>
      <c r="P103">
        <v>0.05</v>
      </c>
      <c r="Q103" t="s">
        <v>30</v>
      </c>
    </row>
    <row r="104" spans="1:17" x14ac:dyDescent="0.25">
      <c r="A104">
        <v>1102</v>
      </c>
      <c r="B104" s="1">
        <v>45259</v>
      </c>
      <c r="C104" t="s">
        <v>162</v>
      </c>
      <c r="D104" t="s">
        <v>17</v>
      </c>
      <c r="E104" t="s">
        <v>33</v>
      </c>
      <c r="F104" t="s">
        <v>34</v>
      </c>
      <c r="G104" t="s">
        <v>20</v>
      </c>
      <c r="H104" t="s">
        <v>21</v>
      </c>
      <c r="I104" t="s">
        <v>22</v>
      </c>
      <c r="J104">
        <v>2</v>
      </c>
      <c r="K104">
        <v>275.74</v>
      </c>
      <c r="L104">
        <v>201.75</v>
      </c>
      <c r="M104">
        <v>468.76</v>
      </c>
      <c r="N104">
        <v>403.5</v>
      </c>
      <c r="O104">
        <v>65.260000000000005</v>
      </c>
      <c r="P104">
        <v>0.15</v>
      </c>
      <c r="Q104" t="s">
        <v>55</v>
      </c>
    </row>
    <row r="105" spans="1:17" x14ac:dyDescent="0.25">
      <c r="A105">
        <v>1103</v>
      </c>
      <c r="B105" s="1">
        <v>45351</v>
      </c>
      <c r="C105" t="s">
        <v>163</v>
      </c>
      <c r="D105" t="s">
        <v>17</v>
      </c>
      <c r="E105" t="s">
        <v>33</v>
      </c>
      <c r="F105" t="s">
        <v>40</v>
      </c>
      <c r="G105" t="s">
        <v>35</v>
      </c>
      <c r="H105" t="s">
        <v>36</v>
      </c>
      <c r="I105" t="s">
        <v>37</v>
      </c>
      <c r="J105">
        <v>10</v>
      </c>
      <c r="K105">
        <v>489.2</v>
      </c>
      <c r="L105">
        <v>358.83</v>
      </c>
      <c r="M105">
        <v>4843.08</v>
      </c>
      <c r="N105">
        <v>3588.3</v>
      </c>
      <c r="O105">
        <v>1254.78</v>
      </c>
      <c r="P105">
        <v>0.01</v>
      </c>
      <c r="Q105" t="s">
        <v>75</v>
      </c>
    </row>
    <row r="106" spans="1:17" x14ac:dyDescent="0.25">
      <c r="A106">
        <v>1104</v>
      </c>
      <c r="B106" s="1">
        <v>45540</v>
      </c>
      <c r="C106" t="s">
        <v>124</v>
      </c>
      <c r="D106" t="s">
        <v>25</v>
      </c>
      <c r="E106" t="s">
        <v>18</v>
      </c>
      <c r="F106" t="s">
        <v>19</v>
      </c>
      <c r="G106" t="s">
        <v>20</v>
      </c>
      <c r="H106" t="s">
        <v>28</v>
      </c>
      <c r="I106" t="s">
        <v>29</v>
      </c>
      <c r="J106">
        <v>6</v>
      </c>
      <c r="K106">
        <v>124.38</v>
      </c>
      <c r="L106">
        <v>83.84</v>
      </c>
      <c r="M106">
        <v>649.26</v>
      </c>
      <c r="N106">
        <v>503.04</v>
      </c>
      <c r="O106">
        <v>146.22</v>
      </c>
      <c r="P106">
        <v>0.13</v>
      </c>
      <c r="Q106" t="s">
        <v>92</v>
      </c>
    </row>
    <row r="107" spans="1:17" x14ac:dyDescent="0.25">
      <c r="A107">
        <v>1105</v>
      </c>
      <c r="B107" s="1">
        <v>45316</v>
      </c>
      <c r="C107" t="s">
        <v>164</v>
      </c>
      <c r="D107" t="s">
        <v>25</v>
      </c>
      <c r="E107" t="s">
        <v>18</v>
      </c>
      <c r="F107" t="s">
        <v>34</v>
      </c>
      <c r="G107" t="s">
        <v>35</v>
      </c>
      <c r="H107" t="s">
        <v>70</v>
      </c>
      <c r="I107" t="s">
        <v>98</v>
      </c>
      <c r="J107">
        <v>7</v>
      </c>
      <c r="K107">
        <v>23.65</v>
      </c>
      <c r="L107">
        <v>19.45</v>
      </c>
      <c r="M107">
        <v>122.51</v>
      </c>
      <c r="N107">
        <v>136.15</v>
      </c>
      <c r="O107">
        <v>-13.64</v>
      </c>
      <c r="P107">
        <v>0.26</v>
      </c>
      <c r="Q107" t="s">
        <v>125</v>
      </c>
    </row>
    <row r="108" spans="1:17" x14ac:dyDescent="0.25">
      <c r="A108">
        <v>1106</v>
      </c>
      <c r="B108" s="1">
        <v>45366</v>
      </c>
      <c r="C108" t="s">
        <v>165</v>
      </c>
      <c r="D108" t="s">
        <v>17</v>
      </c>
      <c r="E108" t="s">
        <v>53</v>
      </c>
      <c r="F108" t="s">
        <v>40</v>
      </c>
      <c r="G108" t="s">
        <v>20</v>
      </c>
      <c r="H108" t="s">
        <v>28</v>
      </c>
      <c r="I108" t="s">
        <v>90</v>
      </c>
      <c r="J108">
        <v>6</v>
      </c>
      <c r="K108">
        <v>176.01</v>
      </c>
      <c r="L108">
        <v>146.38</v>
      </c>
      <c r="M108">
        <v>908.21</v>
      </c>
      <c r="N108">
        <v>878.28</v>
      </c>
      <c r="O108">
        <v>29.93</v>
      </c>
      <c r="P108">
        <v>0.14000000000000001</v>
      </c>
      <c r="Q108" t="s">
        <v>85</v>
      </c>
    </row>
    <row r="109" spans="1:17" x14ac:dyDescent="0.25">
      <c r="A109">
        <v>1107</v>
      </c>
      <c r="B109" s="1">
        <v>45017</v>
      </c>
      <c r="C109" t="s">
        <v>147</v>
      </c>
      <c r="D109" t="s">
        <v>25</v>
      </c>
      <c r="E109" t="s">
        <v>26</v>
      </c>
      <c r="F109" t="s">
        <v>27</v>
      </c>
      <c r="G109" t="s">
        <v>41</v>
      </c>
      <c r="H109" t="s">
        <v>46</v>
      </c>
      <c r="I109" t="s">
        <v>102</v>
      </c>
      <c r="J109">
        <v>2</v>
      </c>
      <c r="K109">
        <v>398.79</v>
      </c>
      <c r="L109">
        <v>242.7</v>
      </c>
      <c r="M109">
        <v>717.82</v>
      </c>
      <c r="N109">
        <v>485.4</v>
      </c>
      <c r="O109">
        <v>232.42</v>
      </c>
      <c r="P109">
        <v>0.1</v>
      </c>
      <c r="Q109" t="s">
        <v>85</v>
      </c>
    </row>
    <row r="110" spans="1:17" x14ac:dyDescent="0.25">
      <c r="A110">
        <v>1108</v>
      </c>
      <c r="B110" s="1">
        <v>45099</v>
      </c>
      <c r="C110" t="s">
        <v>166</v>
      </c>
      <c r="D110" t="s">
        <v>17</v>
      </c>
      <c r="E110" t="s">
        <v>33</v>
      </c>
      <c r="F110" t="s">
        <v>19</v>
      </c>
      <c r="G110" t="s">
        <v>35</v>
      </c>
      <c r="H110" t="s">
        <v>49</v>
      </c>
      <c r="I110" t="s">
        <v>59</v>
      </c>
      <c r="J110">
        <v>3</v>
      </c>
      <c r="K110">
        <v>240.09</v>
      </c>
      <c r="L110">
        <v>132.35</v>
      </c>
      <c r="M110">
        <v>677.05</v>
      </c>
      <c r="N110">
        <v>397.05</v>
      </c>
      <c r="O110">
        <v>280</v>
      </c>
      <c r="P110">
        <v>0.06</v>
      </c>
      <c r="Q110" t="s">
        <v>125</v>
      </c>
    </row>
    <row r="111" spans="1:17" x14ac:dyDescent="0.25">
      <c r="A111">
        <v>1109</v>
      </c>
      <c r="B111" s="1">
        <v>45083</v>
      </c>
      <c r="C111" t="s">
        <v>167</v>
      </c>
      <c r="D111" t="s">
        <v>17</v>
      </c>
      <c r="E111" t="s">
        <v>33</v>
      </c>
      <c r="F111" t="s">
        <v>19</v>
      </c>
      <c r="G111" t="s">
        <v>41</v>
      </c>
      <c r="H111" t="s">
        <v>46</v>
      </c>
      <c r="I111" t="s">
        <v>57</v>
      </c>
      <c r="J111">
        <v>10</v>
      </c>
      <c r="K111">
        <v>761.08</v>
      </c>
      <c r="L111">
        <v>500.12</v>
      </c>
      <c r="M111">
        <v>5479.78</v>
      </c>
      <c r="N111">
        <v>5001.2</v>
      </c>
      <c r="O111">
        <v>478.58</v>
      </c>
      <c r="P111">
        <v>0.28000000000000003</v>
      </c>
      <c r="Q111" t="s">
        <v>125</v>
      </c>
    </row>
    <row r="112" spans="1:17" x14ac:dyDescent="0.25">
      <c r="A112">
        <v>1110</v>
      </c>
      <c r="B112" s="1">
        <v>45585</v>
      </c>
      <c r="C112" t="s">
        <v>155</v>
      </c>
      <c r="D112" t="s">
        <v>32</v>
      </c>
      <c r="E112" t="s">
        <v>18</v>
      </c>
      <c r="F112" t="s">
        <v>19</v>
      </c>
      <c r="G112" t="s">
        <v>35</v>
      </c>
      <c r="H112" t="s">
        <v>36</v>
      </c>
      <c r="I112" t="s">
        <v>37</v>
      </c>
      <c r="J112">
        <v>8</v>
      </c>
      <c r="K112">
        <v>633.23</v>
      </c>
      <c r="L112">
        <v>493.11</v>
      </c>
      <c r="M112">
        <v>4153.99</v>
      </c>
      <c r="N112">
        <v>3944.88</v>
      </c>
      <c r="O112">
        <v>209.11</v>
      </c>
      <c r="P112">
        <v>0.18</v>
      </c>
      <c r="Q112" t="s">
        <v>85</v>
      </c>
    </row>
    <row r="113" spans="1:17" x14ac:dyDescent="0.25">
      <c r="A113">
        <v>1111</v>
      </c>
      <c r="B113" s="1">
        <v>45446</v>
      </c>
      <c r="C113" t="s">
        <v>168</v>
      </c>
      <c r="D113" t="s">
        <v>32</v>
      </c>
      <c r="E113" t="s">
        <v>53</v>
      </c>
      <c r="F113" t="s">
        <v>34</v>
      </c>
      <c r="G113" t="s">
        <v>20</v>
      </c>
      <c r="H113" t="s">
        <v>28</v>
      </c>
      <c r="I113" t="s">
        <v>29</v>
      </c>
      <c r="J113">
        <v>2</v>
      </c>
      <c r="K113">
        <v>646.44000000000005</v>
      </c>
      <c r="L113">
        <v>544.35</v>
      </c>
      <c r="M113">
        <v>1254.0899999999999</v>
      </c>
      <c r="N113">
        <v>1088.7</v>
      </c>
      <c r="O113">
        <v>165.39</v>
      </c>
      <c r="P113">
        <v>0.03</v>
      </c>
      <c r="Q113" t="s">
        <v>125</v>
      </c>
    </row>
    <row r="114" spans="1:17" x14ac:dyDescent="0.25">
      <c r="A114">
        <v>1112</v>
      </c>
      <c r="B114" s="1">
        <v>45446</v>
      </c>
      <c r="C114" t="s">
        <v>78</v>
      </c>
      <c r="D114" t="s">
        <v>17</v>
      </c>
      <c r="E114" t="s">
        <v>33</v>
      </c>
      <c r="F114" t="s">
        <v>27</v>
      </c>
      <c r="G114" t="s">
        <v>41</v>
      </c>
      <c r="H114" t="s">
        <v>63</v>
      </c>
      <c r="I114" t="s">
        <v>141</v>
      </c>
      <c r="J114">
        <v>6</v>
      </c>
      <c r="K114">
        <v>606.98</v>
      </c>
      <c r="L114">
        <v>410</v>
      </c>
      <c r="M114">
        <v>2585.73</v>
      </c>
      <c r="N114">
        <v>2460</v>
      </c>
      <c r="O114">
        <v>125.73</v>
      </c>
      <c r="P114">
        <v>0.28999999999999998</v>
      </c>
      <c r="Q114" t="s">
        <v>55</v>
      </c>
    </row>
    <row r="115" spans="1:17" x14ac:dyDescent="0.25">
      <c r="A115">
        <v>1113</v>
      </c>
      <c r="B115" s="1">
        <v>45032</v>
      </c>
      <c r="C115" t="s">
        <v>169</v>
      </c>
      <c r="D115" t="s">
        <v>32</v>
      </c>
      <c r="E115" t="s">
        <v>33</v>
      </c>
      <c r="F115" t="s">
        <v>19</v>
      </c>
      <c r="G115" t="s">
        <v>20</v>
      </c>
      <c r="H115" t="s">
        <v>21</v>
      </c>
      <c r="I115" t="s">
        <v>79</v>
      </c>
      <c r="J115">
        <v>8</v>
      </c>
      <c r="K115">
        <v>526.45000000000005</v>
      </c>
      <c r="L115">
        <v>375.59</v>
      </c>
      <c r="M115">
        <v>3748.32</v>
      </c>
      <c r="N115">
        <v>3004.72</v>
      </c>
      <c r="O115">
        <v>743.6</v>
      </c>
      <c r="P115">
        <v>0.11</v>
      </c>
      <c r="Q115" t="s">
        <v>30</v>
      </c>
    </row>
    <row r="116" spans="1:17" x14ac:dyDescent="0.25">
      <c r="A116">
        <v>1114</v>
      </c>
      <c r="B116" s="1">
        <v>45323</v>
      </c>
      <c r="C116" t="s">
        <v>170</v>
      </c>
      <c r="D116" t="s">
        <v>32</v>
      </c>
      <c r="E116" t="s">
        <v>33</v>
      </c>
      <c r="F116" t="s">
        <v>40</v>
      </c>
      <c r="G116" t="s">
        <v>20</v>
      </c>
      <c r="H116" t="s">
        <v>28</v>
      </c>
      <c r="I116" t="s">
        <v>90</v>
      </c>
      <c r="J116">
        <v>9</v>
      </c>
      <c r="K116">
        <v>679.99</v>
      </c>
      <c r="L116">
        <v>407.62</v>
      </c>
      <c r="M116">
        <v>4773.53</v>
      </c>
      <c r="N116">
        <v>3668.58</v>
      </c>
      <c r="O116">
        <v>1104.95</v>
      </c>
      <c r="P116">
        <v>0.22</v>
      </c>
      <c r="Q116" t="s">
        <v>125</v>
      </c>
    </row>
    <row r="117" spans="1:17" x14ac:dyDescent="0.25">
      <c r="A117">
        <v>1115</v>
      </c>
      <c r="B117" s="1">
        <v>45080</v>
      </c>
      <c r="C117" t="s">
        <v>171</v>
      </c>
      <c r="D117" t="s">
        <v>17</v>
      </c>
      <c r="E117" t="s">
        <v>26</v>
      </c>
      <c r="F117" t="s">
        <v>40</v>
      </c>
      <c r="G117" t="s">
        <v>35</v>
      </c>
      <c r="H117" t="s">
        <v>70</v>
      </c>
      <c r="I117" t="s">
        <v>84</v>
      </c>
      <c r="J117">
        <v>7</v>
      </c>
      <c r="K117">
        <v>133.31</v>
      </c>
      <c r="L117">
        <v>99.73</v>
      </c>
      <c r="M117">
        <v>905.17</v>
      </c>
      <c r="N117">
        <v>698.11</v>
      </c>
      <c r="O117">
        <v>207.06</v>
      </c>
      <c r="P117">
        <v>0.03</v>
      </c>
      <c r="Q117" t="s">
        <v>38</v>
      </c>
    </row>
    <row r="118" spans="1:17" x14ac:dyDescent="0.25">
      <c r="A118">
        <v>1116</v>
      </c>
      <c r="B118" s="1">
        <v>45312</v>
      </c>
      <c r="C118" t="s">
        <v>172</v>
      </c>
      <c r="D118" t="s">
        <v>32</v>
      </c>
      <c r="E118" t="s">
        <v>26</v>
      </c>
      <c r="F118" t="s">
        <v>34</v>
      </c>
      <c r="G118" t="s">
        <v>41</v>
      </c>
      <c r="H118" t="s">
        <v>63</v>
      </c>
      <c r="I118" t="s">
        <v>117</v>
      </c>
      <c r="J118">
        <v>9</v>
      </c>
      <c r="K118">
        <v>365.02</v>
      </c>
      <c r="L118">
        <v>228.83</v>
      </c>
      <c r="M118">
        <v>3120.92</v>
      </c>
      <c r="N118">
        <v>2059.4699999999998</v>
      </c>
      <c r="O118">
        <v>1061.45</v>
      </c>
      <c r="P118">
        <v>0.05</v>
      </c>
      <c r="Q118" t="s">
        <v>23</v>
      </c>
    </row>
    <row r="119" spans="1:17" x14ac:dyDescent="0.25">
      <c r="A119">
        <v>1117</v>
      </c>
      <c r="B119" s="1">
        <v>45276</v>
      </c>
      <c r="C119" t="s">
        <v>173</v>
      </c>
      <c r="D119" t="s">
        <v>25</v>
      </c>
      <c r="E119" t="s">
        <v>26</v>
      </c>
      <c r="F119" t="s">
        <v>19</v>
      </c>
      <c r="G119" t="s">
        <v>20</v>
      </c>
      <c r="H119" t="s">
        <v>21</v>
      </c>
      <c r="I119" t="s">
        <v>54</v>
      </c>
      <c r="J119">
        <v>2</v>
      </c>
      <c r="K119">
        <v>510.15</v>
      </c>
      <c r="L119">
        <v>351.45</v>
      </c>
      <c r="M119">
        <v>795.83</v>
      </c>
      <c r="N119">
        <v>702.9</v>
      </c>
      <c r="O119">
        <v>92.93</v>
      </c>
      <c r="P119">
        <v>0.22</v>
      </c>
      <c r="Q119" t="s">
        <v>38</v>
      </c>
    </row>
    <row r="120" spans="1:17" x14ac:dyDescent="0.25">
      <c r="A120">
        <v>1118</v>
      </c>
      <c r="B120" s="1">
        <v>44965</v>
      </c>
      <c r="C120" t="s">
        <v>174</v>
      </c>
      <c r="D120" t="s">
        <v>17</v>
      </c>
      <c r="E120" t="s">
        <v>26</v>
      </c>
      <c r="F120" t="s">
        <v>27</v>
      </c>
      <c r="G120" t="s">
        <v>20</v>
      </c>
      <c r="H120" t="s">
        <v>21</v>
      </c>
      <c r="I120" t="s">
        <v>132</v>
      </c>
      <c r="J120">
        <v>10</v>
      </c>
      <c r="K120">
        <v>810</v>
      </c>
      <c r="L120">
        <v>451.93</v>
      </c>
      <c r="M120">
        <v>7047</v>
      </c>
      <c r="N120">
        <v>4519.3</v>
      </c>
      <c r="O120">
        <v>2527.6999999999998</v>
      </c>
      <c r="P120">
        <v>0.13</v>
      </c>
      <c r="Q120" t="s">
        <v>75</v>
      </c>
    </row>
    <row r="121" spans="1:17" x14ac:dyDescent="0.25">
      <c r="A121">
        <v>1119</v>
      </c>
      <c r="B121" s="1">
        <v>45300</v>
      </c>
      <c r="C121" t="s">
        <v>175</v>
      </c>
      <c r="D121" t="s">
        <v>25</v>
      </c>
      <c r="E121" t="s">
        <v>53</v>
      </c>
      <c r="F121" t="s">
        <v>40</v>
      </c>
      <c r="G121" t="s">
        <v>41</v>
      </c>
      <c r="H121" t="s">
        <v>46</v>
      </c>
      <c r="I121" t="s">
        <v>47</v>
      </c>
      <c r="J121">
        <v>9</v>
      </c>
      <c r="K121">
        <v>242.97</v>
      </c>
      <c r="L121">
        <v>203.6</v>
      </c>
      <c r="M121">
        <v>1661.91</v>
      </c>
      <c r="N121">
        <v>1832.4</v>
      </c>
      <c r="O121">
        <v>-170.49</v>
      </c>
      <c r="P121">
        <v>0.24</v>
      </c>
      <c r="Q121" t="s">
        <v>23</v>
      </c>
    </row>
    <row r="122" spans="1:17" x14ac:dyDescent="0.25">
      <c r="A122">
        <v>1120</v>
      </c>
      <c r="B122" s="1">
        <v>45303</v>
      </c>
      <c r="C122" t="s">
        <v>155</v>
      </c>
      <c r="D122" t="s">
        <v>32</v>
      </c>
      <c r="E122" t="s">
        <v>53</v>
      </c>
      <c r="F122" t="s">
        <v>40</v>
      </c>
      <c r="G122" t="s">
        <v>35</v>
      </c>
      <c r="H122" t="s">
        <v>70</v>
      </c>
      <c r="I122" t="s">
        <v>84</v>
      </c>
      <c r="J122">
        <v>7</v>
      </c>
      <c r="K122">
        <v>966.44</v>
      </c>
      <c r="L122">
        <v>759.54</v>
      </c>
      <c r="M122">
        <v>5141.46</v>
      </c>
      <c r="N122">
        <v>5316.78</v>
      </c>
      <c r="O122">
        <v>-175.32</v>
      </c>
      <c r="P122">
        <v>0.24</v>
      </c>
      <c r="Q122" t="s">
        <v>92</v>
      </c>
    </row>
    <row r="123" spans="1:17" x14ac:dyDescent="0.25">
      <c r="A123">
        <v>1121</v>
      </c>
      <c r="B123" s="1">
        <v>45183</v>
      </c>
      <c r="C123" t="s">
        <v>176</v>
      </c>
      <c r="D123" t="s">
        <v>32</v>
      </c>
      <c r="E123" t="s">
        <v>18</v>
      </c>
      <c r="F123" t="s">
        <v>34</v>
      </c>
      <c r="G123" t="s">
        <v>41</v>
      </c>
      <c r="H123" t="s">
        <v>63</v>
      </c>
      <c r="I123" t="s">
        <v>141</v>
      </c>
      <c r="J123">
        <v>5</v>
      </c>
      <c r="K123">
        <v>88.46</v>
      </c>
      <c r="L123">
        <v>49.19</v>
      </c>
      <c r="M123">
        <v>384.8</v>
      </c>
      <c r="N123">
        <v>245.95</v>
      </c>
      <c r="O123">
        <v>138.85</v>
      </c>
      <c r="P123">
        <v>0.13</v>
      </c>
      <c r="Q123" t="s">
        <v>38</v>
      </c>
    </row>
    <row r="124" spans="1:17" x14ac:dyDescent="0.25">
      <c r="A124">
        <v>1122</v>
      </c>
      <c r="B124" s="1">
        <v>45077</v>
      </c>
      <c r="C124" t="s">
        <v>177</v>
      </c>
      <c r="D124" t="s">
        <v>25</v>
      </c>
      <c r="E124" t="s">
        <v>26</v>
      </c>
      <c r="F124" t="s">
        <v>27</v>
      </c>
      <c r="G124" t="s">
        <v>35</v>
      </c>
      <c r="H124" t="s">
        <v>36</v>
      </c>
      <c r="I124" t="s">
        <v>37</v>
      </c>
      <c r="J124">
        <v>1</v>
      </c>
      <c r="K124">
        <v>399.47</v>
      </c>
      <c r="L124">
        <v>252.02</v>
      </c>
      <c r="M124">
        <v>351.53</v>
      </c>
      <c r="N124">
        <v>252.02</v>
      </c>
      <c r="O124">
        <v>99.51</v>
      </c>
      <c r="P124">
        <v>0.12</v>
      </c>
      <c r="Q124" t="s">
        <v>44</v>
      </c>
    </row>
    <row r="125" spans="1:17" x14ac:dyDescent="0.25">
      <c r="A125">
        <v>1123</v>
      </c>
      <c r="B125" s="1">
        <v>45310</v>
      </c>
      <c r="C125" t="s">
        <v>178</v>
      </c>
      <c r="D125" t="s">
        <v>32</v>
      </c>
      <c r="E125" t="s">
        <v>33</v>
      </c>
      <c r="F125" t="s">
        <v>40</v>
      </c>
      <c r="G125" t="s">
        <v>20</v>
      </c>
      <c r="H125" t="s">
        <v>21</v>
      </c>
      <c r="I125" t="s">
        <v>22</v>
      </c>
      <c r="J125">
        <v>5</v>
      </c>
      <c r="K125">
        <v>917.81</v>
      </c>
      <c r="L125">
        <v>610.66999999999996</v>
      </c>
      <c r="M125">
        <v>3441.79</v>
      </c>
      <c r="N125">
        <v>3053.35</v>
      </c>
      <c r="O125">
        <v>388.44</v>
      </c>
      <c r="P125">
        <v>0.25</v>
      </c>
      <c r="Q125" t="s">
        <v>55</v>
      </c>
    </row>
    <row r="126" spans="1:17" x14ac:dyDescent="0.25">
      <c r="A126">
        <v>1124</v>
      </c>
      <c r="B126" s="1">
        <v>45386</v>
      </c>
      <c r="C126" t="s">
        <v>179</v>
      </c>
      <c r="D126" t="s">
        <v>25</v>
      </c>
      <c r="E126" t="s">
        <v>33</v>
      </c>
      <c r="F126" t="s">
        <v>40</v>
      </c>
      <c r="G126" t="s">
        <v>20</v>
      </c>
      <c r="H126" t="s">
        <v>21</v>
      </c>
      <c r="I126" t="s">
        <v>79</v>
      </c>
      <c r="J126">
        <v>2</v>
      </c>
      <c r="K126">
        <v>777.29</v>
      </c>
      <c r="L126">
        <v>453.3</v>
      </c>
      <c r="M126">
        <v>1492.4</v>
      </c>
      <c r="N126">
        <v>906.6</v>
      </c>
      <c r="O126">
        <v>585.79999999999995</v>
      </c>
      <c r="P126">
        <v>0.04</v>
      </c>
      <c r="Q126" t="s">
        <v>23</v>
      </c>
    </row>
    <row r="127" spans="1:17" x14ac:dyDescent="0.25">
      <c r="A127">
        <v>1125</v>
      </c>
      <c r="B127" s="1">
        <v>45356</v>
      </c>
      <c r="C127" t="s">
        <v>172</v>
      </c>
      <c r="D127" t="s">
        <v>17</v>
      </c>
      <c r="E127" t="s">
        <v>53</v>
      </c>
      <c r="F127" t="s">
        <v>34</v>
      </c>
      <c r="G127" t="s">
        <v>20</v>
      </c>
      <c r="H127" t="s">
        <v>28</v>
      </c>
      <c r="I127" t="s">
        <v>90</v>
      </c>
      <c r="J127">
        <v>9</v>
      </c>
      <c r="K127">
        <v>577.16999999999996</v>
      </c>
      <c r="L127">
        <v>433.74</v>
      </c>
      <c r="M127">
        <v>4727.0200000000004</v>
      </c>
      <c r="N127">
        <v>3903.66</v>
      </c>
      <c r="O127">
        <v>823.36</v>
      </c>
      <c r="P127">
        <v>0.09</v>
      </c>
      <c r="Q127" t="s">
        <v>51</v>
      </c>
    </row>
    <row r="128" spans="1:17" x14ac:dyDescent="0.25">
      <c r="A128">
        <v>1126</v>
      </c>
      <c r="B128" s="1">
        <v>45556</v>
      </c>
      <c r="C128" t="s">
        <v>180</v>
      </c>
      <c r="D128" t="s">
        <v>17</v>
      </c>
      <c r="E128" t="s">
        <v>53</v>
      </c>
      <c r="F128" t="s">
        <v>19</v>
      </c>
      <c r="G128" t="s">
        <v>41</v>
      </c>
      <c r="H128" t="s">
        <v>63</v>
      </c>
      <c r="I128" t="s">
        <v>141</v>
      </c>
      <c r="J128">
        <v>9</v>
      </c>
      <c r="K128">
        <v>974.78</v>
      </c>
      <c r="L128">
        <v>510.48</v>
      </c>
      <c r="M128">
        <v>7369.34</v>
      </c>
      <c r="N128">
        <v>4594.32</v>
      </c>
      <c r="O128">
        <v>2775.02</v>
      </c>
      <c r="P128">
        <v>0.16</v>
      </c>
      <c r="Q128" t="s">
        <v>38</v>
      </c>
    </row>
    <row r="129" spans="1:17" x14ac:dyDescent="0.25">
      <c r="A129">
        <v>1127</v>
      </c>
      <c r="B129" s="1">
        <v>45446</v>
      </c>
      <c r="C129" t="s">
        <v>181</v>
      </c>
      <c r="D129" t="s">
        <v>32</v>
      </c>
      <c r="E129" t="s">
        <v>53</v>
      </c>
      <c r="F129" t="s">
        <v>34</v>
      </c>
      <c r="G129" t="s">
        <v>41</v>
      </c>
      <c r="H129" t="s">
        <v>46</v>
      </c>
      <c r="I129" t="s">
        <v>57</v>
      </c>
      <c r="J129">
        <v>5</v>
      </c>
      <c r="K129">
        <v>748.58</v>
      </c>
      <c r="L129">
        <v>467.85</v>
      </c>
      <c r="M129">
        <v>3668.04</v>
      </c>
      <c r="N129">
        <v>2339.25</v>
      </c>
      <c r="O129">
        <v>1328.79</v>
      </c>
      <c r="P129">
        <v>0.02</v>
      </c>
      <c r="Q129" t="s">
        <v>23</v>
      </c>
    </row>
    <row r="130" spans="1:17" x14ac:dyDescent="0.25">
      <c r="A130">
        <v>1128</v>
      </c>
      <c r="B130" s="1">
        <v>45599</v>
      </c>
      <c r="C130" t="s">
        <v>150</v>
      </c>
      <c r="D130" t="s">
        <v>17</v>
      </c>
      <c r="E130" t="s">
        <v>18</v>
      </c>
      <c r="F130" t="s">
        <v>19</v>
      </c>
      <c r="G130" t="s">
        <v>20</v>
      </c>
      <c r="H130" t="s">
        <v>28</v>
      </c>
      <c r="I130" t="s">
        <v>29</v>
      </c>
      <c r="J130">
        <v>3</v>
      </c>
      <c r="K130">
        <v>831.23</v>
      </c>
      <c r="L130">
        <v>614.80999999999995</v>
      </c>
      <c r="M130">
        <v>1770.52</v>
      </c>
      <c r="N130">
        <v>1844.43</v>
      </c>
      <c r="O130">
        <v>-73.91</v>
      </c>
      <c r="P130">
        <v>0.28999999999999998</v>
      </c>
      <c r="Q130" t="s">
        <v>55</v>
      </c>
    </row>
    <row r="131" spans="1:17" x14ac:dyDescent="0.25">
      <c r="A131">
        <v>1129</v>
      </c>
      <c r="B131" s="1">
        <v>45573</v>
      </c>
      <c r="C131" t="s">
        <v>107</v>
      </c>
      <c r="D131" t="s">
        <v>25</v>
      </c>
      <c r="E131" t="s">
        <v>33</v>
      </c>
      <c r="F131" t="s">
        <v>27</v>
      </c>
      <c r="G131" t="s">
        <v>20</v>
      </c>
      <c r="H131" t="s">
        <v>28</v>
      </c>
      <c r="I131" t="s">
        <v>81</v>
      </c>
      <c r="J131">
        <v>1</v>
      </c>
      <c r="K131">
        <v>792.15</v>
      </c>
      <c r="L131">
        <v>641.66</v>
      </c>
      <c r="M131">
        <v>720.86</v>
      </c>
      <c r="N131">
        <v>641.66</v>
      </c>
      <c r="O131">
        <v>79.2</v>
      </c>
      <c r="P131">
        <v>0.09</v>
      </c>
      <c r="Q131" t="s">
        <v>30</v>
      </c>
    </row>
    <row r="132" spans="1:17" x14ac:dyDescent="0.25">
      <c r="A132">
        <v>1130</v>
      </c>
      <c r="B132" s="1">
        <v>45454</v>
      </c>
      <c r="C132" t="s">
        <v>147</v>
      </c>
      <c r="D132" t="s">
        <v>17</v>
      </c>
      <c r="E132" t="s">
        <v>53</v>
      </c>
      <c r="F132" t="s">
        <v>40</v>
      </c>
      <c r="G132" t="s">
        <v>20</v>
      </c>
      <c r="H132" t="s">
        <v>113</v>
      </c>
      <c r="I132" t="s">
        <v>114</v>
      </c>
      <c r="J132">
        <v>5</v>
      </c>
      <c r="K132">
        <v>360.19</v>
      </c>
      <c r="L132">
        <v>278.52999999999997</v>
      </c>
      <c r="M132">
        <v>1332.7</v>
      </c>
      <c r="N132">
        <v>1392.65</v>
      </c>
      <c r="O132">
        <v>-59.95</v>
      </c>
      <c r="P132">
        <v>0.26</v>
      </c>
      <c r="Q132" t="s">
        <v>85</v>
      </c>
    </row>
    <row r="133" spans="1:17" x14ac:dyDescent="0.25">
      <c r="A133">
        <v>1131</v>
      </c>
      <c r="B133" s="1">
        <v>45206</v>
      </c>
      <c r="C133" t="s">
        <v>182</v>
      </c>
      <c r="D133" t="s">
        <v>32</v>
      </c>
      <c r="E133" t="s">
        <v>53</v>
      </c>
      <c r="F133" t="s">
        <v>27</v>
      </c>
      <c r="G133" t="s">
        <v>41</v>
      </c>
      <c r="H133" t="s">
        <v>46</v>
      </c>
      <c r="I133" t="s">
        <v>57</v>
      </c>
      <c r="J133">
        <v>6</v>
      </c>
      <c r="K133">
        <v>973.85</v>
      </c>
      <c r="L133">
        <v>656.05</v>
      </c>
      <c r="M133">
        <v>4966.6400000000003</v>
      </c>
      <c r="N133">
        <v>3936.3</v>
      </c>
      <c r="O133">
        <v>1030.3399999999999</v>
      </c>
      <c r="P133">
        <v>0.15</v>
      </c>
      <c r="Q133" t="s">
        <v>38</v>
      </c>
    </row>
    <row r="134" spans="1:17" x14ac:dyDescent="0.25">
      <c r="A134">
        <v>1132</v>
      </c>
      <c r="B134" s="1">
        <v>45200</v>
      </c>
      <c r="C134" t="s">
        <v>183</v>
      </c>
      <c r="D134" t="s">
        <v>17</v>
      </c>
      <c r="E134" t="s">
        <v>53</v>
      </c>
      <c r="F134" t="s">
        <v>34</v>
      </c>
      <c r="G134" t="s">
        <v>35</v>
      </c>
      <c r="H134" t="s">
        <v>70</v>
      </c>
      <c r="I134" t="s">
        <v>98</v>
      </c>
      <c r="J134">
        <v>9</v>
      </c>
      <c r="K134">
        <v>297.3</v>
      </c>
      <c r="L134">
        <v>159.33000000000001</v>
      </c>
      <c r="M134">
        <v>2408.13</v>
      </c>
      <c r="N134">
        <v>1433.97</v>
      </c>
      <c r="O134">
        <v>974.16</v>
      </c>
      <c r="P134">
        <v>0.1</v>
      </c>
      <c r="Q134" t="s">
        <v>30</v>
      </c>
    </row>
    <row r="135" spans="1:17" x14ac:dyDescent="0.25">
      <c r="A135">
        <v>1133</v>
      </c>
      <c r="B135" s="1">
        <v>45240</v>
      </c>
      <c r="C135" t="s">
        <v>184</v>
      </c>
      <c r="D135" t="s">
        <v>17</v>
      </c>
      <c r="E135" t="s">
        <v>53</v>
      </c>
      <c r="F135" t="s">
        <v>19</v>
      </c>
      <c r="G135" t="s">
        <v>41</v>
      </c>
      <c r="H135" t="s">
        <v>46</v>
      </c>
      <c r="I135" t="s">
        <v>57</v>
      </c>
      <c r="J135">
        <v>8</v>
      </c>
      <c r="K135">
        <v>47.14</v>
      </c>
      <c r="L135">
        <v>37.92</v>
      </c>
      <c r="M135">
        <v>335.64</v>
      </c>
      <c r="N135">
        <v>303.36</v>
      </c>
      <c r="O135">
        <v>32.28</v>
      </c>
      <c r="P135">
        <v>0.11</v>
      </c>
      <c r="Q135" t="s">
        <v>75</v>
      </c>
    </row>
    <row r="136" spans="1:17" x14ac:dyDescent="0.25">
      <c r="A136">
        <v>1134</v>
      </c>
      <c r="B136" s="1">
        <v>45208</v>
      </c>
      <c r="C136" t="s">
        <v>172</v>
      </c>
      <c r="D136" t="s">
        <v>25</v>
      </c>
      <c r="E136" t="s">
        <v>33</v>
      </c>
      <c r="F136" t="s">
        <v>27</v>
      </c>
      <c r="G136" t="s">
        <v>35</v>
      </c>
      <c r="H136" t="s">
        <v>70</v>
      </c>
      <c r="I136" t="s">
        <v>84</v>
      </c>
      <c r="J136">
        <v>3</v>
      </c>
      <c r="K136">
        <v>953.03</v>
      </c>
      <c r="L136">
        <v>524.14</v>
      </c>
      <c r="M136">
        <v>2344.4499999999998</v>
      </c>
      <c r="N136">
        <v>1572.42</v>
      </c>
      <c r="O136">
        <v>772.03</v>
      </c>
      <c r="P136">
        <v>0.18</v>
      </c>
      <c r="Q136" t="s">
        <v>55</v>
      </c>
    </row>
    <row r="137" spans="1:17" x14ac:dyDescent="0.25">
      <c r="A137">
        <v>1135</v>
      </c>
      <c r="B137" s="1">
        <v>44962</v>
      </c>
      <c r="C137" t="s">
        <v>145</v>
      </c>
      <c r="D137" t="s">
        <v>25</v>
      </c>
      <c r="E137" t="s">
        <v>18</v>
      </c>
      <c r="F137" t="s">
        <v>40</v>
      </c>
      <c r="G137" t="s">
        <v>35</v>
      </c>
      <c r="H137" t="s">
        <v>70</v>
      </c>
      <c r="I137" t="s">
        <v>98</v>
      </c>
      <c r="J137">
        <v>10</v>
      </c>
      <c r="K137">
        <v>157.66999999999999</v>
      </c>
      <c r="L137">
        <v>103.66</v>
      </c>
      <c r="M137">
        <v>1403.26</v>
      </c>
      <c r="N137">
        <v>1036.5999999999999</v>
      </c>
      <c r="O137">
        <v>366.66</v>
      </c>
      <c r="P137">
        <v>0.11</v>
      </c>
      <c r="Q137" t="s">
        <v>55</v>
      </c>
    </row>
    <row r="138" spans="1:17" x14ac:dyDescent="0.25">
      <c r="A138">
        <v>1136</v>
      </c>
      <c r="B138" s="1">
        <v>45005</v>
      </c>
      <c r="C138" t="s">
        <v>185</v>
      </c>
      <c r="D138" t="s">
        <v>17</v>
      </c>
      <c r="E138" t="s">
        <v>18</v>
      </c>
      <c r="F138" t="s">
        <v>27</v>
      </c>
      <c r="G138" t="s">
        <v>35</v>
      </c>
      <c r="H138" t="s">
        <v>70</v>
      </c>
      <c r="I138" t="s">
        <v>71</v>
      </c>
      <c r="J138">
        <v>4</v>
      </c>
      <c r="K138">
        <v>960.72</v>
      </c>
      <c r="L138">
        <v>489.07</v>
      </c>
      <c r="M138">
        <v>3612.31</v>
      </c>
      <c r="N138">
        <v>1956.28</v>
      </c>
      <c r="O138">
        <v>1656.03</v>
      </c>
      <c r="P138">
        <v>0.06</v>
      </c>
      <c r="Q138" t="s">
        <v>38</v>
      </c>
    </row>
    <row r="139" spans="1:17" x14ac:dyDescent="0.25">
      <c r="A139">
        <v>1137</v>
      </c>
      <c r="B139" s="1">
        <v>45323</v>
      </c>
      <c r="C139" t="s">
        <v>186</v>
      </c>
      <c r="D139" t="s">
        <v>25</v>
      </c>
      <c r="E139" t="s">
        <v>18</v>
      </c>
      <c r="F139" t="s">
        <v>40</v>
      </c>
      <c r="G139" t="s">
        <v>41</v>
      </c>
      <c r="H139" t="s">
        <v>46</v>
      </c>
      <c r="I139" t="s">
        <v>47</v>
      </c>
      <c r="J139">
        <v>10</v>
      </c>
      <c r="K139">
        <v>289.14999999999998</v>
      </c>
      <c r="L139">
        <v>237.32</v>
      </c>
      <c r="M139">
        <v>2457.7800000000002</v>
      </c>
      <c r="N139">
        <v>2373.1999999999998</v>
      </c>
      <c r="O139">
        <v>84.58</v>
      </c>
      <c r="P139">
        <v>0.15</v>
      </c>
      <c r="Q139" t="s">
        <v>44</v>
      </c>
    </row>
    <row r="140" spans="1:17" x14ac:dyDescent="0.25">
      <c r="A140">
        <v>1138</v>
      </c>
      <c r="B140" s="1">
        <v>45065</v>
      </c>
      <c r="C140" t="s">
        <v>45</v>
      </c>
      <c r="D140" t="s">
        <v>32</v>
      </c>
      <c r="E140" t="s">
        <v>26</v>
      </c>
      <c r="F140" t="s">
        <v>27</v>
      </c>
      <c r="G140" t="s">
        <v>20</v>
      </c>
      <c r="H140" t="s">
        <v>113</v>
      </c>
      <c r="I140" t="s">
        <v>153</v>
      </c>
      <c r="J140">
        <v>6</v>
      </c>
      <c r="K140">
        <v>710.99</v>
      </c>
      <c r="L140">
        <v>492.36</v>
      </c>
      <c r="M140">
        <v>3882.01</v>
      </c>
      <c r="N140">
        <v>2954.16</v>
      </c>
      <c r="O140">
        <v>927.85</v>
      </c>
      <c r="P140">
        <v>0.09</v>
      </c>
      <c r="Q140" t="s">
        <v>30</v>
      </c>
    </row>
    <row r="141" spans="1:17" x14ac:dyDescent="0.25">
      <c r="A141">
        <v>1139</v>
      </c>
      <c r="B141" s="1">
        <v>45088</v>
      </c>
      <c r="C141" t="s">
        <v>99</v>
      </c>
      <c r="D141" t="s">
        <v>17</v>
      </c>
      <c r="E141" t="s">
        <v>26</v>
      </c>
      <c r="F141" t="s">
        <v>40</v>
      </c>
      <c r="G141" t="s">
        <v>41</v>
      </c>
      <c r="H141" t="s">
        <v>42</v>
      </c>
      <c r="I141" t="s">
        <v>77</v>
      </c>
      <c r="J141">
        <v>4</v>
      </c>
      <c r="K141">
        <v>793.11</v>
      </c>
      <c r="L141">
        <v>462.27</v>
      </c>
      <c r="M141">
        <v>2696.57</v>
      </c>
      <c r="N141">
        <v>1849.08</v>
      </c>
      <c r="O141">
        <v>847.49</v>
      </c>
      <c r="P141">
        <v>0.15</v>
      </c>
      <c r="Q141" t="s">
        <v>85</v>
      </c>
    </row>
    <row r="142" spans="1:17" x14ac:dyDescent="0.25">
      <c r="A142">
        <v>1140</v>
      </c>
      <c r="B142" s="1">
        <v>45494</v>
      </c>
      <c r="C142" t="s">
        <v>65</v>
      </c>
      <c r="D142" t="s">
        <v>32</v>
      </c>
      <c r="E142" t="s">
        <v>26</v>
      </c>
      <c r="F142" t="s">
        <v>34</v>
      </c>
      <c r="G142" t="s">
        <v>20</v>
      </c>
      <c r="H142" t="s">
        <v>28</v>
      </c>
      <c r="I142" t="s">
        <v>61</v>
      </c>
      <c r="J142">
        <v>8</v>
      </c>
      <c r="K142">
        <v>528.07000000000005</v>
      </c>
      <c r="L142">
        <v>406.2</v>
      </c>
      <c r="M142">
        <v>3168.42</v>
      </c>
      <c r="N142">
        <v>3249.6</v>
      </c>
      <c r="O142">
        <v>-81.180000000000007</v>
      </c>
      <c r="P142">
        <v>0.25</v>
      </c>
      <c r="Q142" t="s">
        <v>44</v>
      </c>
    </row>
    <row r="143" spans="1:17" x14ac:dyDescent="0.25">
      <c r="A143">
        <v>1141</v>
      </c>
      <c r="B143" s="1">
        <v>45055</v>
      </c>
      <c r="C143" t="s">
        <v>159</v>
      </c>
      <c r="D143" t="s">
        <v>25</v>
      </c>
      <c r="E143" t="s">
        <v>53</v>
      </c>
      <c r="F143" t="s">
        <v>27</v>
      </c>
      <c r="G143" t="s">
        <v>41</v>
      </c>
      <c r="H143" t="s">
        <v>63</v>
      </c>
      <c r="I143" t="s">
        <v>117</v>
      </c>
      <c r="J143">
        <v>3</v>
      </c>
      <c r="K143">
        <v>878.57</v>
      </c>
      <c r="L143">
        <v>679.22</v>
      </c>
      <c r="M143">
        <v>2134.9299999999998</v>
      </c>
      <c r="N143">
        <v>2037.66</v>
      </c>
      <c r="O143">
        <v>97.27</v>
      </c>
      <c r="P143">
        <v>0.19</v>
      </c>
      <c r="Q143" t="s">
        <v>92</v>
      </c>
    </row>
    <row r="144" spans="1:17" x14ac:dyDescent="0.25">
      <c r="A144">
        <v>1142</v>
      </c>
      <c r="B144" s="1">
        <v>45059</v>
      </c>
      <c r="C144" t="s">
        <v>187</v>
      </c>
      <c r="D144" t="s">
        <v>25</v>
      </c>
      <c r="E144" t="s">
        <v>33</v>
      </c>
      <c r="F144" t="s">
        <v>19</v>
      </c>
      <c r="G144" t="s">
        <v>35</v>
      </c>
      <c r="H144" t="s">
        <v>36</v>
      </c>
      <c r="I144" t="s">
        <v>87</v>
      </c>
      <c r="J144">
        <v>6</v>
      </c>
      <c r="K144">
        <v>935.06</v>
      </c>
      <c r="L144">
        <v>541.32000000000005</v>
      </c>
      <c r="M144">
        <v>4039.46</v>
      </c>
      <c r="N144">
        <v>3247.92</v>
      </c>
      <c r="O144">
        <v>791.54</v>
      </c>
      <c r="P144">
        <v>0.28000000000000003</v>
      </c>
      <c r="Q144" t="s">
        <v>38</v>
      </c>
    </row>
    <row r="145" spans="1:17" x14ac:dyDescent="0.25">
      <c r="A145">
        <v>1143</v>
      </c>
      <c r="B145" s="1">
        <v>45217</v>
      </c>
      <c r="C145" t="s">
        <v>45</v>
      </c>
      <c r="D145" t="s">
        <v>32</v>
      </c>
      <c r="E145" t="s">
        <v>26</v>
      </c>
      <c r="F145" t="s">
        <v>40</v>
      </c>
      <c r="G145" t="s">
        <v>20</v>
      </c>
      <c r="H145" t="s">
        <v>113</v>
      </c>
      <c r="I145" t="s">
        <v>153</v>
      </c>
      <c r="J145">
        <v>10</v>
      </c>
      <c r="K145">
        <v>535.80999999999995</v>
      </c>
      <c r="L145">
        <v>362.15</v>
      </c>
      <c r="M145">
        <v>5090.1899999999996</v>
      </c>
      <c r="N145">
        <v>3621.5</v>
      </c>
      <c r="O145">
        <v>1468.69</v>
      </c>
      <c r="P145">
        <v>0.05</v>
      </c>
      <c r="Q145" t="s">
        <v>125</v>
      </c>
    </row>
    <row r="146" spans="1:17" x14ac:dyDescent="0.25">
      <c r="A146">
        <v>1144</v>
      </c>
      <c r="B146" s="1">
        <v>45084</v>
      </c>
      <c r="C146" t="s">
        <v>58</v>
      </c>
      <c r="D146" t="s">
        <v>17</v>
      </c>
      <c r="E146" t="s">
        <v>18</v>
      </c>
      <c r="F146" t="s">
        <v>34</v>
      </c>
      <c r="G146" t="s">
        <v>20</v>
      </c>
      <c r="H146" t="s">
        <v>21</v>
      </c>
      <c r="I146" t="s">
        <v>22</v>
      </c>
      <c r="J146">
        <v>10</v>
      </c>
      <c r="K146">
        <v>268.33</v>
      </c>
      <c r="L146">
        <v>153.96</v>
      </c>
      <c r="M146">
        <v>2227.14</v>
      </c>
      <c r="N146">
        <v>1539.6</v>
      </c>
      <c r="O146">
        <v>687.54</v>
      </c>
      <c r="P146">
        <v>0.17</v>
      </c>
      <c r="Q146" t="s">
        <v>125</v>
      </c>
    </row>
    <row r="147" spans="1:17" x14ac:dyDescent="0.25">
      <c r="A147">
        <v>1145</v>
      </c>
      <c r="B147" s="1">
        <v>45581</v>
      </c>
      <c r="C147" t="s">
        <v>120</v>
      </c>
      <c r="D147" t="s">
        <v>17</v>
      </c>
      <c r="E147" t="s">
        <v>18</v>
      </c>
      <c r="F147" t="s">
        <v>40</v>
      </c>
      <c r="G147" t="s">
        <v>35</v>
      </c>
      <c r="H147" t="s">
        <v>36</v>
      </c>
      <c r="I147" t="s">
        <v>100</v>
      </c>
      <c r="J147">
        <v>7</v>
      </c>
      <c r="K147">
        <v>300.95</v>
      </c>
      <c r="L147">
        <v>158.16</v>
      </c>
      <c r="M147">
        <v>2064.52</v>
      </c>
      <c r="N147">
        <v>1107.1199999999999</v>
      </c>
      <c r="O147">
        <v>957.4</v>
      </c>
      <c r="P147">
        <v>0.02</v>
      </c>
      <c r="Q147" t="s">
        <v>55</v>
      </c>
    </row>
    <row r="148" spans="1:17" x14ac:dyDescent="0.25">
      <c r="A148">
        <v>1146</v>
      </c>
      <c r="B148" s="1">
        <v>45352</v>
      </c>
      <c r="C148" t="s">
        <v>188</v>
      </c>
      <c r="D148" t="s">
        <v>25</v>
      </c>
      <c r="E148" t="s">
        <v>18</v>
      </c>
      <c r="F148" t="s">
        <v>19</v>
      </c>
      <c r="G148" t="s">
        <v>35</v>
      </c>
      <c r="H148" t="s">
        <v>70</v>
      </c>
      <c r="I148" t="s">
        <v>71</v>
      </c>
      <c r="J148">
        <v>6</v>
      </c>
      <c r="K148">
        <v>975.5</v>
      </c>
      <c r="L148">
        <v>532.4</v>
      </c>
      <c r="M148">
        <v>5209.17</v>
      </c>
      <c r="N148">
        <v>3194.4</v>
      </c>
      <c r="O148">
        <v>2014.77</v>
      </c>
      <c r="P148">
        <v>0.11</v>
      </c>
      <c r="Q148" t="s">
        <v>38</v>
      </c>
    </row>
    <row r="149" spans="1:17" x14ac:dyDescent="0.25">
      <c r="A149">
        <v>1147</v>
      </c>
      <c r="B149" s="1">
        <v>45035</v>
      </c>
      <c r="C149" t="s">
        <v>180</v>
      </c>
      <c r="D149" t="s">
        <v>32</v>
      </c>
      <c r="E149" t="s">
        <v>33</v>
      </c>
      <c r="F149" t="s">
        <v>40</v>
      </c>
      <c r="G149" t="s">
        <v>35</v>
      </c>
      <c r="H149" t="s">
        <v>36</v>
      </c>
      <c r="I149" t="s">
        <v>87</v>
      </c>
      <c r="J149">
        <v>2</v>
      </c>
      <c r="K149">
        <v>55.35</v>
      </c>
      <c r="L149">
        <v>45.99</v>
      </c>
      <c r="M149">
        <v>81.92</v>
      </c>
      <c r="N149">
        <v>91.98</v>
      </c>
      <c r="O149">
        <v>-10.06</v>
      </c>
      <c r="P149">
        <v>0.26</v>
      </c>
      <c r="Q149" t="s">
        <v>75</v>
      </c>
    </row>
    <row r="150" spans="1:17" x14ac:dyDescent="0.25">
      <c r="A150">
        <v>1148</v>
      </c>
      <c r="B150" s="1">
        <v>45181</v>
      </c>
      <c r="C150" t="s">
        <v>189</v>
      </c>
      <c r="D150" t="s">
        <v>25</v>
      </c>
      <c r="E150" t="s">
        <v>18</v>
      </c>
      <c r="F150" t="s">
        <v>40</v>
      </c>
      <c r="G150" t="s">
        <v>20</v>
      </c>
      <c r="H150" t="s">
        <v>21</v>
      </c>
      <c r="I150" t="s">
        <v>79</v>
      </c>
      <c r="J150">
        <v>9</v>
      </c>
      <c r="K150">
        <v>469.48</v>
      </c>
      <c r="L150">
        <v>379.19</v>
      </c>
      <c r="M150">
        <v>3591.52</v>
      </c>
      <c r="N150">
        <v>3412.71</v>
      </c>
      <c r="O150">
        <v>178.81</v>
      </c>
      <c r="P150">
        <v>0.15</v>
      </c>
      <c r="Q150" t="s">
        <v>44</v>
      </c>
    </row>
    <row r="151" spans="1:17" x14ac:dyDescent="0.25">
      <c r="A151">
        <v>1149</v>
      </c>
      <c r="B151" s="1">
        <v>45329</v>
      </c>
      <c r="C151" t="s">
        <v>190</v>
      </c>
      <c r="D151" t="s">
        <v>25</v>
      </c>
      <c r="E151" t="s">
        <v>26</v>
      </c>
      <c r="F151" t="s">
        <v>40</v>
      </c>
      <c r="G151" t="s">
        <v>20</v>
      </c>
      <c r="H151" t="s">
        <v>21</v>
      </c>
      <c r="I151" t="s">
        <v>54</v>
      </c>
      <c r="J151">
        <v>8</v>
      </c>
      <c r="K151">
        <v>599.53</v>
      </c>
      <c r="L151">
        <v>476.62</v>
      </c>
      <c r="M151">
        <v>3836.99</v>
      </c>
      <c r="N151">
        <v>3812.96</v>
      </c>
      <c r="O151">
        <v>24.03</v>
      </c>
      <c r="P151">
        <v>0.2</v>
      </c>
      <c r="Q151" t="s">
        <v>30</v>
      </c>
    </row>
    <row r="152" spans="1:17" x14ac:dyDescent="0.25">
      <c r="A152">
        <v>1150</v>
      </c>
      <c r="B152" s="1">
        <v>45476</v>
      </c>
      <c r="C152" t="s">
        <v>191</v>
      </c>
      <c r="D152" t="s">
        <v>25</v>
      </c>
      <c r="E152" t="s">
        <v>53</v>
      </c>
      <c r="F152" t="s">
        <v>19</v>
      </c>
      <c r="G152" t="s">
        <v>35</v>
      </c>
      <c r="H152" t="s">
        <v>70</v>
      </c>
      <c r="I152" t="s">
        <v>71</v>
      </c>
      <c r="J152">
        <v>7</v>
      </c>
      <c r="K152">
        <v>369.11</v>
      </c>
      <c r="L152">
        <v>236.31</v>
      </c>
      <c r="M152">
        <v>2144.5300000000002</v>
      </c>
      <c r="N152">
        <v>1654.17</v>
      </c>
      <c r="O152">
        <v>490.36</v>
      </c>
      <c r="P152">
        <v>0.17</v>
      </c>
      <c r="Q152" t="s">
        <v>23</v>
      </c>
    </row>
    <row r="153" spans="1:17" x14ac:dyDescent="0.25">
      <c r="A153">
        <v>1151</v>
      </c>
      <c r="B153" s="1">
        <v>45298</v>
      </c>
      <c r="C153" t="s">
        <v>88</v>
      </c>
      <c r="D153" t="s">
        <v>25</v>
      </c>
      <c r="E153" t="s">
        <v>53</v>
      </c>
      <c r="F153" t="s">
        <v>27</v>
      </c>
      <c r="G153" t="s">
        <v>41</v>
      </c>
      <c r="H153" t="s">
        <v>46</v>
      </c>
      <c r="I153" t="s">
        <v>102</v>
      </c>
      <c r="J153">
        <v>10</v>
      </c>
      <c r="K153">
        <v>123.22</v>
      </c>
      <c r="L153">
        <v>103.66</v>
      </c>
      <c r="M153">
        <v>1084.3399999999999</v>
      </c>
      <c r="N153">
        <v>1036.5999999999999</v>
      </c>
      <c r="O153">
        <v>47.74</v>
      </c>
      <c r="P153">
        <v>0.12</v>
      </c>
      <c r="Q153" t="s">
        <v>85</v>
      </c>
    </row>
    <row r="154" spans="1:17" x14ac:dyDescent="0.25">
      <c r="A154">
        <v>1152</v>
      </c>
      <c r="B154" s="1">
        <v>45498</v>
      </c>
      <c r="C154" t="s">
        <v>192</v>
      </c>
      <c r="D154" t="s">
        <v>25</v>
      </c>
      <c r="E154" t="s">
        <v>26</v>
      </c>
      <c r="F154" t="s">
        <v>27</v>
      </c>
      <c r="G154" t="s">
        <v>41</v>
      </c>
      <c r="H154" t="s">
        <v>42</v>
      </c>
      <c r="I154" t="s">
        <v>77</v>
      </c>
      <c r="J154">
        <v>1</v>
      </c>
      <c r="K154">
        <v>141.35</v>
      </c>
      <c r="L154">
        <v>87.15</v>
      </c>
      <c r="M154">
        <v>121.56</v>
      </c>
      <c r="N154">
        <v>87.15</v>
      </c>
      <c r="O154">
        <v>34.409999999999997</v>
      </c>
      <c r="P154">
        <v>0.14000000000000001</v>
      </c>
      <c r="Q154" t="s">
        <v>55</v>
      </c>
    </row>
    <row r="155" spans="1:17" x14ac:dyDescent="0.25">
      <c r="A155">
        <v>1153</v>
      </c>
      <c r="B155" s="1">
        <v>45079</v>
      </c>
      <c r="C155" t="s">
        <v>193</v>
      </c>
      <c r="D155" t="s">
        <v>17</v>
      </c>
      <c r="E155" t="s">
        <v>26</v>
      </c>
      <c r="F155" t="s">
        <v>40</v>
      </c>
      <c r="G155" t="s">
        <v>41</v>
      </c>
      <c r="H155" t="s">
        <v>46</v>
      </c>
      <c r="I155" t="s">
        <v>47</v>
      </c>
      <c r="J155">
        <v>7</v>
      </c>
      <c r="K155">
        <v>990.66</v>
      </c>
      <c r="L155">
        <v>751.67</v>
      </c>
      <c r="M155">
        <v>6310.5</v>
      </c>
      <c r="N155">
        <v>5261.69</v>
      </c>
      <c r="O155">
        <v>1048.81</v>
      </c>
      <c r="P155">
        <v>0.09</v>
      </c>
      <c r="Q155" t="s">
        <v>85</v>
      </c>
    </row>
    <row r="156" spans="1:17" x14ac:dyDescent="0.25">
      <c r="A156">
        <v>1154</v>
      </c>
      <c r="B156" s="1">
        <v>45446</v>
      </c>
      <c r="C156" t="s">
        <v>194</v>
      </c>
      <c r="D156" t="s">
        <v>17</v>
      </c>
      <c r="E156" t="s">
        <v>53</v>
      </c>
      <c r="F156" t="s">
        <v>40</v>
      </c>
      <c r="G156" t="s">
        <v>35</v>
      </c>
      <c r="H156" t="s">
        <v>36</v>
      </c>
      <c r="I156" t="s">
        <v>37</v>
      </c>
      <c r="J156">
        <v>6</v>
      </c>
      <c r="K156">
        <v>675.44</v>
      </c>
      <c r="L156">
        <v>569.37</v>
      </c>
      <c r="M156">
        <v>3323.16</v>
      </c>
      <c r="N156">
        <v>3416.22</v>
      </c>
      <c r="O156">
        <v>-93.06</v>
      </c>
      <c r="P156">
        <v>0.18</v>
      </c>
      <c r="Q156" t="s">
        <v>51</v>
      </c>
    </row>
    <row r="157" spans="1:17" x14ac:dyDescent="0.25">
      <c r="A157">
        <v>1155</v>
      </c>
      <c r="B157" s="1">
        <v>45538</v>
      </c>
      <c r="C157" t="s">
        <v>195</v>
      </c>
      <c r="D157" t="s">
        <v>17</v>
      </c>
      <c r="E157" t="s">
        <v>26</v>
      </c>
      <c r="F157" t="s">
        <v>34</v>
      </c>
      <c r="G157" t="s">
        <v>41</v>
      </c>
      <c r="H157" t="s">
        <v>46</v>
      </c>
      <c r="I157" t="s">
        <v>47</v>
      </c>
      <c r="J157">
        <v>9</v>
      </c>
      <c r="K157">
        <v>630.88</v>
      </c>
      <c r="L157">
        <v>452.28</v>
      </c>
      <c r="M157">
        <v>4258.4399999999996</v>
      </c>
      <c r="N157">
        <v>4070.52</v>
      </c>
      <c r="O157">
        <v>187.92</v>
      </c>
      <c r="P157">
        <v>0.25</v>
      </c>
      <c r="Q157" t="s">
        <v>92</v>
      </c>
    </row>
    <row r="158" spans="1:17" x14ac:dyDescent="0.25">
      <c r="A158">
        <v>1156</v>
      </c>
      <c r="B158" s="1">
        <v>45624</v>
      </c>
      <c r="C158" t="s">
        <v>178</v>
      </c>
      <c r="D158" t="s">
        <v>17</v>
      </c>
      <c r="E158" t="s">
        <v>33</v>
      </c>
      <c r="F158" t="s">
        <v>19</v>
      </c>
      <c r="G158" t="s">
        <v>20</v>
      </c>
      <c r="H158" t="s">
        <v>28</v>
      </c>
      <c r="I158" t="s">
        <v>29</v>
      </c>
      <c r="J158">
        <v>7</v>
      </c>
      <c r="K158">
        <v>155.66999999999999</v>
      </c>
      <c r="L158">
        <v>115.46</v>
      </c>
      <c r="M158">
        <v>958.93</v>
      </c>
      <c r="N158">
        <v>808.22</v>
      </c>
      <c r="O158">
        <v>150.71</v>
      </c>
      <c r="P158">
        <v>0.12</v>
      </c>
      <c r="Q158" t="s">
        <v>125</v>
      </c>
    </row>
    <row r="159" spans="1:17" x14ac:dyDescent="0.25">
      <c r="A159">
        <v>1157</v>
      </c>
      <c r="B159" s="1">
        <v>45409</v>
      </c>
      <c r="C159" t="s">
        <v>142</v>
      </c>
      <c r="D159" t="s">
        <v>17</v>
      </c>
      <c r="E159" t="s">
        <v>33</v>
      </c>
      <c r="F159" t="s">
        <v>19</v>
      </c>
      <c r="G159" t="s">
        <v>41</v>
      </c>
      <c r="H159" t="s">
        <v>42</v>
      </c>
      <c r="I159" t="s">
        <v>43</v>
      </c>
      <c r="J159">
        <v>6</v>
      </c>
      <c r="K159">
        <v>998.13</v>
      </c>
      <c r="L159">
        <v>666.18</v>
      </c>
      <c r="M159">
        <v>5330.01</v>
      </c>
      <c r="N159">
        <v>3997.08</v>
      </c>
      <c r="O159">
        <v>1332.93</v>
      </c>
      <c r="P159">
        <v>0.11</v>
      </c>
      <c r="Q159" t="s">
        <v>92</v>
      </c>
    </row>
    <row r="160" spans="1:17" x14ac:dyDescent="0.25">
      <c r="A160">
        <v>1158</v>
      </c>
      <c r="B160" s="1">
        <v>45397</v>
      </c>
      <c r="C160" t="s">
        <v>186</v>
      </c>
      <c r="D160" t="s">
        <v>32</v>
      </c>
      <c r="E160" t="s">
        <v>18</v>
      </c>
      <c r="F160" t="s">
        <v>40</v>
      </c>
      <c r="G160" t="s">
        <v>41</v>
      </c>
      <c r="H160" t="s">
        <v>46</v>
      </c>
      <c r="I160" t="s">
        <v>47</v>
      </c>
      <c r="J160">
        <v>4</v>
      </c>
      <c r="K160">
        <v>282.61</v>
      </c>
      <c r="L160">
        <v>170.83</v>
      </c>
      <c r="M160">
        <v>813.92</v>
      </c>
      <c r="N160">
        <v>683.32</v>
      </c>
      <c r="O160">
        <v>130.6</v>
      </c>
      <c r="P160">
        <v>0.28000000000000003</v>
      </c>
      <c r="Q160" t="s">
        <v>30</v>
      </c>
    </row>
    <row r="161" spans="1:17" x14ac:dyDescent="0.25">
      <c r="A161">
        <v>1159</v>
      </c>
      <c r="B161" s="1">
        <v>45222</v>
      </c>
      <c r="C161" t="s">
        <v>196</v>
      </c>
      <c r="D161" t="s">
        <v>17</v>
      </c>
      <c r="E161" t="s">
        <v>53</v>
      </c>
      <c r="F161" t="s">
        <v>40</v>
      </c>
      <c r="G161" t="s">
        <v>35</v>
      </c>
      <c r="H161" t="s">
        <v>49</v>
      </c>
      <c r="I161" t="s">
        <v>59</v>
      </c>
      <c r="J161">
        <v>5</v>
      </c>
      <c r="K161">
        <v>291.35000000000002</v>
      </c>
      <c r="L161">
        <v>204.15</v>
      </c>
      <c r="M161">
        <v>1223.67</v>
      </c>
      <c r="N161">
        <v>1020.75</v>
      </c>
      <c r="O161">
        <v>202.92</v>
      </c>
      <c r="P161">
        <v>0.16</v>
      </c>
      <c r="Q161" t="s">
        <v>75</v>
      </c>
    </row>
    <row r="162" spans="1:17" x14ac:dyDescent="0.25">
      <c r="A162">
        <v>1160</v>
      </c>
      <c r="B162" s="1">
        <v>45280</v>
      </c>
      <c r="C162" t="s">
        <v>167</v>
      </c>
      <c r="D162" t="s">
        <v>25</v>
      </c>
      <c r="E162" t="s">
        <v>18</v>
      </c>
      <c r="F162" t="s">
        <v>34</v>
      </c>
      <c r="G162" t="s">
        <v>35</v>
      </c>
      <c r="H162" t="s">
        <v>70</v>
      </c>
      <c r="I162" t="s">
        <v>98</v>
      </c>
      <c r="J162">
        <v>6</v>
      </c>
      <c r="K162">
        <v>924.39</v>
      </c>
      <c r="L162">
        <v>674.43</v>
      </c>
      <c r="M162">
        <v>4326.1499999999996</v>
      </c>
      <c r="N162">
        <v>4046.58</v>
      </c>
      <c r="O162">
        <v>279.57</v>
      </c>
      <c r="P162">
        <v>0.22</v>
      </c>
      <c r="Q162" t="s">
        <v>23</v>
      </c>
    </row>
    <row r="163" spans="1:17" x14ac:dyDescent="0.25">
      <c r="A163">
        <v>1161</v>
      </c>
      <c r="B163" s="1">
        <v>45133</v>
      </c>
      <c r="C163" t="s">
        <v>194</v>
      </c>
      <c r="D163" t="s">
        <v>32</v>
      </c>
      <c r="E163" t="s">
        <v>18</v>
      </c>
      <c r="F163" t="s">
        <v>19</v>
      </c>
      <c r="G163" t="s">
        <v>20</v>
      </c>
      <c r="H163" t="s">
        <v>113</v>
      </c>
      <c r="I163" t="s">
        <v>161</v>
      </c>
      <c r="J163">
        <v>10</v>
      </c>
      <c r="K163">
        <v>243.09</v>
      </c>
      <c r="L163">
        <v>125.86</v>
      </c>
      <c r="M163">
        <v>1774.56</v>
      </c>
      <c r="N163">
        <v>1258.5999999999999</v>
      </c>
      <c r="O163">
        <v>515.96</v>
      </c>
      <c r="P163">
        <v>0.27</v>
      </c>
      <c r="Q163" t="s">
        <v>23</v>
      </c>
    </row>
    <row r="164" spans="1:17" x14ac:dyDescent="0.25">
      <c r="A164">
        <v>1162</v>
      </c>
      <c r="B164" s="1">
        <v>45580</v>
      </c>
      <c r="C164" t="s">
        <v>178</v>
      </c>
      <c r="D164" t="s">
        <v>25</v>
      </c>
      <c r="E164" t="s">
        <v>53</v>
      </c>
      <c r="F164" t="s">
        <v>40</v>
      </c>
      <c r="G164" t="s">
        <v>41</v>
      </c>
      <c r="H164" t="s">
        <v>46</v>
      </c>
      <c r="I164" t="s">
        <v>47</v>
      </c>
      <c r="J164">
        <v>3</v>
      </c>
      <c r="K164">
        <v>10.16</v>
      </c>
      <c r="L164">
        <v>7.04</v>
      </c>
      <c r="M164">
        <v>21.95</v>
      </c>
      <c r="N164">
        <v>21.12</v>
      </c>
      <c r="O164">
        <v>0.83</v>
      </c>
      <c r="P164">
        <v>0.28000000000000003</v>
      </c>
      <c r="Q164" t="s">
        <v>75</v>
      </c>
    </row>
    <row r="165" spans="1:17" x14ac:dyDescent="0.25">
      <c r="A165">
        <v>1163</v>
      </c>
      <c r="B165" s="1">
        <v>45595</v>
      </c>
      <c r="C165" t="s">
        <v>197</v>
      </c>
      <c r="D165" t="s">
        <v>32</v>
      </c>
      <c r="E165" t="s">
        <v>53</v>
      </c>
      <c r="F165" t="s">
        <v>19</v>
      </c>
      <c r="G165" t="s">
        <v>35</v>
      </c>
      <c r="H165" t="s">
        <v>49</v>
      </c>
      <c r="I165" t="s">
        <v>50</v>
      </c>
      <c r="J165">
        <v>1</v>
      </c>
      <c r="K165">
        <v>908.4</v>
      </c>
      <c r="L165">
        <v>482.64</v>
      </c>
      <c r="M165">
        <v>753.97</v>
      </c>
      <c r="N165">
        <v>482.64</v>
      </c>
      <c r="O165">
        <v>271.33</v>
      </c>
      <c r="P165">
        <v>0.17</v>
      </c>
      <c r="Q165" t="s">
        <v>38</v>
      </c>
    </row>
    <row r="166" spans="1:17" x14ac:dyDescent="0.25">
      <c r="A166">
        <v>1164</v>
      </c>
      <c r="B166" s="1">
        <v>44965</v>
      </c>
      <c r="C166" t="s">
        <v>197</v>
      </c>
      <c r="D166" t="s">
        <v>25</v>
      </c>
      <c r="E166" t="s">
        <v>53</v>
      </c>
      <c r="F166" t="s">
        <v>19</v>
      </c>
      <c r="G166" t="s">
        <v>20</v>
      </c>
      <c r="H166" t="s">
        <v>28</v>
      </c>
      <c r="I166" t="s">
        <v>61</v>
      </c>
      <c r="J166">
        <v>3</v>
      </c>
      <c r="K166">
        <v>936.93</v>
      </c>
      <c r="L166">
        <v>783.97</v>
      </c>
      <c r="M166">
        <v>2023.77</v>
      </c>
      <c r="N166">
        <v>2351.91</v>
      </c>
      <c r="O166">
        <v>-328.14</v>
      </c>
      <c r="P166">
        <v>0.28000000000000003</v>
      </c>
      <c r="Q166" t="s">
        <v>51</v>
      </c>
    </row>
    <row r="167" spans="1:17" x14ac:dyDescent="0.25">
      <c r="A167">
        <v>1165</v>
      </c>
      <c r="B167" s="1">
        <v>44936</v>
      </c>
      <c r="C167" t="s">
        <v>198</v>
      </c>
      <c r="D167" t="s">
        <v>17</v>
      </c>
      <c r="E167" t="s">
        <v>33</v>
      </c>
      <c r="F167" t="s">
        <v>40</v>
      </c>
      <c r="G167" t="s">
        <v>35</v>
      </c>
      <c r="H167" t="s">
        <v>49</v>
      </c>
      <c r="I167" t="s">
        <v>59</v>
      </c>
      <c r="J167">
        <v>9</v>
      </c>
      <c r="K167">
        <v>526.70000000000005</v>
      </c>
      <c r="L167">
        <v>427.28</v>
      </c>
      <c r="M167">
        <v>4550.6899999999996</v>
      </c>
      <c r="N167">
        <v>3845.52</v>
      </c>
      <c r="O167">
        <v>705.17</v>
      </c>
      <c r="P167">
        <v>0.04</v>
      </c>
      <c r="Q167" t="s">
        <v>38</v>
      </c>
    </row>
    <row r="168" spans="1:17" x14ac:dyDescent="0.25">
      <c r="A168">
        <v>1166</v>
      </c>
      <c r="B168" s="1">
        <v>45406</v>
      </c>
      <c r="C168" t="s">
        <v>163</v>
      </c>
      <c r="D168" t="s">
        <v>25</v>
      </c>
      <c r="E168" t="s">
        <v>18</v>
      </c>
      <c r="F168" t="s">
        <v>19</v>
      </c>
      <c r="G168" t="s">
        <v>41</v>
      </c>
      <c r="H168" t="s">
        <v>46</v>
      </c>
      <c r="I168" t="s">
        <v>102</v>
      </c>
      <c r="J168">
        <v>5</v>
      </c>
      <c r="K168">
        <v>720.01</v>
      </c>
      <c r="L168">
        <v>363.55</v>
      </c>
      <c r="M168">
        <v>3240.05</v>
      </c>
      <c r="N168">
        <v>1817.75</v>
      </c>
      <c r="O168">
        <v>1422.3</v>
      </c>
      <c r="P168">
        <v>0.1</v>
      </c>
      <c r="Q168" t="s">
        <v>30</v>
      </c>
    </row>
    <row r="169" spans="1:17" x14ac:dyDescent="0.25">
      <c r="A169">
        <v>1167</v>
      </c>
      <c r="B169" s="1">
        <v>45508</v>
      </c>
      <c r="C169" t="s">
        <v>172</v>
      </c>
      <c r="D169" t="s">
        <v>25</v>
      </c>
      <c r="E169" t="s">
        <v>26</v>
      </c>
      <c r="F169" t="s">
        <v>27</v>
      </c>
      <c r="G169" t="s">
        <v>35</v>
      </c>
      <c r="H169" t="s">
        <v>70</v>
      </c>
      <c r="I169" t="s">
        <v>71</v>
      </c>
      <c r="J169">
        <v>2</v>
      </c>
      <c r="K169">
        <v>403.83</v>
      </c>
      <c r="L169">
        <v>215.4</v>
      </c>
      <c r="M169">
        <v>573.44000000000005</v>
      </c>
      <c r="N169">
        <v>430.8</v>
      </c>
      <c r="O169">
        <v>142.63999999999999</v>
      </c>
      <c r="P169">
        <v>0.28999999999999998</v>
      </c>
      <c r="Q169" t="s">
        <v>55</v>
      </c>
    </row>
    <row r="170" spans="1:17" x14ac:dyDescent="0.25">
      <c r="A170">
        <v>1168</v>
      </c>
      <c r="B170" s="1">
        <v>45258</v>
      </c>
      <c r="C170" t="s">
        <v>199</v>
      </c>
      <c r="D170" t="s">
        <v>25</v>
      </c>
      <c r="E170" t="s">
        <v>18</v>
      </c>
      <c r="F170" t="s">
        <v>27</v>
      </c>
      <c r="G170" t="s">
        <v>20</v>
      </c>
      <c r="H170" t="s">
        <v>28</v>
      </c>
      <c r="I170" t="s">
        <v>29</v>
      </c>
      <c r="J170">
        <v>6</v>
      </c>
      <c r="K170">
        <v>305.44</v>
      </c>
      <c r="L170">
        <v>230</v>
      </c>
      <c r="M170">
        <v>1832.64</v>
      </c>
      <c r="N170">
        <v>1380</v>
      </c>
      <c r="O170">
        <v>452.64</v>
      </c>
      <c r="P170">
        <v>0</v>
      </c>
      <c r="Q170" t="s">
        <v>85</v>
      </c>
    </row>
    <row r="171" spans="1:17" x14ac:dyDescent="0.25">
      <c r="A171">
        <v>1169</v>
      </c>
      <c r="B171" s="1">
        <v>45636</v>
      </c>
      <c r="C171" t="s">
        <v>178</v>
      </c>
      <c r="D171" t="s">
        <v>17</v>
      </c>
      <c r="E171" t="s">
        <v>33</v>
      </c>
      <c r="F171" t="s">
        <v>27</v>
      </c>
      <c r="G171" t="s">
        <v>35</v>
      </c>
      <c r="H171" t="s">
        <v>36</v>
      </c>
      <c r="I171" t="s">
        <v>37</v>
      </c>
      <c r="J171">
        <v>9</v>
      </c>
      <c r="K171">
        <v>923.49</v>
      </c>
      <c r="L171">
        <v>748.7</v>
      </c>
      <c r="M171">
        <v>6399.79</v>
      </c>
      <c r="N171">
        <v>6738.3</v>
      </c>
      <c r="O171">
        <v>-338.51</v>
      </c>
      <c r="P171">
        <v>0.23</v>
      </c>
      <c r="Q171" t="s">
        <v>44</v>
      </c>
    </row>
    <row r="172" spans="1:17" x14ac:dyDescent="0.25">
      <c r="A172">
        <v>1170</v>
      </c>
      <c r="B172" s="1">
        <v>45581</v>
      </c>
      <c r="C172" t="s">
        <v>146</v>
      </c>
      <c r="D172" t="s">
        <v>32</v>
      </c>
      <c r="E172" t="s">
        <v>26</v>
      </c>
      <c r="F172" t="s">
        <v>19</v>
      </c>
      <c r="G172" t="s">
        <v>20</v>
      </c>
      <c r="H172" t="s">
        <v>28</v>
      </c>
      <c r="I172" t="s">
        <v>81</v>
      </c>
      <c r="J172">
        <v>8</v>
      </c>
      <c r="K172">
        <v>749</v>
      </c>
      <c r="L172">
        <v>533.29</v>
      </c>
      <c r="M172">
        <v>5272.96</v>
      </c>
      <c r="N172">
        <v>4266.32</v>
      </c>
      <c r="O172">
        <v>1006.64</v>
      </c>
      <c r="P172">
        <v>0.12</v>
      </c>
      <c r="Q172" t="s">
        <v>38</v>
      </c>
    </row>
    <row r="173" spans="1:17" x14ac:dyDescent="0.25">
      <c r="A173">
        <v>1171</v>
      </c>
      <c r="B173" s="1">
        <v>45409</v>
      </c>
      <c r="C173" t="s">
        <v>67</v>
      </c>
      <c r="D173" t="s">
        <v>17</v>
      </c>
      <c r="E173" t="s">
        <v>26</v>
      </c>
      <c r="F173" t="s">
        <v>19</v>
      </c>
      <c r="G173" t="s">
        <v>41</v>
      </c>
      <c r="H173" t="s">
        <v>63</v>
      </c>
      <c r="I173" t="s">
        <v>141</v>
      </c>
      <c r="J173">
        <v>9</v>
      </c>
      <c r="K173">
        <v>449.51</v>
      </c>
      <c r="L173">
        <v>335.48</v>
      </c>
      <c r="M173">
        <v>3964.68</v>
      </c>
      <c r="N173">
        <v>3019.32</v>
      </c>
      <c r="O173">
        <v>945.36</v>
      </c>
      <c r="P173">
        <v>0.02</v>
      </c>
      <c r="Q173" t="s">
        <v>125</v>
      </c>
    </row>
    <row r="174" spans="1:17" x14ac:dyDescent="0.25">
      <c r="A174">
        <v>1172</v>
      </c>
      <c r="B174" s="1">
        <v>45041</v>
      </c>
      <c r="C174" t="s">
        <v>191</v>
      </c>
      <c r="D174" t="s">
        <v>17</v>
      </c>
      <c r="E174" t="s">
        <v>26</v>
      </c>
      <c r="F174" t="s">
        <v>19</v>
      </c>
      <c r="G174" t="s">
        <v>20</v>
      </c>
      <c r="H174" t="s">
        <v>28</v>
      </c>
      <c r="I174" t="s">
        <v>61</v>
      </c>
      <c r="J174">
        <v>2</v>
      </c>
      <c r="K174">
        <v>681.89</v>
      </c>
      <c r="L174">
        <v>512.04999999999995</v>
      </c>
      <c r="M174">
        <v>1159.21</v>
      </c>
      <c r="N174">
        <v>1024.0999999999999</v>
      </c>
      <c r="O174">
        <v>135.11000000000001</v>
      </c>
      <c r="P174">
        <v>0.15</v>
      </c>
      <c r="Q174" t="s">
        <v>38</v>
      </c>
    </row>
    <row r="175" spans="1:17" x14ac:dyDescent="0.25">
      <c r="A175">
        <v>1173</v>
      </c>
      <c r="B175" s="1">
        <v>45383</v>
      </c>
      <c r="C175" t="s">
        <v>200</v>
      </c>
      <c r="D175" t="s">
        <v>32</v>
      </c>
      <c r="E175" t="s">
        <v>26</v>
      </c>
      <c r="F175" t="s">
        <v>27</v>
      </c>
      <c r="G175" t="s">
        <v>35</v>
      </c>
      <c r="H175" t="s">
        <v>70</v>
      </c>
      <c r="I175" t="s">
        <v>98</v>
      </c>
      <c r="J175">
        <v>9</v>
      </c>
      <c r="K175">
        <v>465.07</v>
      </c>
      <c r="L175">
        <v>363.88</v>
      </c>
      <c r="M175">
        <v>3264.79</v>
      </c>
      <c r="N175">
        <v>3274.92</v>
      </c>
      <c r="O175">
        <v>-10.130000000000001</v>
      </c>
      <c r="P175">
        <v>0.22</v>
      </c>
      <c r="Q175" t="s">
        <v>75</v>
      </c>
    </row>
    <row r="176" spans="1:17" x14ac:dyDescent="0.25">
      <c r="A176">
        <v>1174</v>
      </c>
      <c r="B176" s="1">
        <v>45187</v>
      </c>
      <c r="C176" t="s">
        <v>52</v>
      </c>
      <c r="D176" t="s">
        <v>17</v>
      </c>
      <c r="E176" t="s">
        <v>26</v>
      </c>
      <c r="F176" t="s">
        <v>34</v>
      </c>
      <c r="G176" t="s">
        <v>20</v>
      </c>
      <c r="H176" t="s">
        <v>28</v>
      </c>
      <c r="I176" t="s">
        <v>29</v>
      </c>
      <c r="J176">
        <v>2</v>
      </c>
      <c r="K176">
        <v>543.46</v>
      </c>
      <c r="L176">
        <v>283.19</v>
      </c>
      <c r="M176">
        <v>793.45</v>
      </c>
      <c r="N176">
        <v>566.38</v>
      </c>
      <c r="O176">
        <v>227.07</v>
      </c>
      <c r="P176">
        <v>0.27</v>
      </c>
      <c r="Q176" t="s">
        <v>55</v>
      </c>
    </row>
    <row r="177" spans="1:17" x14ac:dyDescent="0.25">
      <c r="A177">
        <v>1175</v>
      </c>
      <c r="B177" s="1">
        <v>44959</v>
      </c>
      <c r="C177" t="s">
        <v>86</v>
      </c>
      <c r="D177" t="s">
        <v>25</v>
      </c>
      <c r="E177" t="s">
        <v>26</v>
      </c>
      <c r="F177" t="s">
        <v>27</v>
      </c>
      <c r="G177" t="s">
        <v>35</v>
      </c>
      <c r="H177" t="s">
        <v>49</v>
      </c>
      <c r="I177" t="s">
        <v>50</v>
      </c>
      <c r="J177">
        <v>7</v>
      </c>
      <c r="K177">
        <v>378.77</v>
      </c>
      <c r="L177">
        <v>279.89</v>
      </c>
      <c r="M177">
        <v>2121.11</v>
      </c>
      <c r="N177">
        <v>1959.23</v>
      </c>
      <c r="O177">
        <v>161.88</v>
      </c>
      <c r="P177">
        <v>0.2</v>
      </c>
      <c r="Q177" t="s">
        <v>38</v>
      </c>
    </row>
    <row r="178" spans="1:17" x14ac:dyDescent="0.25">
      <c r="A178">
        <v>1176</v>
      </c>
      <c r="B178" s="1">
        <v>45063</v>
      </c>
      <c r="C178" t="s">
        <v>89</v>
      </c>
      <c r="D178" t="s">
        <v>32</v>
      </c>
      <c r="E178" t="s">
        <v>33</v>
      </c>
      <c r="F178" t="s">
        <v>19</v>
      </c>
      <c r="G178" t="s">
        <v>41</v>
      </c>
      <c r="H178" t="s">
        <v>46</v>
      </c>
      <c r="I178" t="s">
        <v>102</v>
      </c>
      <c r="J178">
        <v>3</v>
      </c>
      <c r="K178">
        <v>729.22</v>
      </c>
      <c r="L178">
        <v>421.45</v>
      </c>
      <c r="M178">
        <v>2187.66</v>
      </c>
      <c r="N178">
        <v>1264.3499999999999</v>
      </c>
      <c r="O178">
        <v>923.31</v>
      </c>
      <c r="P178">
        <v>0</v>
      </c>
      <c r="Q178" t="s">
        <v>51</v>
      </c>
    </row>
    <row r="179" spans="1:17" x14ac:dyDescent="0.25">
      <c r="A179">
        <v>1177</v>
      </c>
      <c r="B179" s="1">
        <v>45232</v>
      </c>
      <c r="C179" t="s">
        <v>201</v>
      </c>
      <c r="D179" t="s">
        <v>17</v>
      </c>
      <c r="E179" t="s">
        <v>53</v>
      </c>
      <c r="F179" t="s">
        <v>27</v>
      </c>
      <c r="G179" t="s">
        <v>20</v>
      </c>
      <c r="H179" t="s">
        <v>21</v>
      </c>
      <c r="I179" t="s">
        <v>79</v>
      </c>
      <c r="J179">
        <v>6</v>
      </c>
      <c r="K179">
        <v>159.35</v>
      </c>
      <c r="L179">
        <v>90.19</v>
      </c>
      <c r="M179">
        <v>707.51</v>
      </c>
      <c r="N179">
        <v>541.14</v>
      </c>
      <c r="O179">
        <v>166.37</v>
      </c>
      <c r="P179">
        <v>0.26</v>
      </c>
      <c r="Q179" t="s">
        <v>44</v>
      </c>
    </row>
    <row r="180" spans="1:17" x14ac:dyDescent="0.25">
      <c r="A180">
        <v>1178</v>
      </c>
      <c r="B180" s="1">
        <v>44959</v>
      </c>
      <c r="C180" t="s">
        <v>202</v>
      </c>
      <c r="D180" t="s">
        <v>32</v>
      </c>
      <c r="E180" t="s">
        <v>33</v>
      </c>
      <c r="F180" t="s">
        <v>19</v>
      </c>
      <c r="G180" t="s">
        <v>20</v>
      </c>
      <c r="H180" t="s">
        <v>21</v>
      </c>
      <c r="I180" t="s">
        <v>22</v>
      </c>
      <c r="J180">
        <v>10</v>
      </c>
      <c r="K180">
        <v>38.409999999999997</v>
      </c>
      <c r="L180">
        <v>27.24</v>
      </c>
      <c r="M180">
        <v>303.44</v>
      </c>
      <c r="N180">
        <v>272.39999999999998</v>
      </c>
      <c r="O180">
        <v>31.04</v>
      </c>
      <c r="P180">
        <v>0.21</v>
      </c>
      <c r="Q180" t="s">
        <v>51</v>
      </c>
    </row>
    <row r="181" spans="1:17" x14ac:dyDescent="0.25">
      <c r="A181">
        <v>1179</v>
      </c>
      <c r="B181" s="1">
        <v>45177</v>
      </c>
      <c r="C181" t="s">
        <v>203</v>
      </c>
      <c r="D181" t="s">
        <v>32</v>
      </c>
      <c r="E181" t="s">
        <v>53</v>
      </c>
      <c r="F181" t="s">
        <v>19</v>
      </c>
      <c r="G181" t="s">
        <v>41</v>
      </c>
      <c r="H181" t="s">
        <v>42</v>
      </c>
      <c r="I181" t="s">
        <v>77</v>
      </c>
      <c r="J181">
        <v>3</v>
      </c>
      <c r="K181">
        <v>506.38</v>
      </c>
      <c r="L181">
        <v>304.45999999999998</v>
      </c>
      <c r="M181">
        <v>1154.55</v>
      </c>
      <c r="N181">
        <v>913.38</v>
      </c>
      <c r="O181">
        <v>241.17</v>
      </c>
      <c r="P181">
        <v>0.24</v>
      </c>
      <c r="Q181" t="s">
        <v>125</v>
      </c>
    </row>
    <row r="182" spans="1:17" x14ac:dyDescent="0.25">
      <c r="A182">
        <v>1180</v>
      </c>
      <c r="B182" s="1">
        <v>45253</v>
      </c>
      <c r="C182" t="s">
        <v>204</v>
      </c>
      <c r="D182" t="s">
        <v>17</v>
      </c>
      <c r="E182" t="s">
        <v>18</v>
      </c>
      <c r="F182" t="s">
        <v>19</v>
      </c>
      <c r="G182" t="s">
        <v>35</v>
      </c>
      <c r="H182" t="s">
        <v>36</v>
      </c>
      <c r="I182" t="s">
        <v>100</v>
      </c>
      <c r="J182">
        <v>9</v>
      </c>
      <c r="K182">
        <v>224.94</v>
      </c>
      <c r="L182">
        <v>136.13</v>
      </c>
      <c r="M182">
        <v>1983.97</v>
      </c>
      <c r="N182">
        <v>1225.17</v>
      </c>
      <c r="O182">
        <v>758.8</v>
      </c>
      <c r="P182">
        <v>0.02</v>
      </c>
      <c r="Q182" t="s">
        <v>125</v>
      </c>
    </row>
    <row r="183" spans="1:17" x14ac:dyDescent="0.25">
      <c r="A183">
        <v>1181</v>
      </c>
      <c r="B183" s="1">
        <v>45106</v>
      </c>
      <c r="C183" t="s">
        <v>74</v>
      </c>
      <c r="D183" t="s">
        <v>32</v>
      </c>
      <c r="E183" t="s">
        <v>53</v>
      </c>
      <c r="F183" t="s">
        <v>34</v>
      </c>
      <c r="G183" t="s">
        <v>35</v>
      </c>
      <c r="H183" t="s">
        <v>70</v>
      </c>
      <c r="I183" t="s">
        <v>84</v>
      </c>
      <c r="J183">
        <v>7</v>
      </c>
      <c r="K183">
        <v>786.88</v>
      </c>
      <c r="L183">
        <v>481.22</v>
      </c>
      <c r="M183">
        <v>4847.18</v>
      </c>
      <c r="N183">
        <v>3368.54</v>
      </c>
      <c r="O183">
        <v>1478.64</v>
      </c>
      <c r="P183">
        <v>0.12</v>
      </c>
      <c r="Q183" t="s">
        <v>92</v>
      </c>
    </row>
    <row r="184" spans="1:17" x14ac:dyDescent="0.25">
      <c r="A184">
        <v>1182</v>
      </c>
      <c r="B184" s="1">
        <v>45234</v>
      </c>
      <c r="C184" t="s">
        <v>205</v>
      </c>
      <c r="D184" t="s">
        <v>17</v>
      </c>
      <c r="E184" t="s">
        <v>53</v>
      </c>
      <c r="F184" t="s">
        <v>19</v>
      </c>
      <c r="G184" t="s">
        <v>20</v>
      </c>
      <c r="H184" t="s">
        <v>28</v>
      </c>
      <c r="I184" t="s">
        <v>81</v>
      </c>
      <c r="J184">
        <v>8</v>
      </c>
      <c r="K184">
        <v>915.17</v>
      </c>
      <c r="L184">
        <v>637.72</v>
      </c>
      <c r="M184">
        <v>5198.17</v>
      </c>
      <c r="N184">
        <v>5101.76</v>
      </c>
      <c r="O184">
        <v>96.41</v>
      </c>
      <c r="P184">
        <v>0.28999999999999998</v>
      </c>
      <c r="Q184" t="s">
        <v>38</v>
      </c>
    </row>
    <row r="185" spans="1:17" x14ac:dyDescent="0.25">
      <c r="A185">
        <v>1183</v>
      </c>
      <c r="B185" s="1">
        <v>45469</v>
      </c>
      <c r="C185" t="s">
        <v>206</v>
      </c>
      <c r="D185" t="s">
        <v>25</v>
      </c>
      <c r="E185" t="s">
        <v>18</v>
      </c>
      <c r="F185" t="s">
        <v>19</v>
      </c>
      <c r="G185" t="s">
        <v>35</v>
      </c>
      <c r="H185" t="s">
        <v>70</v>
      </c>
      <c r="I185" t="s">
        <v>98</v>
      </c>
      <c r="J185">
        <v>8</v>
      </c>
      <c r="K185">
        <v>847.9</v>
      </c>
      <c r="L185">
        <v>451.39</v>
      </c>
      <c r="M185">
        <v>5290.9</v>
      </c>
      <c r="N185">
        <v>3611.12</v>
      </c>
      <c r="O185">
        <v>1679.78</v>
      </c>
      <c r="P185">
        <v>0.22</v>
      </c>
      <c r="Q185" t="s">
        <v>23</v>
      </c>
    </row>
    <row r="186" spans="1:17" x14ac:dyDescent="0.25">
      <c r="A186">
        <v>1184</v>
      </c>
      <c r="B186" s="1">
        <v>44979</v>
      </c>
      <c r="C186" t="s">
        <v>86</v>
      </c>
      <c r="D186" t="s">
        <v>17</v>
      </c>
      <c r="E186" t="s">
        <v>33</v>
      </c>
      <c r="F186" t="s">
        <v>34</v>
      </c>
      <c r="G186" t="s">
        <v>20</v>
      </c>
      <c r="H186" t="s">
        <v>113</v>
      </c>
      <c r="I186" t="s">
        <v>161</v>
      </c>
      <c r="J186">
        <v>9</v>
      </c>
      <c r="K186">
        <v>220.93</v>
      </c>
      <c r="L186">
        <v>126.62</v>
      </c>
      <c r="M186">
        <v>1451.51</v>
      </c>
      <c r="N186">
        <v>1139.58</v>
      </c>
      <c r="O186">
        <v>311.93</v>
      </c>
      <c r="P186">
        <v>0.27</v>
      </c>
      <c r="Q186" t="s">
        <v>30</v>
      </c>
    </row>
    <row r="187" spans="1:17" x14ac:dyDescent="0.25">
      <c r="A187">
        <v>1185</v>
      </c>
      <c r="B187" s="1">
        <v>44942</v>
      </c>
      <c r="C187" t="s">
        <v>151</v>
      </c>
      <c r="D187" t="s">
        <v>25</v>
      </c>
      <c r="E187" t="s">
        <v>33</v>
      </c>
      <c r="F187" t="s">
        <v>27</v>
      </c>
      <c r="G187" t="s">
        <v>20</v>
      </c>
      <c r="H187" t="s">
        <v>113</v>
      </c>
      <c r="I187" t="s">
        <v>161</v>
      </c>
      <c r="J187">
        <v>4</v>
      </c>
      <c r="K187">
        <v>399.65</v>
      </c>
      <c r="L187">
        <v>233.3</v>
      </c>
      <c r="M187">
        <v>1438.74</v>
      </c>
      <c r="N187">
        <v>933.2</v>
      </c>
      <c r="O187">
        <v>505.54</v>
      </c>
      <c r="P187">
        <v>0.1</v>
      </c>
      <c r="Q187" t="s">
        <v>30</v>
      </c>
    </row>
    <row r="188" spans="1:17" x14ac:dyDescent="0.25">
      <c r="A188">
        <v>1186</v>
      </c>
      <c r="B188" s="1">
        <v>45316</v>
      </c>
      <c r="C188" t="s">
        <v>207</v>
      </c>
      <c r="D188" t="s">
        <v>17</v>
      </c>
      <c r="E188" t="s">
        <v>18</v>
      </c>
      <c r="F188" t="s">
        <v>40</v>
      </c>
      <c r="G188" t="s">
        <v>35</v>
      </c>
      <c r="H188" t="s">
        <v>49</v>
      </c>
      <c r="I188" t="s">
        <v>59</v>
      </c>
      <c r="J188">
        <v>8</v>
      </c>
      <c r="K188">
        <v>468.67</v>
      </c>
      <c r="L188">
        <v>366.02</v>
      </c>
      <c r="M188">
        <v>2924.5</v>
      </c>
      <c r="N188">
        <v>2928.16</v>
      </c>
      <c r="O188">
        <v>-3.66</v>
      </c>
      <c r="P188">
        <v>0.22</v>
      </c>
      <c r="Q188" t="s">
        <v>85</v>
      </c>
    </row>
    <row r="189" spans="1:17" x14ac:dyDescent="0.25">
      <c r="A189">
        <v>1187</v>
      </c>
      <c r="B189" s="1">
        <v>45135</v>
      </c>
      <c r="C189" t="s">
        <v>134</v>
      </c>
      <c r="D189" t="s">
        <v>32</v>
      </c>
      <c r="E189" t="s">
        <v>33</v>
      </c>
      <c r="F189" t="s">
        <v>19</v>
      </c>
      <c r="G189" t="s">
        <v>41</v>
      </c>
      <c r="H189" t="s">
        <v>42</v>
      </c>
      <c r="I189" t="s">
        <v>77</v>
      </c>
      <c r="J189">
        <v>5</v>
      </c>
      <c r="K189">
        <v>555.54999999999995</v>
      </c>
      <c r="L189">
        <v>391.34</v>
      </c>
      <c r="M189">
        <v>2166.64</v>
      </c>
      <c r="N189">
        <v>1956.7</v>
      </c>
      <c r="O189">
        <v>209.94</v>
      </c>
      <c r="P189">
        <v>0.22</v>
      </c>
      <c r="Q189" t="s">
        <v>30</v>
      </c>
    </row>
    <row r="190" spans="1:17" x14ac:dyDescent="0.25">
      <c r="A190">
        <v>1188</v>
      </c>
      <c r="B190" s="1">
        <v>45083</v>
      </c>
      <c r="C190" t="s">
        <v>208</v>
      </c>
      <c r="D190" t="s">
        <v>25</v>
      </c>
      <c r="E190" t="s">
        <v>53</v>
      </c>
      <c r="F190" t="s">
        <v>19</v>
      </c>
      <c r="G190" t="s">
        <v>35</v>
      </c>
      <c r="H190" t="s">
        <v>70</v>
      </c>
      <c r="I190" t="s">
        <v>84</v>
      </c>
      <c r="J190">
        <v>6</v>
      </c>
      <c r="K190">
        <v>261.04000000000002</v>
      </c>
      <c r="L190">
        <v>205.58</v>
      </c>
      <c r="M190">
        <v>1112.03</v>
      </c>
      <c r="N190">
        <v>1233.48</v>
      </c>
      <c r="O190">
        <v>-121.45</v>
      </c>
      <c r="P190">
        <v>0.28999999999999998</v>
      </c>
      <c r="Q190" t="s">
        <v>55</v>
      </c>
    </row>
    <row r="191" spans="1:17" x14ac:dyDescent="0.25">
      <c r="A191">
        <v>1189</v>
      </c>
      <c r="B191" s="1">
        <v>45398</v>
      </c>
      <c r="C191" t="s">
        <v>73</v>
      </c>
      <c r="D191" t="s">
        <v>32</v>
      </c>
      <c r="E191" t="s">
        <v>26</v>
      </c>
      <c r="F191" t="s">
        <v>19</v>
      </c>
      <c r="G191" t="s">
        <v>41</v>
      </c>
      <c r="H191" t="s">
        <v>63</v>
      </c>
      <c r="I191" t="s">
        <v>117</v>
      </c>
      <c r="J191">
        <v>3</v>
      </c>
      <c r="K191">
        <v>917.31</v>
      </c>
      <c r="L191">
        <v>632.71</v>
      </c>
      <c r="M191">
        <v>2229.06</v>
      </c>
      <c r="N191">
        <v>1898.13</v>
      </c>
      <c r="O191">
        <v>330.93</v>
      </c>
      <c r="P191">
        <v>0.19</v>
      </c>
      <c r="Q191" t="s">
        <v>51</v>
      </c>
    </row>
    <row r="192" spans="1:17" x14ac:dyDescent="0.25">
      <c r="A192">
        <v>1190</v>
      </c>
      <c r="B192" s="1">
        <v>45463</v>
      </c>
      <c r="C192" t="s">
        <v>191</v>
      </c>
      <c r="D192" t="s">
        <v>25</v>
      </c>
      <c r="E192" t="s">
        <v>33</v>
      </c>
      <c r="F192" t="s">
        <v>34</v>
      </c>
      <c r="G192" t="s">
        <v>35</v>
      </c>
      <c r="H192" t="s">
        <v>36</v>
      </c>
      <c r="I192" t="s">
        <v>100</v>
      </c>
      <c r="J192">
        <v>4</v>
      </c>
      <c r="K192">
        <v>72.63</v>
      </c>
      <c r="L192">
        <v>40.15</v>
      </c>
      <c r="M192">
        <v>270.18</v>
      </c>
      <c r="N192">
        <v>160.6</v>
      </c>
      <c r="O192">
        <v>109.58</v>
      </c>
      <c r="P192">
        <v>7.0000000000000007E-2</v>
      </c>
      <c r="Q192" t="s">
        <v>55</v>
      </c>
    </row>
    <row r="193" spans="1:17" x14ac:dyDescent="0.25">
      <c r="A193">
        <v>1191</v>
      </c>
      <c r="B193" s="1">
        <v>45309</v>
      </c>
      <c r="C193" t="s">
        <v>127</v>
      </c>
      <c r="D193" t="s">
        <v>17</v>
      </c>
      <c r="E193" t="s">
        <v>53</v>
      </c>
      <c r="F193" t="s">
        <v>27</v>
      </c>
      <c r="G193" t="s">
        <v>20</v>
      </c>
      <c r="H193" t="s">
        <v>21</v>
      </c>
      <c r="I193" t="s">
        <v>79</v>
      </c>
      <c r="J193">
        <v>1</v>
      </c>
      <c r="K193">
        <v>21.64</v>
      </c>
      <c r="L193">
        <v>16.29</v>
      </c>
      <c r="M193">
        <v>18.18</v>
      </c>
      <c r="N193">
        <v>16.29</v>
      </c>
      <c r="O193">
        <v>1.89</v>
      </c>
      <c r="P193">
        <v>0.16</v>
      </c>
      <c r="Q193" t="s">
        <v>30</v>
      </c>
    </row>
    <row r="194" spans="1:17" x14ac:dyDescent="0.25">
      <c r="A194">
        <v>1192</v>
      </c>
      <c r="B194" s="1">
        <v>44944</v>
      </c>
      <c r="C194" t="s">
        <v>209</v>
      </c>
      <c r="D194" t="s">
        <v>17</v>
      </c>
      <c r="E194" t="s">
        <v>53</v>
      </c>
      <c r="F194" t="s">
        <v>19</v>
      </c>
      <c r="G194" t="s">
        <v>20</v>
      </c>
      <c r="H194" t="s">
        <v>21</v>
      </c>
      <c r="I194" t="s">
        <v>132</v>
      </c>
      <c r="J194">
        <v>4</v>
      </c>
      <c r="K194">
        <v>195.97</v>
      </c>
      <c r="L194">
        <v>134.09</v>
      </c>
      <c r="M194">
        <v>595.75</v>
      </c>
      <c r="N194">
        <v>536.36</v>
      </c>
      <c r="O194">
        <v>59.39</v>
      </c>
      <c r="P194">
        <v>0.24</v>
      </c>
      <c r="Q194" t="s">
        <v>30</v>
      </c>
    </row>
    <row r="195" spans="1:17" x14ac:dyDescent="0.25">
      <c r="A195">
        <v>1193</v>
      </c>
      <c r="B195" s="1">
        <v>45333</v>
      </c>
      <c r="C195" t="s">
        <v>210</v>
      </c>
      <c r="D195" t="s">
        <v>32</v>
      </c>
      <c r="E195" t="s">
        <v>53</v>
      </c>
      <c r="F195" t="s">
        <v>19</v>
      </c>
      <c r="G195" t="s">
        <v>41</v>
      </c>
      <c r="H195" t="s">
        <v>42</v>
      </c>
      <c r="I195" t="s">
        <v>68</v>
      </c>
      <c r="J195">
        <v>2</v>
      </c>
      <c r="K195">
        <v>655.47</v>
      </c>
      <c r="L195">
        <v>524.62</v>
      </c>
      <c r="M195">
        <v>1009.42</v>
      </c>
      <c r="N195">
        <v>1049.24</v>
      </c>
      <c r="O195">
        <v>-39.82</v>
      </c>
      <c r="P195">
        <v>0.23</v>
      </c>
      <c r="Q195" t="s">
        <v>44</v>
      </c>
    </row>
    <row r="196" spans="1:17" x14ac:dyDescent="0.25">
      <c r="A196">
        <v>1194</v>
      </c>
      <c r="B196" s="1">
        <v>45342</v>
      </c>
      <c r="C196" t="s">
        <v>211</v>
      </c>
      <c r="D196" t="s">
        <v>17</v>
      </c>
      <c r="E196" t="s">
        <v>53</v>
      </c>
      <c r="F196" t="s">
        <v>34</v>
      </c>
      <c r="G196" t="s">
        <v>41</v>
      </c>
      <c r="H196" t="s">
        <v>42</v>
      </c>
      <c r="I196" t="s">
        <v>43</v>
      </c>
      <c r="J196">
        <v>3</v>
      </c>
      <c r="K196">
        <v>87.27</v>
      </c>
      <c r="L196">
        <v>69.459999999999994</v>
      </c>
      <c r="M196">
        <v>212.07</v>
      </c>
      <c r="N196">
        <v>208.38</v>
      </c>
      <c r="O196">
        <v>3.69</v>
      </c>
      <c r="P196">
        <v>0.19</v>
      </c>
      <c r="Q196" t="s">
        <v>85</v>
      </c>
    </row>
    <row r="197" spans="1:17" x14ac:dyDescent="0.25">
      <c r="A197">
        <v>1195</v>
      </c>
      <c r="B197" s="1">
        <v>45506</v>
      </c>
      <c r="C197" t="s">
        <v>45</v>
      </c>
      <c r="D197" t="s">
        <v>17</v>
      </c>
      <c r="E197" t="s">
        <v>33</v>
      </c>
      <c r="F197" t="s">
        <v>19</v>
      </c>
      <c r="G197" t="s">
        <v>20</v>
      </c>
      <c r="H197" t="s">
        <v>113</v>
      </c>
      <c r="I197" t="s">
        <v>161</v>
      </c>
      <c r="J197">
        <v>8</v>
      </c>
      <c r="K197">
        <v>274.74</v>
      </c>
      <c r="L197">
        <v>226.24</v>
      </c>
      <c r="M197">
        <v>1736.36</v>
      </c>
      <c r="N197">
        <v>1809.92</v>
      </c>
      <c r="O197">
        <v>-73.56</v>
      </c>
      <c r="P197">
        <v>0.21</v>
      </c>
      <c r="Q197" t="s">
        <v>30</v>
      </c>
    </row>
    <row r="198" spans="1:17" x14ac:dyDescent="0.25">
      <c r="A198">
        <v>1196</v>
      </c>
      <c r="B198" s="1">
        <v>45483</v>
      </c>
      <c r="C198" t="s">
        <v>129</v>
      </c>
      <c r="D198" t="s">
        <v>25</v>
      </c>
      <c r="E198" t="s">
        <v>26</v>
      </c>
      <c r="F198" t="s">
        <v>40</v>
      </c>
      <c r="G198" t="s">
        <v>20</v>
      </c>
      <c r="H198" t="s">
        <v>21</v>
      </c>
      <c r="I198" t="s">
        <v>132</v>
      </c>
      <c r="J198">
        <v>7</v>
      </c>
      <c r="K198">
        <v>929.23</v>
      </c>
      <c r="L198">
        <v>561.95000000000005</v>
      </c>
      <c r="M198">
        <v>5398.83</v>
      </c>
      <c r="N198">
        <v>3933.65</v>
      </c>
      <c r="O198">
        <v>1465.18</v>
      </c>
      <c r="P198">
        <v>0.17</v>
      </c>
      <c r="Q198" t="s">
        <v>125</v>
      </c>
    </row>
    <row r="199" spans="1:17" x14ac:dyDescent="0.25">
      <c r="A199">
        <v>1197</v>
      </c>
      <c r="B199" s="1">
        <v>45325</v>
      </c>
      <c r="C199" t="s">
        <v>212</v>
      </c>
      <c r="D199" t="s">
        <v>17</v>
      </c>
      <c r="E199" t="s">
        <v>18</v>
      </c>
      <c r="F199" t="s">
        <v>27</v>
      </c>
      <c r="G199" t="s">
        <v>41</v>
      </c>
      <c r="H199" t="s">
        <v>42</v>
      </c>
      <c r="I199" t="s">
        <v>43</v>
      </c>
      <c r="J199">
        <v>2</v>
      </c>
      <c r="K199">
        <v>503.29</v>
      </c>
      <c r="L199">
        <v>423.27</v>
      </c>
      <c r="M199">
        <v>986.45</v>
      </c>
      <c r="N199">
        <v>846.54</v>
      </c>
      <c r="O199">
        <v>139.91</v>
      </c>
      <c r="P199">
        <v>0.02</v>
      </c>
      <c r="Q199" t="s">
        <v>75</v>
      </c>
    </row>
    <row r="200" spans="1:17" x14ac:dyDescent="0.25">
      <c r="A200">
        <v>1198</v>
      </c>
      <c r="B200" s="1">
        <v>45164</v>
      </c>
      <c r="C200" t="s">
        <v>45</v>
      </c>
      <c r="D200" t="s">
        <v>32</v>
      </c>
      <c r="E200" t="s">
        <v>53</v>
      </c>
      <c r="F200" t="s">
        <v>40</v>
      </c>
      <c r="G200" t="s">
        <v>20</v>
      </c>
      <c r="H200" t="s">
        <v>113</v>
      </c>
      <c r="I200" t="s">
        <v>153</v>
      </c>
      <c r="J200">
        <v>8</v>
      </c>
      <c r="K200">
        <v>493.15</v>
      </c>
      <c r="L200">
        <v>307.99</v>
      </c>
      <c r="M200">
        <v>2840.54</v>
      </c>
      <c r="N200">
        <v>2463.92</v>
      </c>
      <c r="O200">
        <v>376.62</v>
      </c>
      <c r="P200">
        <v>0.28000000000000003</v>
      </c>
      <c r="Q200" t="s">
        <v>75</v>
      </c>
    </row>
    <row r="201" spans="1:17" x14ac:dyDescent="0.25">
      <c r="A201">
        <v>1199</v>
      </c>
      <c r="B201" s="1">
        <v>45117</v>
      </c>
      <c r="C201" t="s">
        <v>155</v>
      </c>
      <c r="D201" t="s">
        <v>17</v>
      </c>
      <c r="E201" t="s">
        <v>53</v>
      </c>
      <c r="F201" t="s">
        <v>34</v>
      </c>
      <c r="G201" t="s">
        <v>41</v>
      </c>
      <c r="H201" t="s">
        <v>46</v>
      </c>
      <c r="I201" t="s">
        <v>47</v>
      </c>
      <c r="J201">
        <v>2</v>
      </c>
      <c r="K201">
        <v>86.63</v>
      </c>
      <c r="L201">
        <v>47.99</v>
      </c>
      <c r="M201">
        <v>136.88</v>
      </c>
      <c r="N201">
        <v>95.98</v>
      </c>
      <c r="O201">
        <v>40.9</v>
      </c>
      <c r="P201">
        <v>0.21</v>
      </c>
      <c r="Q201" t="s">
        <v>92</v>
      </c>
    </row>
    <row r="202" spans="1:17" x14ac:dyDescent="0.25">
      <c r="A202">
        <v>1200</v>
      </c>
      <c r="B202" s="1">
        <v>45325</v>
      </c>
      <c r="C202" t="s">
        <v>134</v>
      </c>
      <c r="D202" t="s">
        <v>25</v>
      </c>
      <c r="E202" t="s">
        <v>33</v>
      </c>
      <c r="F202" t="s">
        <v>34</v>
      </c>
      <c r="G202" t="s">
        <v>35</v>
      </c>
      <c r="H202" t="s">
        <v>49</v>
      </c>
      <c r="I202" t="s">
        <v>50</v>
      </c>
      <c r="J202">
        <v>5</v>
      </c>
      <c r="K202">
        <v>106.72</v>
      </c>
      <c r="L202">
        <v>56.62</v>
      </c>
      <c r="M202">
        <v>464.23</v>
      </c>
      <c r="N202">
        <v>283.10000000000002</v>
      </c>
      <c r="O202">
        <v>181.13</v>
      </c>
      <c r="P202">
        <v>0.13</v>
      </c>
      <c r="Q202" t="s">
        <v>38</v>
      </c>
    </row>
    <row r="203" spans="1:17" x14ac:dyDescent="0.25">
      <c r="A203">
        <v>1201</v>
      </c>
      <c r="B203" s="1">
        <v>45495</v>
      </c>
      <c r="C203" t="s">
        <v>96</v>
      </c>
      <c r="D203" t="s">
        <v>25</v>
      </c>
      <c r="E203" t="s">
        <v>33</v>
      </c>
      <c r="F203" t="s">
        <v>34</v>
      </c>
      <c r="G203" t="s">
        <v>35</v>
      </c>
      <c r="H203" t="s">
        <v>70</v>
      </c>
      <c r="I203" t="s">
        <v>98</v>
      </c>
      <c r="J203">
        <v>10</v>
      </c>
      <c r="K203">
        <v>600.04999999999995</v>
      </c>
      <c r="L203">
        <v>368.16</v>
      </c>
      <c r="M203">
        <v>5280.44</v>
      </c>
      <c r="N203">
        <v>3681.6</v>
      </c>
      <c r="O203">
        <v>1598.84</v>
      </c>
      <c r="P203">
        <v>0.12</v>
      </c>
      <c r="Q203" t="s">
        <v>30</v>
      </c>
    </row>
    <row r="204" spans="1:17" x14ac:dyDescent="0.25">
      <c r="A204">
        <v>1202</v>
      </c>
      <c r="B204" s="1">
        <v>45350</v>
      </c>
      <c r="C204" t="s">
        <v>170</v>
      </c>
      <c r="D204" t="s">
        <v>25</v>
      </c>
      <c r="E204" t="s">
        <v>26</v>
      </c>
      <c r="F204" t="s">
        <v>19</v>
      </c>
      <c r="G204" t="s">
        <v>41</v>
      </c>
      <c r="H204" t="s">
        <v>46</v>
      </c>
      <c r="I204" t="s">
        <v>47</v>
      </c>
      <c r="J204">
        <v>3</v>
      </c>
      <c r="K204">
        <v>272.57</v>
      </c>
      <c r="L204">
        <v>161.88999999999999</v>
      </c>
      <c r="M204">
        <v>785</v>
      </c>
      <c r="N204">
        <v>485.67</v>
      </c>
      <c r="O204">
        <v>299.33</v>
      </c>
      <c r="P204">
        <v>0.04</v>
      </c>
      <c r="Q204" t="s">
        <v>92</v>
      </c>
    </row>
    <row r="205" spans="1:17" x14ac:dyDescent="0.25">
      <c r="A205">
        <v>1203</v>
      </c>
      <c r="B205" s="1">
        <v>45372</v>
      </c>
      <c r="C205" t="s">
        <v>86</v>
      </c>
      <c r="D205" t="s">
        <v>32</v>
      </c>
      <c r="E205" t="s">
        <v>53</v>
      </c>
      <c r="F205" t="s">
        <v>34</v>
      </c>
      <c r="G205" t="s">
        <v>35</v>
      </c>
      <c r="H205" t="s">
        <v>49</v>
      </c>
      <c r="I205" t="s">
        <v>66</v>
      </c>
      <c r="J205">
        <v>8</v>
      </c>
      <c r="K205">
        <v>595.84</v>
      </c>
      <c r="L205">
        <v>338.7</v>
      </c>
      <c r="M205">
        <v>4623.72</v>
      </c>
      <c r="N205">
        <v>2709.6</v>
      </c>
      <c r="O205">
        <v>1914.12</v>
      </c>
      <c r="P205">
        <v>0.03</v>
      </c>
      <c r="Q205" t="s">
        <v>30</v>
      </c>
    </row>
    <row r="206" spans="1:17" x14ac:dyDescent="0.25">
      <c r="A206">
        <v>1204</v>
      </c>
      <c r="B206" s="1">
        <v>44933</v>
      </c>
      <c r="C206" t="s">
        <v>213</v>
      </c>
      <c r="D206" t="s">
        <v>17</v>
      </c>
      <c r="E206" t="s">
        <v>53</v>
      </c>
      <c r="F206" t="s">
        <v>40</v>
      </c>
      <c r="G206" t="s">
        <v>35</v>
      </c>
      <c r="H206" t="s">
        <v>49</v>
      </c>
      <c r="I206" t="s">
        <v>50</v>
      </c>
      <c r="J206">
        <v>10</v>
      </c>
      <c r="K206">
        <v>140.44</v>
      </c>
      <c r="L206">
        <v>85.98</v>
      </c>
      <c r="M206">
        <v>1011.17</v>
      </c>
      <c r="N206">
        <v>859.8</v>
      </c>
      <c r="O206">
        <v>151.37</v>
      </c>
      <c r="P206">
        <v>0.28000000000000003</v>
      </c>
      <c r="Q206" t="s">
        <v>23</v>
      </c>
    </row>
    <row r="207" spans="1:17" x14ac:dyDescent="0.25">
      <c r="A207">
        <v>1205</v>
      </c>
      <c r="B207" s="1">
        <v>45417</v>
      </c>
      <c r="C207" t="s">
        <v>214</v>
      </c>
      <c r="D207" t="s">
        <v>32</v>
      </c>
      <c r="E207" t="s">
        <v>18</v>
      </c>
      <c r="F207" t="s">
        <v>40</v>
      </c>
      <c r="G207" t="s">
        <v>41</v>
      </c>
      <c r="H207" t="s">
        <v>63</v>
      </c>
      <c r="I207" t="s">
        <v>64</v>
      </c>
      <c r="J207">
        <v>8</v>
      </c>
      <c r="K207">
        <v>967.92</v>
      </c>
      <c r="L207">
        <v>748.87</v>
      </c>
      <c r="M207">
        <v>6969.02</v>
      </c>
      <c r="N207">
        <v>5990.96</v>
      </c>
      <c r="O207">
        <v>978.06</v>
      </c>
      <c r="P207">
        <v>0.1</v>
      </c>
      <c r="Q207" t="s">
        <v>30</v>
      </c>
    </row>
    <row r="208" spans="1:17" x14ac:dyDescent="0.25">
      <c r="A208">
        <v>1206</v>
      </c>
      <c r="B208" s="1">
        <v>45329</v>
      </c>
      <c r="C208" t="s">
        <v>171</v>
      </c>
      <c r="D208" t="s">
        <v>17</v>
      </c>
      <c r="E208" t="s">
        <v>26</v>
      </c>
      <c r="F208" t="s">
        <v>19</v>
      </c>
      <c r="G208" t="s">
        <v>41</v>
      </c>
      <c r="H208" t="s">
        <v>63</v>
      </c>
      <c r="I208" t="s">
        <v>141</v>
      </c>
      <c r="J208">
        <v>8</v>
      </c>
      <c r="K208">
        <v>943.26</v>
      </c>
      <c r="L208">
        <v>540.84</v>
      </c>
      <c r="M208">
        <v>5735.02</v>
      </c>
      <c r="N208">
        <v>4326.72</v>
      </c>
      <c r="O208">
        <v>1408.3</v>
      </c>
      <c r="P208">
        <v>0.24</v>
      </c>
      <c r="Q208" t="s">
        <v>44</v>
      </c>
    </row>
    <row r="209" spans="1:17" x14ac:dyDescent="0.25">
      <c r="A209">
        <v>1207</v>
      </c>
      <c r="B209" s="1">
        <v>45345</v>
      </c>
      <c r="C209" t="s">
        <v>136</v>
      </c>
      <c r="D209" t="s">
        <v>25</v>
      </c>
      <c r="E209" t="s">
        <v>18</v>
      </c>
      <c r="F209" t="s">
        <v>19</v>
      </c>
      <c r="G209" t="s">
        <v>35</v>
      </c>
      <c r="H209" t="s">
        <v>70</v>
      </c>
      <c r="I209" t="s">
        <v>98</v>
      </c>
      <c r="J209">
        <v>7</v>
      </c>
      <c r="K209">
        <v>790.13</v>
      </c>
      <c r="L209">
        <v>415.52</v>
      </c>
      <c r="M209">
        <v>3871.64</v>
      </c>
      <c r="N209">
        <v>2908.64</v>
      </c>
      <c r="O209">
        <v>963</v>
      </c>
      <c r="P209">
        <v>0.3</v>
      </c>
      <c r="Q209" t="s">
        <v>55</v>
      </c>
    </row>
    <row r="210" spans="1:17" x14ac:dyDescent="0.25">
      <c r="A210">
        <v>1208</v>
      </c>
      <c r="B210" s="1">
        <v>45523</v>
      </c>
      <c r="C210" t="s">
        <v>187</v>
      </c>
      <c r="D210" t="s">
        <v>17</v>
      </c>
      <c r="E210" t="s">
        <v>53</v>
      </c>
      <c r="F210" t="s">
        <v>34</v>
      </c>
      <c r="G210" t="s">
        <v>35</v>
      </c>
      <c r="H210" t="s">
        <v>70</v>
      </c>
      <c r="I210" t="s">
        <v>84</v>
      </c>
      <c r="J210">
        <v>10</v>
      </c>
      <c r="K210">
        <v>639.99</v>
      </c>
      <c r="L210">
        <v>339.03</v>
      </c>
      <c r="M210">
        <v>4927.92</v>
      </c>
      <c r="N210">
        <v>3390.3</v>
      </c>
      <c r="O210">
        <v>1537.62</v>
      </c>
      <c r="P210">
        <v>0.23</v>
      </c>
      <c r="Q210" t="s">
        <v>85</v>
      </c>
    </row>
    <row r="211" spans="1:17" x14ac:dyDescent="0.25">
      <c r="A211">
        <v>1209</v>
      </c>
      <c r="B211" s="1">
        <v>45097</v>
      </c>
      <c r="C211" t="s">
        <v>155</v>
      </c>
      <c r="D211" t="s">
        <v>25</v>
      </c>
      <c r="E211" t="s">
        <v>53</v>
      </c>
      <c r="F211" t="s">
        <v>40</v>
      </c>
      <c r="G211" t="s">
        <v>35</v>
      </c>
      <c r="H211" t="s">
        <v>36</v>
      </c>
      <c r="I211" t="s">
        <v>87</v>
      </c>
      <c r="J211">
        <v>2</v>
      </c>
      <c r="K211">
        <v>262.44</v>
      </c>
      <c r="L211">
        <v>178.13</v>
      </c>
      <c r="M211">
        <v>440.9</v>
      </c>
      <c r="N211">
        <v>356.26</v>
      </c>
      <c r="O211">
        <v>84.64</v>
      </c>
      <c r="P211">
        <v>0.16</v>
      </c>
      <c r="Q211" t="s">
        <v>125</v>
      </c>
    </row>
    <row r="212" spans="1:17" x14ac:dyDescent="0.25">
      <c r="A212">
        <v>1210</v>
      </c>
      <c r="B212" s="1">
        <v>45631</v>
      </c>
      <c r="C212" t="s">
        <v>72</v>
      </c>
      <c r="D212" t="s">
        <v>32</v>
      </c>
      <c r="E212" t="s">
        <v>18</v>
      </c>
      <c r="F212" t="s">
        <v>27</v>
      </c>
      <c r="G212" t="s">
        <v>35</v>
      </c>
      <c r="H212" t="s">
        <v>70</v>
      </c>
      <c r="I212" t="s">
        <v>84</v>
      </c>
      <c r="J212">
        <v>9</v>
      </c>
      <c r="K212">
        <v>154.99</v>
      </c>
      <c r="L212">
        <v>131.62</v>
      </c>
      <c r="M212">
        <v>1199.6199999999999</v>
      </c>
      <c r="N212">
        <v>1184.58</v>
      </c>
      <c r="O212">
        <v>15.04</v>
      </c>
      <c r="P212">
        <v>0.14000000000000001</v>
      </c>
      <c r="Q212" t="s">
        <v>30</v>
      </c>
    </row>
    <row r="213" spans="1:17" x14ac:dyDescent="0.25">
      <c r="A213">
        <v>1211</v>
      </c>
      <c r="B213" s="1">
        <v>45352</v>
      </c>
      <c r="C213" t="s">
        <v>215</v>
      </c>
      <c r="D213" t="s">
        <v>25</v>
      </c>
      <c r="E213" t="s">
        <v>26</v>
      </c>
      <c r="F213" t="s">
        <v>40</v>
      </c>
      <c r="G213" t="s">
        <v>35</v>
      </c>
      <c r="H213" t="s">
        <v>49</v>
      </c>
      <c r="I213" t="s">
        <v>50</v>
      </c>
      <c r="J213">
        <v>4</v>
      </c>
      <c r="K213">
        <v>523.51</v>
      </c>
      <c r="L213">
        <v>325.57</v>
      </c>
      <c r="M213">
        <v>2031.22</v>
      </c>
      <c r="N213">
        <v>1302.28</v>
      </c>
      <c r="O213">
        <v>728.94</v>
      </c>
      <c r="P213">
        <v>0.03</v>
      </c>
      <c r="Q213" t="s">
        <v>55</v>
      </c>
    </row>
    <row r="214" spans="1:17" x14ac:dyDescent="0.25">
      <c r="A214">
        <v>1212</v>
      </c>
      <c r="B214" s="1">
        <v>45253</v>
      </c>
      <c r="C214" t="s">
        <v>168</v>
      </c>
      <c r="D214" t="s">
        <v>25</v>
      </c>
      <c r="E214" t="s">
        <v>33</v>
      </c>
      <c r="F214" t="s">
        <v>34</v>
      </c>
      <c r="G214" t="s">
        <v>35</v>
      </c>
      <c r="H214" t="s">
        <v>70</v>
      </c>
      <c r="I214" t="s">
        <v>98</v>
      </c>
      <c r="J214">
        <v>3</v>
      </c>
      <c r="K214">
        <v>930.27</v>
      </c>
      <c r="L214">
        <v>706.23</v>
      </c>
      <c r="M214">
        <v>2372.19</v>
      </c>
      <c r="N214">
        <v>2118.69</v>
      </c>
      <c r="O214">
        <v>253.5</v>
      </c>
      <c r="P214">
        <v>0.15</v>
      </c>
      <c r="Q214" t="s">
        <v>38</v>
      </c>
    </row>
    <row r="215" spans="1:17" x14ac:dyDescent="0.25">
      <c r="A215">
        <v>1213</v>
      </c>
      <c r="B215" s="1">
        <v>45090</v>
      </c>
      <c r="C215" t="s">
        <v>154</v>
      </c>
      <c r="D215" t="s">
        <v>32</v>
      </c>
      <c r="E215" t="s">
        <v>53</v>
      </c>
      <c r="F215" t="s">
        <v>19</v>
      </c>
      <c r="G215" t="s">
        <v>35</v>
      </c>
      <c r="H215" t="s">
        <v>70</v>
      </c>
      <c r="I215" t="s">
        <v>98</v>
      </c>
      <c r="J215">
        <v>3</v>
      </c>
      <c r="K215">
        <v>642.28</v>
      </c>
      <c r="L215">
        <v>418.28</v>
      </c>
      <c r="M215">
        <v>1907.57</v>
      </c>
      <c r="N215">
        <v>1254.8399999999999</v>
      </c>
      <c r="O215">
        <v>652.73</v>
      </c>
      <c r="P215">
        <v>0.01</v>
      </c>
      <c r="Q215" t="s">
        <v>125</v>
      </c>
    </row>
    <row r="216" spans="1:17" x14ac:dyDescent="0.25">
      <c r="A216">
        <v>1214</v>
      </c>
      <c r="B216" s="1">
        <v>45129</v>
      </c>
      <c r="C216" t="s">
        <v>184</v>
      </c>
      <c r="D216" t="s">
        <v>32</v>
      </c>
      <c r="E216" t="s">
        <v>53</v>
      </c>
      <c r="F216" t="s">
        <v>34</v>
      </c>
      <c r="G216" t="s">
        <v>41</v>
      </c>
      <c r="H216" t="s">
        <v>42</v>
      </c>
      <c r="I216" t="s">
        <v>77</v>
      </c>
      <c r="J216">
        <v>5</v>
      </c>
      <c r="K216">
        <v>753.56</v>
      </c>
      <c r="L216">
        <v>590.08000000000004</v>
      </c>
      <c r="M216">
        <v>3692.44</v>
      </c>
      <c r="N216">
        <v>2950.4</v>
      </c>
      <c r="O216">
        <v>742.04</v>
      </c>
      <c r="P216">
        <v>0.02</v>
      </c>
      <c r="Q216" t="s">
        <v>44</v>
      </c>
    </row>
    <row r="217" spans="1:17" x14ac:dyDescent="0.25">
      <c r="A217">
        <v>1215</v>
      </c>
      <c r="B217" s="1">
        <v>45476</v>
      </c>
      <c r="C217" t="s">
        <v>216</v>
      </c>
      <c r="D217" t="s">
        <v>32</v>
      </c>
      <c r="E217" t="s">
        <v>26</v>
      </c>
      <c r="F217" t="s">
        <v>27</v>
      </c>
      <c r="G217" t="s">
        <v>20</v>
      </c>
      <c r="H217" t="s">
        <v>28</v>
      </c>
      <c r="I217" t="s">
        <v>61</v>
      </c>
      <c r="J217">
        <v>9</v>
      </c>
      <c r="K217">
        <v>966.09</v>
      </c>
      <c r="L217">
        <v>589.02</v>
      </c>
      <c r="M217">
        <v>7651.43</v>
      </c>
      <c r="N217">
        <v>5301.18</v>
      </c>
      <c r="O217">
        <v>2350.25</v>
      </c>
      <c r="P217">
        <v>0.12</v>
      </c>
      <c r="Q217" t="s">
        <v>75</v>
      </c>
    </row>
    <row r="218" spans="1:17" x14ac:dyDescent="0.25">
      <c r="A218">
        <v>1216</v>
      </c>
      <c r="B218" s="1">
        <v>45528</v>
      </c>
      <c r="C218" t="s">
        <v>210</v>
      </c>
      <c r="D218" t="s">
        <v>32</v>
      </c>
      <c r="E218" t="s">
        <v>53</v>
      </c>
      <c r="F218" t="s">
        <v>19</v>
      </c>
      <c r="G218" t="s">
        <v>41</v>
      </c>
      <c r="H218" t="s">
        <v>63</v>
      </c>
      <c r="I218" t="s">
        <v>117</v>
      </c>
      <c r="J218">
        <v>10</v>
      </c>
      <c r="K218">
        <v>592.22</v>
      </c>
      <c r="L218">
        <v>435.42</v>
      </c>
      <c r="M218">
        <v>5389.2</v>
      </c>
      <c r="N218">
        <v>4354.2</v>
      </c>
      <c r="O218">
        <v>1035</v>
      </c>
      <c r="P218">
        <v>0.09</v>
      </c>
      <c r="Q218" t="s">
        <v>23</v>
      </c>
    </row>
    <row r="219" spans="1:17" x14ac:dyDescent="0.25">
      <c r="A219">
        <v>1217</v>
      </c>
      <c r="B219" s="1">
        <v>45239</v>
      </c>
      <c r="C219" t="s">
        <v>109</v>
      </c>
      <c r="D219" t="s">
        <v>32</v>
      </c>
      <c r="E219" t="s">
        <v>26</v>
      </c>
      <c r="F219" t="s">
        <v>27</v>
      </c>
      <c r="G219" t="s">
        <v>35</v>
      </c>
      <c r="H219" t="s">
        <v>70</v>
      </c>
      <c r="I219" t="s">
        <v>98</v>
      </c>
      <c r="J219">
        <v>10</v>
      </c>
      <c r="K219">
        <v>386.79</v>
      </c>
      <c r="L219">
        <v>218.54</v>
      </c>
      <c r="M219">
        <v>3133</v>
      </c>
      <c r="N219">
        <v>2185.4</v>
      </c>
      <c r="O219">
        <v>947.6</v>
      </c>
      <c r="P219">
        <v>0.19</v>
      </c>
      <c r="Q219" t="s">
        <v>92</v>
      </c>
    </row>
    <row r="220" spans="1:17" x14ac:dyDescent="0.25">
      <c r="A220">
        <v>1218</v>
      </c>
      <c r="B220" s="1">
        <v>45495</v>
      </c>
      <c r="C220" t="s">
        <v>217</v>
      </c>
      <c r="D220" t="s">
        <v>32</v>
      </c>
      <c r="E220" t="s">
        <v>26</v>
      </c>
      <c r="F220" t="s">
        <v>19</v>
      </c>
      <c r="G220" t="s">
        <v>35</v>
      </c>
      <c r="H220" t="s">
        <v>49</v>
      </c>
      <c r="I220" t="s">
        <v>59</v>
      </c>
      <c r="J220">
        <v>1</v>
      </c>
      <c r="K220">
        <v>866.19</v>
      </c>
      <c r="L220">
        <v>721.66</v>
      </c>
      <c r="M220">
        <v>736.26</v>
      </c>
      <c r="N220">
        <v>721.66</v>
      </c>
      <c r="O220">
        <v>14.6</v>
      </c>
      <c r="P220">
        <v>0.15</v>
      </c>
      <c r="Q220" t="s">
        <v>23</v>
      </c>
    </row>
    <row r="221" spans="1:17" x14ac:dyDescent="0.25">
      <c r="A221">
        <v>1219</v>
      </c>
      <c r="B221" s="1">
        <v>45320</v>
      </c>
      <c r="C221" t="s">
        <v>218</v>
      </c>
      <c r="D221" t="s">
        <v>17</v>
      </c>
      <c r="E221" t="s">
        <v>53</v>
      </c>
      <c r="F221" t="s">
        <v>27</v>
      </c>
      <c r="G221" t="s">
        <v>41</v>
      </c>
      <c r="H221" t="s">
        <v>46</v>
      </c>
      <c r="I221" t="s">
        <v>57</v>
      </c>
      <c r="J221">
        <v>8</v>
      </c>
      <c r="K221">
        <v>491.26</v>
      </c>
      <c r="L221">
        <v>259.83999999999997</v>
      </c>
      <c r="M221">
        <v>3890.78</v>
      </c>
      <c r="N221">
        <v>2078.7199999999998</v>
      </c>
      <c r="O221">
        <v>1812.06</v>
      </c>
      <c r="P221">
        <v>0.01</v>
      </c>
      <c r="Q221" t="s">
        <v>23</v>
      </c>
    </row>
    <row r="222" spans="1:17" x14ac:dyDescent="0.25">
      <c r="A222">
        <v>1220</v>
      </c>
      <c r="B222" s="1">
        <v>45226</v>
      </c>
      <c r="C222" t="s">
        <v>219</v>
      </c>
      <c r="D222" t="s">
        <v>25</v>
      </c>
      <c r="E222" t="s">
        <v>18</v>
      </c>
      <c r="F222" t="s">
        <v>19</v>
      </c>
      <c r="G222" t="s">
        <v>35</v>
      </c>
      <c r="H222" t="s">
        <v>70</v>
      </c>
      <c r="I222" t="s">
        <v>84</v>
      </c>
      <c r="J222">
        <v>8</v>
      </c>
      <c r="K222">
        <v>551.98</v>
      </c>
      <c r="L222">
        <v>297.86</v>
      </c>
      <c r="M222">
        <v>4283.3599999999997</v>
      </c>
      <c r="N222">
        <v>2382.88</v>
      </c>
      <c r="O222">
        <v>1900.48</v>
      </c>
      <c r="P222">
        <v>0.03</v>
      </c>
      <c r="Q222" t="s">
        <v>38</v>
      </c>
    </row>
    <row r="223" spans="1:17" x14ac:dyDescent="0.25">
      <c r="A223">
        <v>1221</v>
      </c>
      <c r="B223" s="1">
        <v>45302</v>
      </c>
      <c r="C223" t="s">
        <v>209</v>
      </c>
      <c r="D223" t="s">
        <v>25</v>
      </c>
      <c r="E223" t="s">
        <v>53</v>
      </c>
      <c r="F223" t="s">
        <v>19</v>
      </c>
      <c r="G223" t="s">
        <v>35</v>
      </c>
      <c r="H223" t="s">
        <v>36</v>
      </c>
      <c r="I223" t="s">
        <v>100</v>
      </c>
      <c r="J223">
        <v>4</v>
      </c>
      <c r="K223">
        <v>301.22000000000003</v>
      </c>
      <c r="L223">
        <v>255.96</v>
      </c>
      <c r="M223">
        <v>1048.25</v>
      </c>
      <c r="N223">
        <v>1023.84</v>
      </c>
      <c r="O223">
        <v>24.41</v>
      </c>
      <c r="P223">
        <v>0.13</v>
      </c>
      <c r="Q223" t="s">
        <v>85</v>
      </c>
    </row>
    <row r="224" spans="1:17" x14ac:dyDescent="0.25">
      <c r="A224">
        <v>1222</v>
      </c>
      <c r="B224" s="1">
        <v>45016</v>
      </c>
      <c r="C224" t="s">
        <v>220</v>
      </c>
      <c r="D224" t="s">
        <v>25</v>
      </c>
      <c r="E224" t="s">
        <v>26</v>
      </c>
      <c r="F224" t="s">
        <v>19</v>
      </c>
      <c r="G224" t="s">
        <v>41</v>
      </c>
      <c r="H224" t="s">
        <v>63</v>
      </c>
      <c r="I224" t="s">
        <v>64</v>
      </c>
      <c r="J224">
        <v>6</v>
      </c>
      <c r="K224">
        <v>861.74</v>
      </c>
      <c r="L224">
        <v>614.92999999999995</v>
      </c>
      <c r="M224">
        <v>4498.28</v>
      </c>
      <c r="N224">
        <v>3689.58</v>
      </c>
      <c r="O224">
        <v>808.7</v>
      </c>
      <c r="P224">
        <v>0.13</v>
      </c>
      <c r="Q224" t="s">
        <v>125</v>
      </c>
    </row>
    <row r="225" spans="1:17" x14ac:dyDescent="0.25">
      <c r="A225">
        <v>1223</v>
      </c>
      <c r="B225" s="1">
        <v>45069</v>
      </c>
      <c r="C225" t="s">
        <v>105</v>
      </c>
      <c r="D225" t="s">
        <v>25</v>
      </c>
      <c r="E225" t="s">
        <v>33</v>
      </c>
      <c r="F225" t="s">
        <v>40</v>
      </c>
      <c r="G225" t="s">
        <v>41</v>
      </c>
      <c r="H225" t="s">
        <v>46</v>
      </c>
      <c r="I225" t="s">
        <v>102</v>
      </c>
      <c r="J225">
        <v>9</v>
      </c>
      <c r="K225">
        <v>172.54</v>
      </c>
      <c r="L225">
        <v>145.38999999999999</v>
      </c>
      <c r="M225">
        <v>1413.1</v>
      </c>
      <c r="N225">
        <v>1308.51</v>
      </c>
      <c r="O225">
        <v>104.59</v>
      </c>
      <c r="P225">
        <v>0.09</v>
      </c>
      <c r="Q225" t="s">
        <v>125</v>
      </c>
    </row>
    <row r="226" spans="1:17" x14ac:dyDescent="0.25">
      <c r="A226">
        <v>1224</v>
      </c>
      <c r="B226" s="1">
        <v>45200</v>
      </c>
      <c r="C226" t="s">
        <v>194</v>
      </c>
      <c r="D226" t="s">
        <v>17</v>
      </c>
      <c r="E226" t="s">
        <v>33</v>
      </c>
      <c r="F226" t="s">
        <v>19</v>
      </c>
      <c r="G226" t="s">
        <v>35</v>
      </c>
      <c r="H226" t="s">
        <v>36</v>
      </c>
      <c r="I226" t="s">
        <v>37</v>
      </c>
      <c r="J226">
        <v>3</v>
      </c>
      <c r="K226">
        <v>702.92</v>
      </c>
      <c r="L226">
        <v>384.1</v>
      </c>
      <c r="M226">
        <v>2024.41</v>
      </c>
      <c r="N226">
        <v>1152.3</v>
      </c>
      <c r="O226">
        <v>872.11</v>
      </c>
      <c r="P226">
        <v>0.04</v>
      </c>
      <c r="Q226" t="s">
        <v>85</v>
      </c>
    </row>
    <row r="227" spans="1:17" x14ac:dyDescent="0.25">
      <c r="A227">
        <v>1225</v>
      </c>
      <c r="B227" s="1">
        <v>45180</v>
      </c>
      <c r="C227" t="s">
        <v>221</v>
      </c>
      <c r="D227" t="s">
        <v>17</v>
      </c>
      <c r="E227" t="s">
        <v>53</v>
      </c>
      <c r="F227" t="s">
        <v>27</v>
      </c>
      <c r="G227" t="s">
        <v>20</v>
      </c>
      <c r="H227" t="s">
        <v>113</v>
      </c>
      <c r="I227" t="s">
        <v>161</v>
      </c>
      <c r="J227">
        <v>5</v>
      </c>
      <c r="K227">
        <v>629.66999999999996</v>
      </c>
      <c r="L227">
        <v>397.52</v>
      </c>
      <c r="M227">
        <v>3085.38</v>
      </c>
      <c r="N227">
        <v>1987.6</v>
      </c>
      <c r="O227">
        <v>1097.78</v>
      </c>
      <c r="P227">
        <v>0.02</v>
      </c>
      <c r="Q227" t="s">
        <v>44</v>
      </c>
    </row>
    <row r="228" spans="1:17" x14ac:dyDescent="0.25">
      <c r="A228">
        <v>1226</v>
      </c>
      <c r="B228" s="1">
        <v>45339</v>
      </c>
      <c r="C228" t="s">
        <v>164</v>
      </c>
      <c r="D228" t="s">
        <v>32</v>
      </c>
      <c r="E228" t="s">
        <v>18</v>
      </c>
      <c r="F228" t="s">
        <v>27</v>
      </c>
      <c r="G228" t="s">
        <v>35</v>
      </c>
      <c r="H228" t="s">
        <v>49</v>
      </c>
      <c r="I228" t="s">
        <v>59</v>
      </c>
      <c r="J228">
        <v>1</v>
      </c>
      <c r="K228">
        <v>869.56</v>
      </c>
      <c r="L228">
        <v>692.61</v>
      </c>
      <c r="M228">
        <v>843.47</v>
      </c>
      <c r="N228">
        <v>692.61</v>
      </c>
      <c r="O228">
        <v>150.86000000000001</v>
      </c>
      <c r="P228">
        <v>0.03</v>
      </c>
      <c r="Q228" t="s">
        <v>55</v>
      </c>
    </row>
    <row r="229" spans="1:17" x14ac:dyDescent="0.25">
      <c r="A229">
        <v>1227</v>
      </c>
      <c r="B229" s="1">
        <v>45577</v>
      </c>
      <c r="C229" t="s">
        <v>175</v>
      </c>
      <c r="D229" t="s">
        <v>32</v>
      </c>
      <c r="E229" t="s">
        <v>33</v>
      </c>
      <c r="F229" t="s">
        <v>27</v>
      </c>
      <c r="G229" t="s">
        <v>20</v>
      </c>
      <c r="H229" t="s">
        <v>28</v>
      </c>
      <c r="I229" t="s">
        <v>81</v>
      </c>
      <c r="J229">
        <v>8</v>
      </c>
      <c r="K229">
        <v>272.19</v>
      </c>
      <c r="L229">
        <v>215.01</v>
      </c>
      <c r="M229">
        <v>1959.77</v>
      </c>
      <c r="N229">
        <v>1720.08</v>
      </c>
      <c r="O229">
        <v>239.69</v>
      </c>
      <c r="P229">
        <v>0.1</v>
      </c>
      <c r="Q229" t="s">
        <v>125</v>
      </c>
    </row>
    <row r="230" spans="1:17" x14ac:dyDescent="0.25">
      <c r="A230">
        <v>1228</v>
      </c>
      <c r="B230" s="1">
        <v>45060</v>
      </c>
      <c r="C230" t="s">
        <v>222</v>
      </c>
      <c r="D230" t="s">
        <v>32</v>
      </c>
      <c r="E230" t="s">
        <v>18</v>
      </c>
      <c r="F230" t="s">
        <v>34</v>
      </c>
      <c r="G230" t="s">
        <v>20</v>
      </c>
      <c r="H230" t="s">
        <v>21</v>
      </c>
      <c r="I230" t="s">
        <v>79</v>
      </c>
      <c r="J230">
        <v>1</v>
      </c>
      <c r="K230">
        <v>128.62</v>
      </c>
      <c r="L230">
        <v>102.92</v>
      </c>
      <c r="M230">
        <v>111.9</v>
      </c>
      <c r="N230">
        <v>102.92</v>
      </c>
      <c r="O230">
        <v>8.98</v>
      </c>
      <c r="P230">
        <v>0.13</v>
      </c>
      <c r="Q230" t="s">
        <v>51</v>
      </c>
    </row>
    <row r="231" spans="1:17" x14ac:dyDescent="0.25">
      <c r="A231">
        <v>1229</v>
      </c>
      <c r="B231" s="1">
        <v>45365</v>
      </c>
      <c r="C231" t="s">
        <v>69</v>
      </c>
      <c r="D231" t="s">
        <v>25</v>
      </c>
      <c r="E231" t="s">
        <v>18</v>
      </c>
      <c r="F231" t="s">
        <v>19</v>
      </c>
      <c r="G231" t="s">
        <v>35</v>
      </c>
      <c r="H231" t="s">
        <v>36</v>
      </c>
      <c r="I231" t="s">
        <v>100</v>
      </c>
      <c r="J231">
        <v>6</v>
      </c>
      <c r="K231">
        <v>254.14</v>
      </c>
      <c r="L231">
        <v>160.15</v>
      </c>
      <c r="M231">
        <v>1113.1300000000001</v>
      </c>
      <c r="N231">
        <v>960.9</v>
      </c>
      <c r="O231">
        <v>152.22999999999999</v>
      </c>
      <c r="P231">
        <v>0.27</v>
      </c>
      <c r="Q231" t="s">
        <v>92</v>
      </c>
    </row>
    <row r="232" spans="1:17" x14ac:dyDescent="0.25">
      <c r="A232">
        <v>1230</v>
      </c>
      <c r="B232" s="1">
        <v>44980</v>
      </c>
      <c r="C232" t="s">
        <v>156</v>
      </c>
      <c r="D232" t="s">
        <v>32</v>
      </c>
      <c r="E232" t="s">
        <v>26</v>
      </c>
      <c r="F232" t="s">
        <v>27</v>
      </c>
      <c r="G232" t="s">
        <v>41</v>
      </c>
      <c r="H232" t="s">
        <v>42</v>
      </c>
      <c r="I232" t="s">
        <v>43</v>
      </c>
      <c r="J232">
        <v>2</v>
      </c>
      <c r="K232">
        <v>6.08</v>
      </c>
      <c r="L232">
        <v>4.05</v>
      </c>
      <c r="M232">
        <v>11.67</v>
      </c>
      <c r="N232">
        <v>8.1</v>
      </c>
      <c r="O232">
        <v>3.57</v>
      </c>
      <c r="P232">
        <v>0.04</v>
      </c>
      <c r="Q232" t="s">
        <v>23</v>
      </c>
    </row>
    <row r="233" spans="1:17" x14ac:dyDescent="0.25">
      <c r="A233">
        <v>1231</v>
      </c>
      <c r="B233" s="1">
        <v>45458</v>
      </c>
      <c r="C233" t="s">
        <v>136</v>
      </c>
      <c r="D233" t="s">
        <v>25</v>
      </c>
      <c r="E233" t="s">
        <v>33</v>
      </c>
      <c r="F233" t="s">
        <v>40</v>
      </c>
      <c r="G233" t="s">
        <v>20</v>
      </c>
      <c r="H233" t="s">
        <v>28</v>
      </c>
      <c r="I233" t="s">
        <v>81</v>
      </c>
      <c r="J233">
        <v>8</v>
      </c>
      <c r="K233">
        <v>75.47</v>
      </c>
      <c r="L233">
        <v>47.85</v>
      </c>
      <c r="M233">
        <v>470.93</v>
      </c>
      <c r="N233">
        <v>382.8</v>
      </c>
      <c r="O233">
        <v>88.13</v>
      </c>
      <c r="P233">
        <v>0.22</v>
      </c>
      <c r="Q233" t="s">
        <v>44</v>
      </c>
    </row>
    <row r="234" spans="1:17" x14ac:dyDescent="0.25">
      <c r="A234">
        <v>1232</v>
      </c>
      <c r="B234" s="1">
        <v>45032</v>
      </c>
      <c r="C234" t="s">
        <v>134</v>
      </c>
      <c r="D234" t="s">
        <v>32</v>
      </c>
      <c r="E234" t="s">
        <v>26</v>
      </c>
      <c r="F234" t="s">
        <v>27</v>
      </c>
      <c r="G234" t="s">
        <v>20</v>
      </c>
      <c r="H234" t="s">
        <v>113</v>
      </c>
      <c r="I234" t="s">
        <v>161</v>
      </c>
      <c r="J234">
        <v>3</v>
      </c>
      <c r="K234">
        <v>73.069999999999993</v>
      </c>
      <c r="L234">
        <v>50.94</v>
      </c>
      <c r="M234">
        <v>179.75</v>
      </c>
      <c r="N234">
        <v>152.82</v>
      </c>
      <c r="O234">
        <v>26.93</v>
      </c>
      <c r="P234">
        <v>0.18</v>
      </c>
      <c r="Q234" t="s">
        <v>92</v>
      </c>
    </row>
    <row r="235" spans="1:17" x14ac:dyDescent="0.25">
      <c r="A235">
        <v>1233</v>
      </c>
      <c r="B235" s="1">
        <v>45377</v>
      </c>
      <c r="C235" t="s">
        <v>123</v>
      </c>
      <c r="D235" t="s">
        <v>25</v>
      </c>
      <c r="E235" t="s">
        <v>26</v>
      </c>
      <c r="F235" t="s">
        <v>27</v>
      </c>
      <c r="G235" t="s">
        <v>41</v>
      </c>
      <c r="H235" t="s">
        <v>63</v>
      </c>
      <c r="I235" t="s">
        <v>117</v>
      </c>
      <c r="J235">
        <v>4</v>
      </c>
      <c r="K235">
        <v>91.25</v>
      </c>
      <c r="L235">
        <v>48.83</v>
      </c>
      <c r="M235">
        <v>281.05</v>
      </c>
      <c r="N235">
        <v>195.32</v>
      </c>
      <c r="O235">
        <v>85.73</v>
      </c>
      <c r="P235">
        <v>0.23</v>
      </c>
      <c r="Q235" t="s">
        <v>125</v>
      </c>
    </row>
    <row r="236" spans="1:17" x14ac:dyDescent="0.25">
      <c r="A236">
        <v>1234</v>
      </c>
      <c r="B236" s="1">
        <v>45320</v>
      </c>
      <c r="C236" t="s">
        <v>223</v>
      </c>
      <c r="D236" t="s">
        <v>32</v>
      </c>
      <c r="E236" t="s">
        <v>26</v>
      </c>
      <c r="F236" t="s">
        <v>19</v>
      </c>
      <c r="G236" t="s">
        <v>35</v>
      </c>
      <c r="H236" t="s">
        <v>70</v>
      </c>
      <c r="I236" t="s">
        <v>98</v>
      </c>
      <c r="J236">
        <v>4</v>
      </c>
      <c r="K236">
        <v>555.63</v>
      </c>
      <c r="L236">
        <v>394.5</v>
      </c>
      <c r="M236">
        <v>1822.47</v>
      </c>
      <c r="N236">
        <v>1578</v>
      </c>
      <c r="O236">
        <v>244.47</v>
      </c>
      <c r="P236">
        <v>0.18</v>
      </c>
      <c r="Q236" t="s">
        <v>51</v>
      </c>
    </row>
    <row r="237" spans="1:17" x14ac:dyDescent="0.25">
      <c r="A237">
        <v>1235</v>
      </c>
      <c r="B237" s="1">
        <v>45601</v>
      </c>
      <c r="C237" t="s">
        <v>146</v>
      </c>
      <c r="D237" t="s">
        <v>25</v>
      </c>
      <c r="E237" t="s">
        <v>26</v>
      </c>
      <c r="F237" t="s">
        <v>27</v>
      </c>
      <c r="G237" t="s">
        <v>35</v>
      </c>
      <c r="H237" t="s">
        <v>70</v>
      </c>
      <c r="I237" t="s">
        <v>98</v>
      </c>
      <c r="J237">
        <v>4</v>
      </c>
      <c r="K237">
        <v>497.41</v>
      </c>
      <c r="L237">
        <v>268.33</v>
      </c>
      <c r="M237">
        <v>1691.19</v>
      </c>
      <c r="N237">
        <v>1073.32</v>
      </c>
      <c r="O237">
        <v>617.87</v>
      </c>
      <c r="P237">
        <v>0.15</v>
      </c>
      <c r="Q237" t="s">
        <v>125</v>
      </c>
    </row>
    <row r="238" spans="1:17" x14ac:dyDescent="0.25">
      <c r="A238">
        <v>1236</v>
      </c>
      <c r="B238" s="1">
        <v>44999</v>
      </c>
      <c r="C238" t="s">
        <v>224</v>
      </c>
      <c r="D238" t="s">
        <v>25</v>
      </c>
      <c r="E238" t="s">
        <v>18</v>
      </c>
      <c r="F238" t="s">
        <v>40</v>
      </c>
      <c r="G238" t="s">
        <v>20</v>
      </c>
      <c r="H238" t="s">
        <v>28</v>
      </c>
      <c r="I238" t="s">
        <v>61</v>
      </c>
      <c r="J238">
        <v>6</v>
      </c>
      <c r="K238">
        <v>548.62</v>
      </c>
      <c r="L238">
        <v>307.48</v>
      </c>
      <c r="M238">
        <v>2830.88</v>
      </c>
      <c r="N238">
        <v>1844.88</v>
      </c>
      <c r="O238">
        <v>986</v>
      </c>
      <c r="P238">
        <v>0.14000000000000001</v>
      </c>
      <c r="Q238" t="s">
        <v>44</v>
      </c>
    </row>
    <row r="239" spans="1:17" x14ac:dyDescent="0.25">
      <c r="A239">
        <v>1237</v>
      </c>
      <c r="B239" s="1">
        <v>44944</v>
      </c>
      <c r="C239" t="s">
        <v>143</v>
      </c>
      <c r="D239" t="s">
        <v>25</v>
      </c>
      <c r="E239" t="s">
        <v>18</v>
      </c>
      <c r="F239" t="s">
        <v>19</v>
      </c>
      <c r="G239" t="s">
        <v>20</v>
      </c>
      <c r="H239" t="s">
        <v>21</v>
      </c>
      <c r="I239" t="s">
        <v>79</v>
      </c>
      <c r="J239">
        <v>9</v>
      </c>
      <c r="K239">
        <v>290.06</v>
      </c>
      <c r="L239">
        <v>217.38</v>
      </c>
      <c r="M239">
        <v>2010.12</v>
      </c>
      <c r="N239">
        <v>1956.42</v>
      </c>
      <c r="O239">
        <v>53.7</v>
      </c>
      <c r="P239">
        <v>0.23</v>
      </c>
      <c r="Q239" t="s">
        <v>75</v>
      </c>
    </row>
    <row r="240" spans="1:17" x14ac:dyDescent="0.25">
      <c r="A240">
        <v>1238</v>
      </c>
      <c r="B240" s="1">
        <v>45645</v>
      </c>
      <c r="C240" t="s">
        <v>225</v>
      </c>
      <c r="D240" t="s">
        <v>17</v>
      </c>
      <c r="E240" t="s">
        <v>26</v>
      </c>
      <c r="F240" t="s">
        <v>40</v>
      </c>
      <c r="G240" t="s">
        <v>20</v>
      </c>
      <c r="H240" t="s">
        <v>28</v>
      </c>
      <c r="I240" t="s">
        <v>90</v>
      </c>
      <c r="J240">
        <v>9</v>
      </c>
      <c r="K240">
        <v>921.32</v>
      </c>
      <c r="L240">
        <v>774.84</v>
      </c>
      <c r="M240">
        <v>7877.29</v>
      </c>
      <c r="N240">
        <v>6973.56</v>
      </c>
      <c r="O240">
        <v>903.73</v>
      </c>
      <c r="P240">
        <v>0.05</v>
      </c>
      <c r="Q240" t="s">
        <v>85</v>
      </c>
    </row>
    <row r="241" spans="1:17" x14ac:dyDescent="0.25">
      <c r="A241">
        <v>1239</v>
      </c>
      <c r="B241" s="1">
        <v>45327</v>
      </c>
      <c r="C241" t="s">
        <v>129</v>
      </c>
      <c r="D241" t="s">
        <v>17</v>
      </c>
      <c r="E241" t="s">
        <v>33</v>
      </c>
      <c r="F241" t="s">
        <v>40</v>
      </c>
      <c r="G241" t="s">
        <v>41</v>
      </c>
      <c r="H241" t="s">
        <v>46</v>
      </c>
      <c r="I241" t="s">
        <v>102</v>
      </c>
      <c r="J241">
        <v>4</v>
      </c>
      <c r="K241">
        <v>62.62</v>
      </c>
      <c r="L241">
        <v>33.200000000000003</v>
      </c>
      <c r="M241">
        <v>217.92</v>
      </c>
      <c r="N241">
        <v>132.80000000000001</v>
      </c>
      <c r="O241">
        <v>85.12</v>
      </c>
      <c r="P241">
        <v>0.13</v>
      </c>
      <c r="Q241" t="s">
        <v>55</v>
      </c>
    </row>
    <row r="242" spans="1:17" x14ac:dyDescent="0.25">
      <c r="A242">
        <v>1240</v>
      </c>
      <c r="B242" s="1">
        <v>45553</v>
      </c>
      <c r="C242" t="s">
        <v>179</v>
      </c>
      <c r="D242" t="s">
        <v>32</v>
      </c>
      <c r="E242" t="s">
        <v>26</v>
      </c>
      <c r="F242" t="s">
        <v>34</v>
      </c>
      <c r="G242" t="s">
        <v>20</v>
      </c>
      <c r="H242" t="s">
        <v>113</v>
      </c>
      <c r="I242" t="s">
        <v>114</v>
      </c>
      <c r="J242">
        <v>1</v>
      </c>
      <c r="K242">
        <v>168.01</v>
      </c>
      <c r="L242">
        <v>140.05000000000001</v>
      </c>
      <c r="M242">
        <v>141.13</v>
      </c>
      <c r="N242">
        <v>140.05000000000001</v>
      </c>
      <c r="O242">
        <v>1.08</v>
      </c>
      <c r="P242">
        <v>0.16</v>
      </c>
      <c r="Q242" t="s">
        <v>30</v>
      </c>
    </row>
    <row r="243" spans="1:17" x14ac:dyDescent="0.25">
      <c r="A243">
        <v>1241</v>
      </c>
      <c r="B243" s="1">
        <v>45097</v>
      </c>
      <c r="C243" t="s">
        <v>214</v>
      </c>
      <c r="D243" t="s">
        <v>17</v>
      </c>
      <c r="E243" t="s">
        <v>18</v>
      </c>
      <c r="F243" t="s">
        <v>34</v>
      </c>
      <c r="G243" t="s">
        <v>20</v>
      </c>
      <c r="H243" t="s">
        <v>28</v>
      </c>
      <c r="I243" t="s">
        <v>61</v>
      </c>
      <c r="J243">
        <v>5</v>
      </c>
      <c r="K243">
        <v>526.23</v>
      </c>
      <c r="L243">
        <v>311.55</v>
      </c>
      <c r="M243">
        <v>1868.12</v>
      </c>
      <c r="N243">
        <v>1557.75</v>
      </c>
      <c r="O243">
        <v>310.37</v>
      </c>
      <c r="P243">
        <v>0.28999999999999998</v>
      </c>
      <c r="Q243" t="s">
        <v>44</v>
      </c>
    </row>
    <row r="244" spans="1:17" x14ac:dyDescent="0.25">
      <c r="A244">
        <v>1242</v>
      </c>
      <c r="B244" s="1">
        <v>45435</v>
      </c>
      <c r="C244" t="s">
        <v>207</v>
      </c>
      <c r="D244" t="s">
        <v>32</v>
      </c>
      <c r="E244" t="s">
        <v>33</v>
      </c>
      <c r="F244" t="s">
        <v>27</v>
      </c>
      <c r="G244" t="s">
        <v>41</v>
      </c>
      <c r="H244" t="s">
        <v>42</v>
      </c>
      <c r="I244" t="s">
        <v>68</v>
      </c>
      <c r="J244">
        <v>3</v>
      </c>
      <c r="K244">
        <v>258.83999999999997</v>
      </c>
      <c r="L244">
        <v>138.74</v>
      </c>
      <c r="M244">
        <v>644.51</v>
      </c>
      <c r="N244">
        <v>416.22</v>
      </c>
      <c r="O244">
        <v>228.29</v>
      </c>
      <c r="P244">
        <v>0.17</v>
      </c>
      <c r="Q244" t="s">
        <v>44</v>
      </c>
    </row>
    <row r="245" spans="1:17" x14ac:dyDescent="0.25">
      <c r="A245">
        <v>1243</v>
      </c>
      <c r="B245" s="1">
        <v>45160</v>
      </c>
      <c r="C245" t="s">
        <v>226</v>
      </c>
      <c r="D245" t="s">
        <v>25</v>
      </c>
      <c r="E245" t="s">
        <v>33</v>
      </c>
      <c r="F245" t="s">
        <v>34</v>
      </c>
      <c r="G245" t="s">
        <v>20</v>
      </c>
      <c r="H245" t="s">
        <v>21</v>
      </c>
      <c r="I245" t="s">
        <v>79</v>
      </c>
      <c r="J245">
        <v>6</v>
      </c>
      <c r="K245">
        <v>386.06</v>
      </c>
      <c r="L245">
        <v>213.31</v>
      </c>
      <c r="M245">
        <v>1667.78</v>
      </c>
      <c r="N245">
        <v>1279.8599999999999</v>
      </c>
      <c r="O245">
        <v>387.92</v>
      </c>
      <c r="P245">
        <v>0.28000000000000003</v>
      </c>
      <c r="Q245" t="s">
        <v>51</v>
      </c>
    </row>
    <row r="246" spans="1:17" x14ac:dyDescent="0.25">
      <c r="A246">
        <v>1244</v>
      </c>
      <c r="B246" s="1">
        <v>45493</v>
      </c>
      <c r="C246" t="s">
        <v>169</v>
      </c>
      <c r="D246" t="s">
        <v>17</v>
      </c>
      <c r="E246" t="s">
        <v>53</v>
      </c>
      <c r="F246" t="s">
        <v>19</v>
      </c>
      <c r="G246" t="s">
        <v>35</v>
      </c>
      <c r="H246" t="s">
        <v>36</v>
      </c>
      <c r="I246" t="s">
        <v>37</v>
      </c>
      <c r="J246">
        <v>6</v>
      </c>
      <c r="K246">
        <v>274.89999999999998</v>
      </c>
      <c r="L246">
        <v>144.94</v>
      </c>
      <c r="M246">
        <v>1467.97</v>
      </c>
      <c r="N246">
        <v>869.64</v>
      </c>
      <c r="O246">
        <v>598.33000000000004</v>
      </c>
      <c r="P246">
        <v>0.11</v>
      </c>
      <c r="Q246" t="s">
        <v>38</v>
      </c>
    </row>
    <row r="247" spans="1:17" x14ac:dyDescent="0.25">
      <c r="A247">
        <v>1245</v>
      </c>
      <c r="B247" s="1">
        <v>45616</v>
      </c>
      <c r="C247" t="s">
        <v>227</v>
      </c>
      <c r="D247" t="s">
        <v>25</v>
      </c>
      <c r="E247" t="s">
        <v>26</v>
      </c>
      <c r="F247" t="s">
        <v>34</v>
      </c>
      <c r="G247" t="s">
        <v>35</v>
      </c>
      <c r="H247" t="s">
        <v>36</v>
      </c>
      <c r="I247" t="s">
        <v>37</v>
      </c>
      <c r="J247">
        <v>5</v>
      </c>
      <c r="K247">
        <v>774.66</v>
      </c>
      <c r="L247">
        <v>471.57</v>
      </c>
      <c r="M247">
        <v>3757.1</v>
      </c>
      <c r="N247">
        <v>2357.85</v>
      </c>
      <c r="O247">
        <v>1399.25</v>
      </c>
      <c r="P247">
        <v>0.03</v>
      </c>
      <c r="Q247" t="s">
        <v>55</v>
      </c>
    </row>
    <row r="248" spans="1:17" x14ac:dyDescent="0.25">
      <c r="A248">
        <v>1246</v>
      </c>
      <c r="B248" s="1">
        <v>44935</v>
      </c>
      <c r="C248" t="s">
        <v>180</v>
      </c>
      <c r="D248" t="s">
        <v>32</v>
      </c>
      <c r="E248" t="s">
        <v>18</v>
      </c>
      <c r="F248" t="s">
        <v>19</v>
      </c>
      <c r="G248" t="s">
        <v>35</v>
      </c>
      <c r="H248" t="s">
        <v>49</v>
      </c>
      <c r="I248" t="s">
        <v>59</v>
      </c>
      <c r="J248">
        <v>8</v>
      </c>
      <c r="K248">
        <v>997.8</v>
      </c>
      <c r="L248">
        <v>769.86</v>
      </c>
      <c r="M248">
        <v>6226.27</v>
      </c>
      <c r="N248">
        <v>6158.88</v>
      </c>
      <c r="O248">
        <v>67.39</v>
      </c>
      <c r="P248">
        <v>0.22</v>
      </c>
      <c r="Q248" t="s">
        <v>38</v>
      </c>
    </row>
    <row r="249" spans="1:17" x14ac:dyDescent="0.25">
      <c r="A249">
        <v>1247</v>
      </c>
      <c r="B249" s="1">
        <v>45178</v>
      </c>
      <c r="C249" t="s">
        <v>228</v>
      </c>
      <c r="D249" t="s">
        <v>32</v>
      </c>
      <c r="E249" t="s">
        <v>33</v>
      </c>
      <c r="F249" t="s">
        <v>19</v>
      </c>
      <c r="G249" t="s">
        <v>41</v>
      </c>
      <c r="H249" t="s">
        <v>46</v>
      </c>
      <c r="I249" t="s">
        <v>102</v>
      </c>
      <c r="J249">
        <v>1</v>
      </c>
      <c r="K249">
        <v>951.24</v>
      </c>
      <c r="L249">
        <v>476.11</v>
      </c>
      <c r="M249">
        <v>760.99</v>
      </c>
      <c r="N249">
        <v>476.11</v>
      </c>
      <c r="O249">
        <v>284.88</v>
      </c>
      <c r="P249">
        <v>0.2</v>
      </c>
      <c r="Q249" t="s">
        <v>30</v>
      </c>
    </row>
    <row r="250" spans="1:17" x14ac:dyDescent="0.25">
      <c r="A250">
        <v>1248</v>
      </c>
      <c r="B250" s="1">
        <v>45033</v>
      </c>
      <c r="C250" t="s">
        <v>229</v>
      </c>
      <c r="D250" t="s">
        <v>25</v>
      </c>
      <c r="E250" t="s">
        <v>53</v>
      </c>
      <c r="F250" t="s">
        <v>27</v>
      </c>
      <c r="G250" t="s">
        <v>20</v>
      </c>
      <c r="H250" t="s">
        <v>21</v>
      </c>
      <c r="I250" t="s">
        <v>54</v>
      </c>
      <c r="J250">
        <v>2</v>
      </c>
      <c r="K250">
        <v>48.68</v>
      </c>
      <c r="L250">
        <v>28.28</v>
      </c>
      <c r="M250">
        <v>73.02</v>
      </c>
      <c r="N250">
        <v>56.56</v>
      </c>
      <c r="O250">
        <v>16.46</v>
      </c>
      <c r="P250">
        <v>0.25</v>
      </c>
      <c r="Q250" t="s">
        <v>75</v>
      </c>
    </row>
    <row r="251" spans="1:17" x14ac:dyDescent="0.25">
      <c r="A251">
        <v>1249</v>
      </c>
      <c r="B251" s="1">
        <v>45644</v>
      </c>
      <c r="C251" t="s">
        <v>230</v>
      </c>
      <c r="D251" t="s">
        <v>32</v>
      </c>
      <c r="E251" t="s">
        <v>33</v>
      </c>
      <c r="F251" t="s">
        <v>34</v>
      </c>
      <c r="G251" t="s">
        <v>41</v>
      </c>
      <c r="H251" t="s">
        <v>42</v>
      </c>
      <c r="I251" t="s">
        <v>43</v>
      </c>
      <c r="J251">
        <v>7</v>
      </c>
      <c r="K251">
        <v>79.459999999999994</v>
      </c>
      <c r="L251">
        <v>55.52</v>
      </c>
      <c r="M251">
        <v>483.91</v>
      </c>
      <c r="N251">
        <v>388.64</v>
      </c>
      <c r="O251">
        <v>95.27</v>
      </c>
      <c r="P251">
        <v>0.13</v>
      </c>
      <c r="Q251" t="s">
        <v>92</v>
      </c>
    </row>
    <row r="252" spans="1:17" x14ac:dyDescent="0.25">
      <c r="A252">
        <v>1250</v>
      </c>
      <c r="B252" s="1">
        <v>45169</v>
      </c>
      <c r="C252" t="s">
        <v>231</v>
      </c>
      <c r="D252" t="s">
        <v>32</v>
      </c>
      <c r="E252" t="s">
        <v>53</v>
      </c>
      <c r="F252" t="s">
        <v>40</v>
      </c>
      <c r="G252" t="s">
        <v>35</v>
      </c>
      <c r="H252" t="s">
        <v>49</v>
      </c>
      <c r="I252" t="s">
        <v>50</v>
      </c>
      <c r="J252">
        <v>4</v>
      </c>
      <c r="K252">
        <v>79.31</v>
      </c>
      <c r="L252">
        <v>45.28</v>
      </c>
      <c r="M252">
        <v>244.27</v>
      </c>
      <c r="N252">
        <v>181.12</v>
      </c>
      <c r="O252">
        <v>63.15</v>
      </c>
      <c r="P252">
        <v>0.23</v>
      </c>
      <c r="Q252" t="s">
        <v>125</v>
      </c>
    </row>
    <row r="253" spans="1:17" x14ac:dyDescent="0.25">
      <c r="A253">
        <v>1251</v>
      </c>
      <c r="B253" s="1">
        <v>45038</v>
      </c>
      <c r="C253" t="s">
        <v>145</v>
      </c>
      <c r="D253" t="s">
        <v>25</v>
      </c>
      <c r="E253" t="s">
        <v>53</v>
      </c>
      <c r="F253" t="s">
        <v>27</v>
      </c>
      <c r="G253" t="s">
        <v>35</v>
      </c>
      <c r="H253" t="s">
        <v>49</v>
      </c>
      <c r="I253" t="s">
        <v>66</v>
      </c>
      <c r="J253">
        <v>9</v>
      </c>
      <c r="K253">
        <v>361.5</v>
      </c>
      <c r="L253">
        <v>278.22000000000003</v>
      </c>
      <c r="M253">
        <v>2798.01</v>
      </c>
      <c r="N253">
        <v>2503.98</v>
      </c>
      <c r="O253">
        <v>294.02999999999997</v>
      </c>
      <c r="P253">
        <v>0.14000000000000001</v>
      </c>
      <c r="Q253" t="s">
        <v>55</v>
      </c>
    </row>
    <row r="254" spans="1:17" x14ac:dyDescent="0.25">
      <c r="A254">
        <v>1252</v>
      </c>
      <c r="B254" s="1">
        <v>45198</v>
      </c>
      <c r="C254" t="s">
        <v>45</v>
      </c>
      <c r="D254" t="s">
        <v>25</v>
      </c>
      <c r="E254" t="s">
        <v>26</v>
      </c>
      <c r="F254" t="s">
        <v>40</v>
      </c>
      <c r="G254" t="s">
        <v>41</v>
      </c>
      <c r="H254" t="s">
        <v>63</v>
      </c>
      <c r="I254" t="s">
        <v>64</v>
      </c>
      <c r="J254">
        <v>1</v>
      </c>
      <c r="K254">
        <v>218.95</v>
      </c>
      <c r="L254">
        <v>175.12</v>
      </c>
      <c r="M254">
        <v>210.19</v>
      </c>
      <c r="N254">
        <v>175.12</v>
      </c>
      <c r="O254">
        <v>35.07</v>
      </c>
      <c r="P254">
        <v>0.04</v>
      </c>
      <c r="Q254" t="s">
        <v>23</v>
      </c>
    </row>
    <row r="255" spans="1:17" x14ac:dyDescent="0.25">
      <c r="A255">
        <v>1253</v>
      </c>
      <c r="B255" s="1">
        <v>45291</v>
      </c>
      <c r="C255" t="s">
        <v>187</v>
      </c>
      <c r="D255" t="s">
        <v>25</v>
      </c>
      <c r="E255" t="s">
        <v>18</v>
      </c>
      <c r="F255" t="s">
        <v>40</v>
      </c>
      <c r="G255" t="s">
        <v>20</v>
      </c>
      <c r="H255" t="s">
        <v>21</v>
      </c>
      <c r="I255" t="s">
        <v>79</v>
      </c>
      <c r="J255">
        <v>8</v>
      </c>
      <c r="K255">
        <v>558.16999999999996</v>
      </c>
      <c r="L255">
        <v>386.56</v>
      </c>
      <c r="M255">
        <v>4331.3999999999996</v>
      </c>
      <c r="N255">
        <v>3092.48</v>
      </c>
      <c r="O255">
        <v>1238.92</v>
      </c>
      <c r="P255">
        <v>0.03</v>
      </c>
      <c r="Q255" t="s">
        <v>44</v>
      </c>
    </row>
    <row r="256" spans="1:17" x14ac:dyDescent="0.25">
      <c r="A256">
        <v>1254</v>
      </c>
      <c r="B256" s="1">
        <v>45070</v>
      </c>
      <c r="C256" t="s">
        <v>16</v>
      </c>
      <c r="D256" t="s">
        <v>25</v>
      </c>
      <c r="E256" t="s">
        <v>26</v>
      </c>
      <c r="F256" t="s">
        <v>19</v>
      </c>
      <c r="G256" t="s">
        <v>20</v>
      </c>
      <c r="H256" t="s">
        <v>28</v>
      </c>
      <c r="I256" t="s">
        <v>29</v>
      </c>
      <c r="J256">
        <v>2</v>
      </c>
      <c r="K256">
        <v>584.41</v>
      </c>
      <c r="L256">
        <v>345.15</v>
      </c>
      <c r="M256">
        <v>888.3</v>
      </c>
      <c r="N256">
        <v>690.3</v>
      </c>
      <c r="O256">
        <v>198</v>
      </c>
      <c r="P256">
        <v>0.24</v>
      </c>
      <c r="Q256" t="s">
        <v>51</v>
      </c>
    </row>
    <row r="257" spans="1:17" x14ac:dyDescent="0.25">
      <c r="A257">
        <v>1255</v>
      </c>
      <c r="B257" s="1">
        <v>44993</v>
      </c>
      <c r="C257" t="s">
        <v>151</v>
      </c>
      <c r="D257" t="s">
        <v>17</v>
      </c>
      <c r="E257" t="s">
        <v>53</v>
      </c>
      <c r="F257" t="s">
        <v>19</v>
      </c>
      <c r="G257" t="s">
        <v>20</v>
      </c>
      <c r="H257" t="s">
        <v>28</v>
      </c>
      <c r="I257" t="s">
        <v>90</v>
      </c>
      <c r="J257">
        <v>1</v>
      </c>
      <c r="K257">
        <v>942.57</v>
      </c>
      <c r="L257">
        <v>487.99</v>
      </c>
      <c r="M257">
        <v>678.65</v>
      </c>
      <c r="N257">
        <v>487.99</v>
      </c>
      <c r="O257">
        <v>190.66</v>
      </c>
      <c r="P257">
        <v>0.28000000000000003</v>
      </c>
      <c r="Q257" t="s">
        <v>75</v>
      </c>
    </row>
    <row r="258" spans="1:17" x14ac:dyDescent="0.25">
      <c r="A258">
        <v>1256</v>
      </c>
      <c r="B258" s="1">
        <v>45331</v>
      </c>
      <c r="C258" t="s">
        <v>232</v>
      </c>
      <c r="D258" t="s">
        <v>32</v>
      </c>
      <c r="E258" t="s">
        <v>53</v>
      </c>
      <c r="F258" t="s">
        <v>19</v>
      </c>
      <c r="G258" t="s">
        <v>35</v>
      </c>
      <c r="H258" t="s">
        <v>36</v>
      </c>
      <c r="I258" t="s">
        <v>87</v>
      </c>
      <c r="J258">
        <v>5</v>
      </c>
      <c r="K258">
        <v>283.45999999999998</v>
      </c>
      <c r="L258">
        <v>229.38</v>
      </c>
      <c r="M258">
        <v>1403.13</v>
      </c>
      <c r="N258">
        <v>1146.9000000000001</v>
      </c>
      <c r="O258">
        <v>256.23</v>
      </c>
      <c r="P258">
        <v>0.01</v>
      </c>
      <c r="Q258" t="s">
        <v>125</v>
      </c>
    </row>
    <row r="259" spans="1:17" x14ac:dyDescent="0.25">
      <c r="A259">
        <v>1257</v>
      </c>
      <c r="B259" s="1">
        <v>45558</v>
      </c>
      <c r="C259" t="s">
        <v>91</v>
      </c>
      <c r="D259" t="s">
        <v>32</v>
      </c>
      <c r="E259" t="s">
        <v>53</v>
      </c>
      <c r="F259" t="s">
        <v>27</v>
      </c>
      <c r="G259" t="s">
        <v>41</v>
      </c>
      <c r="H259" t="s">
        <v>46</v>
      </c>
      <c r="I259" t="s">
        <v>47</v>
      </c>
      <c r="J259">
        <v>2</v>
      </c>
      <c r="K259">
        <v>283.38</v>
      </c>
      <c r="L259">
        <v>155.30000000000001</v>
      </c>
      <c r="M259">
        <v>532.75</v>
      </c>
      <c r="N259">
        <v>310.60000000000002</v>
      </c>
      <c r="O259">
        <v>222.15</v>
      </c>
      <c r="P259">
        <v>0.06</v>
      </c>
      <c r="Q259" t="s">
        <v>38</v>
      </c>
    </row>
    <row r="260" spans="1:17" x14ac:dyDescent="0.25">
      <c r="A260">
        <v>1258</v>
      </c>
      <c r="B260" s="1">
        <v>45182</v>
      </c>
      <c r="C260" t="s">
        <v>172</v>
      </c>
      <c r="D260" t="s">
        <v>17</v>
      </c>
      <c r="E260" t="s">
        <v>33</v>
      </c>
      <c r="F260" t="s">
        <v>27</v>
      </c>
      <c r="G260" t="s">
        <v>41</v>
      </c>
      <c r="H260" t="s">
        <v>46</v>
      </c>
      <c r="I260" t="s">
        <v>57</v>
      </c>
      <c r="J260">
        <v>9</v>
      </c>
      <c r="K260">
        <v>782.53</v>
      </c>
      <c r="L260">
        <v>485.49</v>
      </c>
      <c r="M260">
        <v>5845.5</v>
      </c>
      <c r="N260">
        <v>4369.41</v>
      </c>
      <c r="O260">
        <v>1476.09</v>
      </c>
      <c r="P260">
        <v>0.17</v>
      </c>
      <c r="Q260" t="s">
        <v>85</v>
      </c>
    </row>
    <row r="261" spans="1:17" x14ac:dyDescent="0.25">
      <c r="A261">
        <v>1259</v>
      </c>
      <c r="B261" s="1">
        <v>45324</v>
      </c>
      <c r="C261" t="s">
        <v>56</v>
      </c>
      <c r="D261" t="s">
        <v>25</v>
      </c>
      <c r="E261" t="s">
        <v>18</v>
      </c>
      <c r="F261" t="s">
        <v>19</v>
      </c>
      <c r="G261" t="s">
        <v>20</v>
      </c>
      <c r="H261" t="s">
        <v>28</v>
      </c>
      <c r="I261" t="s">
        <v>90</v>
      </c>
      <c r="J261">
        <v>8</v>
      </c>
      <c r="K261">
        <v>531.79</v>
      </c>
      <c r="L261">
        <v>408.62</v>
      </c>
      <c r="M261">
        <v>2978.02</v>
      </c>
      <c r="N261">
        <v>3268.96</v>
      </c>
      <c r="O261">
        <v>-290.94</v>
      </c>
      <c r="P261">
        <v>0.3</v>
      </c>
      <c r="Q261" t="s">
        <v>92</v>
      </c>
    </row>
    <row r="262" spans="1:17" x14ac:dyDescent="0.25">
      <c r="A262">
        <v>1260</v>
      </c>
      <c r="B262" s="1">
        <v>45029</v>
      </c>
      <c r="C262" t="s">
        <v>91</v>
      </c>
      <c r="D262" t="s">
        <v>25</v>
      </c>
      <c r="E262" t="s">
        <v>18</v>
      </c>
      <c r="F262" t="s">
        <v>34</v>
      </c>
      <c r="G262" t="s">
        <v>20</v>
      </c>
      <c r="H262" t="s">
        <v>113</v>
      </c>
      <c r="I262" t="s">
        <v>153</v>
      </c>
      <c r="J262">
        <v>6</v>
      </c>
      <c r="K262">
        <v>935.53</v>
      </c>
      <c r="L262">
        <v>792.43</v>
      </c>
      <c r="M262">
        <v>5332.52</v>
      </c>
      <c r="N262">
        <v>4754.58</v>
      </c>
      <c r="O262">
        <v>577.94000000000005</v>
      </c>
      <c r="P262">
        <v>0.05</v>
      </c>
      <c r="Q262" t="s">
        <v>23</v>
      </c>
    </row>
    <row r="263" spans="1:17" x14ac:dyDescent="0.25">
      <c r="A263">
        <v>1261</v>
      </c>
      <c r="B263" s="1">
        <v>45533</v>
      </c>
      <c r="C263" t="s">
        <v>192</v>
      </c>
      <c r="D263" t="s">
        <v>17</v>
      </c>
      <c r="E263" t="s">
        <v>18</v>
      </c>
      <c r="F263" t="s">
        <v>34</v>
      </c>
      <c r="G263" t="s">
        <v>41</v>
      </c>
      <c r="H263" t="s">
        <v>63</v>
      </c>
      <c r="I263" t="s">
        <v>117</v>
      </c>
      <c r="J263">
        <v>10</v>
      </c>
      <c r="K263">
        <v>565.79</v>
      </c>
      <c r="L263">
        <v>394.41</v>
      </c>
      <c r="M263">
        <v>5318.43</v>
      </c>
      <c r="N263">
        <v>3944.1</v>
      </c>
      <c r="O263">
        <v>1374.33</v>
      </c>
      <c r="P263">
        <v>0.06</v>
      </c>
      <c r="Q263" t="s">
        <v>55</v>
      </c>
    </row>
    <row r="264" spans="1:17" x14ac:dyDescent="0.25">
      <c r="A264">
        <v>1262</v>
      </c>
      <c r="B264" s="1">
        <v>45482</v>
      </c>
      <c r="C264" t="s">
        <v>56</v>
      </c>
      <c r="D264" t="s">
        <v>32</v>
      </c>
      <c r="E264" t="s">
        <v>33</v>
      </c>
      <c r="F264" t="s">
        <v>34</v>
      </c>
      <c r="G264" t="s">
        <v>20</v>
      </c>
      <c r="H264" t="s">
        <v>21</v>
      </c>
      <c r="I264" t="s">
        <v>132</v>
      </c>
      <c r="J264">
        <v>1</v>
      </c>
      <c r="K264">
        <v>528.82000000000005</v>
      </c>
      <c r="L264">
        <v>264.54000000000002</v>
      </c>
      <c r="M264">
        <v>380.75</v>
      </c>
      <c r="N264">
        <v>264.54000000000002</v>
      </c>
      <c r="O264">
        <v>116.21</v>
      </c>
      <c r="P264">
        <v>0.28000000000000003</v>
      </c>
      <c r="Q264" t="s">
        <v>23</v>
      </c>
    </row>
    <row r="265" spans="1:17" x14ac:dyDescent="0.25">
      <c r="A265">
        <v>1263</v>
      </c>
      <c r="B265" s="1">
        <v>45060</v>
      </c>
      <c r="C265" t="s">
        <v>123</v>
      </c>
      <c r="D265" t="s">
        <v>25</v>
      </c>
      <c r="E265" t="s">
        <v>18</v>
      </c>
      <c r="F265" t="s">
        <v>34</v>
      </c>
      <c r="G265" t="s">
        <v>20</v>
      </c>
      <c r="H265" t="s">
        <v>21</v>
      </c>
      <c r="I265" t="s">
        <v>132</v>
      </c>
      <c r="J265">
        <v>2</v>
      </c>
      <c r="K265">
        <v>847.25</v>
      </c>
      <c r="L265">
        <v>678.85</v>
      </c>
      <c r="M265">
        <v>1203.0999999999999</v>
      </c>
      <c r="N265">
        <v>1357.7</v>
      </c>
      <c r="O265">
        <v>-154.6</v>
      </c>
      <c r="P265">
        <v>0.28999999999999998</v>
      </c>
      <c r="Q265" t="s">
        <v>85</v>
      </c>
    </row>
    <row r="266" spans="1:17" x14ac:dyDescent="0.25">
      <c r="A266">
        <v>1264</v>
      </c>
      <c r="B266" s="1">
        <v>45648</v>
      </c>
      <c r="C266" t="s">
        <v>160</v>
      </c>
      <c r="D266" t="s">
        <v>17</v>
      </c>
      <c r="E266" t="s">
        <v>33</v>
      </c>
      <c r="F266" t="s">
        <v>40</v>
      </c>
      <c r="G266" t="s">
        <v>35</v>
      </c>
      <c r="H266" t="s">
        <v>49</v>
      </c>
      <c r="I266" t="s">
        <v>66</v>
      </c>
      <c r="J266">
        <v>3</v>
      </c>
      <c r="K266">
        <v>733.69</v>
      </c>
      <c r="L266">
        <v>479.03</v>
      </c>
      <c r="M266">
        <v>1782.87</v>
      </c>
      <c r="N266">
        <v>1437.09</v>
      </c>
      <c r="O266">
        <v>345.78</v>
      </c>
      <c r="P266">
        <v>0.19</v>
      </c>
      <c r="Q266" t="s">
        <v>55</v>
      </c>
    </row>
    <row r="267" spans="1:17" x14ac:dyDescent="0.25">
      <c r="A267">
        <v>1265</v>
      </c>
      <c r="B267" s="1">
        <v>45591</v>
      </c>
      <c r="C267" t="s">
        <v>214</v>
      </c>
      <c r="D267" t="s">
        <v>17</v>
      </c>
      <c r="E267" t="s">
        <v>18</v>
      </c>
      <c r="F267" t="s">
        <v>19</v>
      </c>
      <c r="G267" t="s">
        <v>41</v>
      </c>
      <c r="H267" t="s">
        <v>63</v>
      </c>
      <c r="I267" t="s">
        <v>141</v>
      </c>
      <c r="J267">
        <v>7</v>
      </c>
      <c r="K267">
        <v>310.29000000000002</v>
      </c>
      <c r="L267">
        <v>229.92</v>
      </c>
      <c r="M267">
        <v>2085.15</v>
      </c>
      <c r="N267">
        <v>1609.44</v>
      </c>
      <c r="O267">
        <v>475.71</v>
      </c>
      <c r="P267">
        <v>0.04</v>
      </c>
      <c r="Q267" t="s">
        <v>51</v>
      </c>
    </row>
    <row r="268" spans="1:17" x14ac:dyDescent="0.25">
      <c r="A268">
        <v>1266</v>
      </c>
      <c r="B268" s="1">
        <v>45645</v>
      </c>
      <c r="C268" t="s">
        <v>165</v>
      </c>
      <c r="D268" t="s">
        <v>17</v>
      </c>
      <c r="E268" t="s">
        <v>33</v>
      </c>
      <c r="F268" t="s">
        <v>19</v>
      </c>
      <c r="G268" t="s">
        <v>41</v>
      </c>
      <c r="H268" t="s">
        <v>46</v>
      </c>
      <c r="I268" t="s">
        <v>102</v>
      </c>
      <c r="J268">
        <v>4</v>
      </c>
      <c r="K268">
        <v>641.45000000000005</v>
      </c>
      <c r="L268">
        <v>344.1</v>
      </c>
      <c r="M268">
        <v>2180.9299999999998</v>
      </c>
      <c r="N268">
        <v>1376.4</v>
      </c>
      <c r="O268">
        <v>804.53</v>
      </c>
      <c r="P268">
        <v>0.15</v>
      </c>
      <c r="Q268" t="s">
        <v>85</v>
      </c>
    </row>
    <row r="269" spans="1:17" x14ac:dyDescent="0.25">
      <c r="A269">
        <v>1267</v>
      </c>
      <c r="B269" s="1">
        <v>45006</v>
      </c>
      <c r="C269" t="s">
        <v>208</v>
      </c>
      <c r="D269" t="s">
        <v>32</v>
      </c>
      <c r="E269" t="s">
        <v>26</v>
      </c>
      <c r="F269" t="s">
        <v>34</v>
      </c>
      <c r="G269" t="s">
        <v>41</v>
      </c>
      <c r="H269" t="s">
        <v>63</v>
      </c>
      <c r="I269" t="s">
        <v>64</v>
      </c>
      <c r="J269">
        <v>6</v>
      </c>
      <c r="K269">
        <v>449.4</v>
      </c>
      <c r="L269">
        <v>266.42</v>
      </c>
      <c r="M269">
        <v>2507.65</v>
      </c>
      <c r="N269">
        <v>1598.52</v>
      </c>
      <c r="O269">
        <v>909.13</v>
      </c>
      <c r="P269">
        <v>7.0000000000000007E-2</v>
      </c>
      <c r="Q269" t="s">
        <v>44</v>
      </c>
    </row>
    <row r="270" spans="1:17" x14ac:dyDescent="0.25">
      <c r="A270">
        <v>1268</v>
      </c>
      <c r="B270" s="1">
        <v>45285</v>
      </c>
      <c r="C270" t="s">
        <v>108</v>
      </c>
      <c r="D270" t="s">
        <v>25</v>
      </c>
      <c r="E270" t="s">
        <v>33</v>
      </c>
      <c r="F270" t="s">
        <v>34</v>
      </c>
      <c r="G270" t="s">
        <v>35</v>
      </c>
      <c r="H270" t="s">
        <v>49</v>
      </c>
      <c r="I270" t="s">
        <v>59</v>
      </c>
      <c r="J270">
        <v>7</v>
      </c>
      <c r="K270">
        <v>969.26</v>
      </c>
      <c r="L270">
        <v>784.71</v>
      </c>
      <c r="M270">
        <v>5767.1</v>
      </c>
      <c r="N270">
        <v>5492.97</v>
      </c>
      <c r="O270">
        <v>274.13</v>
      </c>
      <c r="P270">
        <v>0.15</v>
      </c>
      <c r="Q270" t="s">
        <v>75</v>
      </c>
    </row>
    <row r="271" spans="1:17" x14ac:dyDescent="0.25">
      <c r="A271">
        <v>1269</v>
      </c>
      <c r="B271" s="1">
        <v>45286</v>
      </c>
      <c r="C271" t="s">
        <v>96</v>
      </c>
      <c r="D271" t="s">
        <v>25</v>
      </c>
      <c r="E271" t="s">
        <v>53</v>
      </c>
      <c r="F271" t="s">
        <v>19</v>
      </c>
      <c r="G271" t="s">
        <v>20</v>
      </c>
      <c r="H271" t="s">
        <v>28</v>
      </c>
      <c r="I271" t="s">
        <v>90</v>
      </c>
      <c r="J271">
        <v>1</v>
      </c>
      <c r="K271">
        <v>298.43</v>
      </c>
      <c r="L271">
        <v>182.51</v>
      </c>
      <c r="M271">
        <v>211.89</v>
      </c>
      <c r="N271">
        <v>182.51</v>
      </c>
      <c r="O271">
        <v>29.38</v>
      </c>
      <c r="P271">
        <v>0.28999999999999998</v>
      </c>
      <c r="Q271" t="s">
        <v>44</v>
      </c>
    </row>
    <row r="272" spans="1:17" x14ac:dyDescent="0.25">
      <c r="A272">
        <v>1270</v>
      </c>
      <c r="B272" s="1">
        <v>45277</v>
      </c>
      <c r="C272" t="s">
        <v>233</v>
      </c>
      <c r="D272" t="s">
        <v>32</v>
      </c>
      <c r="E272" t="s">
        <v>26</v>
      </c>
      <c r="F272" t="s">
        <v>34</v>
      </c>
      <c r="G272" t="s">
        <v>41</v>
      </c>
      <c r="H272" t="s">
        <v>42</v>
      </c>
      <c r="I272" t="s">
        <v>68</v>
      </c>
      <c r="J272">
        <v>10</v>
      </c>
      <c r="K272">
        <v>985.35</v>
      </c>
      <c r="L272">
        <v>800.72</v>
      </c>
      <c r="M272">
        <v>7784.27</v>
      </c>
      <c r="N272">
        <v>8007.2</v>
      </c>
      <c r="O272">
        <v>-222.93</v>
      </c>
      <c r="P272">
        <v>0.21</v>
      </c>
      <c r="Q272" t="s">
        <v>75</v>
      </c>
    </row>
    <row r="273" spans="1:17" x14ac:dyDescent="0.25">
      <c r="A273">
        <v>1271</v>
      </c>
      <c r="B273" s="1">
        <v>45596</v>
      </c>
      <c r="C273" t="s">
        <v>234</v>
      </c>
      <c r="D273" t="s">
        <v>32</v>
      </c>
      <c r="E273" t="s">
        <v>26</v>
      </c>
      <c r="F273" t="s">
        <v>34</v>
      </c>
      <c r="G273" t="s">
        <v>20</v>
      </c>
      <c r="H273" t="s">
        <v>28</v>
      </c>
      <c r="I273" t="s">
        <v>81</v>
      </c>
      <c r="J273">
        <v>4</v>
      </c>
      <c r="K273">
        <v>412.23</v>
      </c>
      <c r="L273">
        <v>286.06</v>
      </c>
      <c r="M273">
        <v>1187.22</v>
      </c>
      <c r="N273">
        <v>1144.24</v>
      </c>
      <c r="O273">
        <v>42.98</v>
      </c>
      <c r="P273">
        <v>0.28000000000000003</v>
      </c>
      <c r="Q273" t="s">
        <v>38</v>
      </c>
    </row>
    <row r="274" spans="1:17" x14ac:dyDescent="0.25">
      <c r="A274">
        <v>1272</v>
      </c>
      <c r="B274" s="1">
        <v>45198</v>
      </c>
      <c r="C274" t="s">
        <v>235</v>
      </c>
      <c r="D274" t="s">
        <v>32</v>
      </c>
      <c r="E274" t="s">
        <v>26</v>
      </c>
      <c r="F274" t="s">
        <v>34</v>
      </c>
      <c r="G274" t="s">
        <v>20</v>
      </c>
      <c r="H274" t="s">
        <v>28</v>
      </c>
      <c r="I274" t="s">
        <v>61</v>
      </c>
      <c r="J274">
        <v>3</v>
      </c>
      <c r="K274">
        <v>59.23</v>
      </c>
      <c r="L274">
        <v>29.69</v>
      </c>
      <c r="M274">
        <v>172.36</v>
      </c>
      <c r="N274">
        <v>89.07</v>
      </c>
      <c r="O274">
        <v>83.29</v>
      </c>
      <c r="P274">
        <v>0.03</v>
      </c>
      <c r="Q274" t="s">
        <v>125</v>
      </c>
    </row>
    <row r="275" spans="1:17" x14ac:dyDescent="0.25">
      <c r="A275">
        <v>1273</v>
      </c>
      <c r="B275" s="1">
        <v>45418</v>
      </c>
      <c r="C275" t="s">
        <v>236</v>
      </c>
      <c r="D275" t="s">
        <v>25</v>
      </c>
      <c r="E275" t="s">
        <v>26</v>
      </c>
      <c r="F275" t="s">
        <v>19</v>
      </c>
      <c r="G275" t="s">
        <v>41</v>
      </c>
      <c r="H275" t="s">
        <v>46</v>
      </c>
      <c r="I275" t="s">
        <v>47</v>
      </c>
      <c r="J275">
        <v>8</v>
      </c>
      <c r="K275">
        <v>844.55</v>
      </c>
      <c r="L275">
        <v>513.41999999999996</v>
      </c>
      <c r="M275">
        <v>5945.63</v>
      </c>
      <c r="N275">
        <v>4107.3599999999997</v>
      </c>
      <c r="O275">
        <v>1838.27</v>
      </c>
      <c r="P275">
        <v>0.12</v>
      </c>
      <c r="Q275" t="s">
        <v>55</v>
      </c>
    </row>
    <row r="276" spans="1:17" x14ac:dyDescent="0.25">
      <c r="A276">
        <v>1274</v>
      </c>
      <c r="B276" s="1">
        <v>45603</v>
      </c>
      <c r="C276" t="s">
        <v>116</v>
      </c>
      <c r="D276" t="s">
        <v>17</v>
      </c>
      <c r="E276" t="s">
        <v>53</v>
      </c>
      <c r="F276" t="s">
        <v>19</v>
      </c>
      <c r="G276" t="s">
        <v>35</v>
      </c>
      <c r="H276" t="s">
        <v>49</v>
      </c>
      <c r="I276" t="s">
        <v>50</v>
      </c>
      <c r="J276">
        <v>3</v>
      </c>
      <c r="K276">
        <v>448.55</v>
      </c>
      <c r="L276">
        <v>265.61</v>
      </c>
      <c r="M276">
        <v>1157.26</v>
      </c>
      <c r="N276">
        <v>796.83</v>
      </c>
      <c r="O276">
        <v>360.43</v>
      </c>
      <c r="P276">
        <v>0.14000000000000001</v>
      </c>
      <c r="Q276" t="s">
        <v>23</v>
      </c>
    </row>
    <row r="277" spans="1:17" x14ac:dyDescent="0.25">
      <c r="A277">
        <v>1275</v>
      </c>
      <c r="B277" s="1">
        <v>45202</v>
      </c>
      <c r="C277" t="s">
        <v>179</v>
      </c>
      <c r="D277" t="s">
        <v>25</v>
      </c>
      <c r="E277" t="s">
        <v>33</v>
      </c>
      <c r="F277" t="s">
        <v>34</v>
      </c>
      <c r="G277" t="s">
        <v>41</v>
      </c>
      <c r="H277" t="s">
        <v>46</v>
      </c>
      <c r="I277" t="s">
        <v>102</v>
      </c>
      <c r="J277">
        <v>7</v>
      </c>
      <c r="K277">
        <v>970.85</v>
      </c>
      <c r="L277">
        <v>685.81</v>
      </c>
      <c r="M277">
        <v>5640.64</v>
      </c>
      <c r="N277">
        <v>4800.67</v>
      </c>
      <c r="O277">
        <v>839.97</v>
      </c>
      <c r="P277">
        <v>0.17</v>
      </c>
      <c r="Q277" t="s">
        <v>75</v>
      </c>
    </row>
    <row r="278" spans="1:17" x14ac:dyDescent="0.25">
      <c r="A278">
        <v>1276</v>
      </c>
      <c r="B278" s="1">
        <v>45462</v>
      </c>
      <c r="C278" t="s">
        <v>187</v>
      </c>
      <c r="D278" t="s">
        <v>17</v>
      </c>
      <c r="E278" t="s">
        <v>53</v>
      </c>
      <c r="F278" t="s">
        <v>19</v>
      </c>
      <c r="G278" t="s">
        <v>35</v>
      </c>
      <c r="H278" t="s">
        <v>49</v>
      </c>
      <c r="I278" t="s">
        <v>66</v>
      </c>
      <c r="J278">
        <v>7</v>
      </c>
      <c r="K278">
        <v>903.26</v>
      </c>
      <c r="L278">
        <v>677.45</v>
      </c>
      <c r="M278">
        <v>5374.4</v>
      </c>
      <c r="N278">
        <v>4742.1499999999996</v>
      </c>
      <c r="O278">
        <v>632.25</v>
      </c>
      <c r="P278">
        <v>0.15</v>
      </c>
      <c r="Q278" t="s">
        <v>38</v>
      </c>
    </row>
    <row r="279" spans="1:17" x14ac:dyDescent="0.25">
      <c r="A279">
        <v>1277</v>
      </c>
      <c r="B279" s="1">
        <v>45512</v>
      </c>
      <c r="C279" t="s">
        <v>155</v>
      </c>
      <c r="D279" t="s">
        <v>25</v>
      </c>
      <c r="E279" t="s">
        <v>33</v>
      </c>
      <c r="F279" t="s">
        <v>27</v>
      </c>
      <c r="G279" t="s">
        <v>20</v>
      </c>
      <c r="H279" t="s">
        <v>21</v>
      </c>
      <c r="I279" t="s">
        <v>132</v>
      </c>
      <c r="J279">
        <v>4</v>
      </c>
      <c r="K279">
        <v>130.56</v>
      </c>
      <c r="L279">
        <v>84.63</v>
      </c>
      <c r="M279">
        <v>365.57</v>
      </c>
      <c r="N279">
        <v>338.52</v>
      </c>
      <c r="O279">
        <v>27.05</v>
      </c>
      <c r="P279">
        <v>0.3</v>
      </c>
      <c r="Q279" t="s">
        <v>75</v>
      </c>
    </row>
    <row r="280" spans="1:17" x14ac:dyDescent="0.25">
      <c r="A280">
        <v>1278</v>
      </c>
      <c r="B280" s="1">
        <v>45133</v>
      </c>
      <c r="C280" t="s">
        <v>237</v>
      </c>
      <c r="D280" t="s">
        <v>25</v>
      </c>
      <c r="E280" t="s">
        <v>18</v>
      </c>
      <c r="F280" t="s">
        <v>40</v>
      </c>
      <c r="G280" t="s">
        <v>41</v>
      </c>
      <c r="H280" t="s">
        <v>42</v>
      </c>
      <c r="I280" t="s">
        <v>77</v>
      </c>
      <c r="J280">
        <v>7</v>
      </c>
      <c r="K280">
        <v>558.58000000000004</v>
      </c>
      <c r="L280">
        <v>387.22</v>
      </c>
      <c r="M280">
        <v>2893.44</v>
      </c>
      <c r="N280">
        <v>2710.54</v>
      </c>
      <c r="O280">
        <v>182.9</v>
      </c>
      <c r="P280">
        <v>0.26</v>
      </c>
      <c r="Q280" t="s">
        <v>38</v>
      </c>
    </row>
    <row r="281" spans="1:17" x14ac:dyDescent="0.25">
      <c r="A281">
        <v>1279</v>
      </c>
      <c r="B281" s="1">
        <v>45396</v>
      </c>
      <c r="C281" t="s">
        <v>238</v>
      </c>
      <c r="D281" t="s">
        <v>25</v>
      </c>
      <c r="E281" t="s">
        <v>53</v>
      </c>
      <c r="F281" t="s">
        <v>34</v>
      </c>
      <c r="G281" t="s">
        <v>35</v>
      </c>
      <c r="H281" t="s">
        <v>36</v>
      </c>
      <c r="I281" t="s">
        <v>87</v>
      </c>
      <c r="J281">
        <v>10</v>
      </c>
      <c r="K281">
        <v>589.99</v>
      </c>
      <c r="L281">
        <v>451.6</v>
      </c>
      <c r="M281">
        <v>4247.93</v>
      </c>
      <c r="N281">
        <v>4516</v>
      </c>
      <c r="O281">
        <v>-268.07</v>
      </c>
      <c r="P281">
        <v>0.28000000000000003</v>
      </c>
      <c r="Q281" t="s">
        <v>44</v>
      </c>
    </row>
    <row r="282" spans="1:17" x14ac:dyDescent="0.25">
      <c r="A282">
        <v>1280</v>
      </c>
      <c r="B282" s="1">
        <v>45503</v>
      </c>
      <c r="C282" t="s">
        <v>183</v>
      </c>
      <c r="D282" t="s">
        <v>32</v>
      </c>
      <c r="E282" t="s">
        <v>18</v>
      </c>
      <c r="F282" t="s">
        <v>27</v>
      </c>
      <c r="G282" t="s">
        <v>35</v>
      </c>
      <c r="H282" t="s">
        <v>49</v>
      </c>
      <c r="I282" t="s">
        <v>59</v>
      </c>
      <c r="J282">
        <v>8</v>
      </c>
      <c r="K282">
        <v>574.16</v>
      </c>
      <c r="L282">
        <v>382.14</v>
      </c>
      <c r="M282">
        <v>4363.62</v>
      </c>
      <c r="N282">
        <v>3057.12</v>
      </c>
      <c r="O282">
        <v>1306.5</v>
      </c>
      <c r="P282">
        <v>0.05</v>
      </c>
      <c r="Q282" t="s">
        <v>75</v>
      </c>
    </row>
    <row r="283" spans="1:17" x14ac:dyDescent="0.25">
      <c r="A283">
        <v>1281</v>
      </c>
      <c r="B283" s="1">
        <v>45074</v>
      </c>
      <c r="C283" t="s">
        <v>204</v>
      </c>
      <c r="D283" t="s">
        <v>17</v>
      </c>
      <c r="E283" t="s">
        <v>53</v>
      </c>
      <c r="F283" t="s">
        <v>34</v>
      </c>
      <c r="G283" t="s">
        <v>35</v>
      </c>
      <c r="H283" t="s">
        <v>49</v>
      </c>
      <c r="I283" t="s">
        <v>59</v>
      </c>
      <c r="J283">
        <v>4</v>
      </c>
      <c r="K283">
        <v>54.04</v>
      </c>
      <c r="L283">
        <v>36.01</v>
      </c>
      <c r="M283">
        <v>198.87</v>
      </c>
      <c r="N283">
        <v>144.04</v>
      </c>
      <c r="O283">
        <v>54.83</v>
      </c>
      <c r="P283">
        <v>0.08</v>
      </c>
      <c r="Q283" t="s">
        <v>85</v>
      </c>
    </row>
    <row r="284" spans="1:17" x14ac:dyDescent="0.25">
      <c r="A284">
        <v>1282</v>
      </c>
      <c r="B284" s="1">
        <v>44947</v>
      </c>
      <c r="C284" t="s">
        <v>239</v>
      </c>
      <c r="D284" t="s">
        <v>32</v>
      </c>
      <c r="E284" t="s">
        <v>18</v>
      </c>
      <c r="F284" t="s">
        <v>40</v>
      </c>
      <c r="G284" t="s">
        <v>35</v>
      </c>
      <c r="H284" t="s">
        <v>70</v>
      </c>
      <c r="I284" t="s">
        <v>84</v>
      </c>
      <c r="J284">
        <v>2</v>
      </c>
      <c r="K284">
        <v>972.63</v>
      </c>
      <c r="L284">
        <v>563.91999999999996</v>
      </c>
      <c r="M284">
        <v>1770.19</v>
      </c>
      <c r="N284">
        <v>1127.8399999999999</v>
      </c>
      <c r="O284">
        <v>642.35</v>
      </c>
      <c r="P284">
        <v>0.09</v>
      </c>
      <c r="Q284" t="s">
        <v>55</v>
      </c>
    </row>
    <row r="285" spans="1:17" x14ac:dyDescent="0.25">
      <c r="A285">
        <v>1283</v>
      </c>
      <c r="B285" s="1">
        <v>45255</v>
      </c>
      <c r="C285" t="s">
        <v>240</v>
      </c>
      <c r="D285" t="s">
        <v>32</v>
      </c>
      <c r="E285" t="s">
        <v>33</v>
      </c>
      <c r="F285" t="s">
        <v>19</v>
      </c>
      <c r="G285" t="s">
        <v>35</v>
      </c>
      <c r="H285" t="s">
        <v>36</v>
      </c>
      <c r="I285" t="s">
        <v>37</v>
      </c>
      <c r="J285">
        <v>8</v>
      </c>
      <c r="K285">
        <v>760.7</v>
      </c>
      <c r="L285">
        <v>611.23</v>
      </c>
      <c r="M285">
        <v>4564.2</v>
      </c>
      <c r="N285">
        <v>4889.84</v>
      </c>
      <c r="O285">
        <v>-325.64</v>
      </c>
      <c r="P285">
        <v>0.25</v>
      </c>
      <c r="Q285" t="s">
        <v>38</v>
      </c>
    </row>
    <row r="286" spans="1:17" x14ac:dyDescent="0.25">
      <c r="A286">
        <v>1284</v>
      </c>
      <c r="B286" s="1">
        <v>45089</v>
      </c>
      <c r="C286" t="s">
        <v>168</v>
      </c>
      <c r="D286" t="s">
        <v>17</v>
      </c>
      <c r="E286" t="s">
        <v>53</v>
      </c>
      <c r="F286" t="s">
        <v>19</v>
      </c>
      <c r="G286" t="s">
        <v>41</v>
      </c>
      <c r="H286" t="s">
        <v>63</v>
      </c>
      <c r="I286" t="s">
        <v>141</v>
      </c>
      <c r="J286">
        <v>3</v>
      </c>
      <c r="K286">
        <v>196.8</v>
      </c>
      <c r="L286">
        <v>155.77000000000001</v>
      </c>
      <c r="M286">
        <v>442.8</v>
      </c>
      <c r="N286">
        <v>467.31</v>
      </c>
      <c r="O286">
        <v>-24.51</v>
      </c>
      <c r="P286">
        <v>0.25</v>
      </c>
      <c r="Q286" t="s">
        <v>23</v>
      </c>
    </row>
    <row r="287" spans="1:17" x14ac:dyDescent="0.25">
      <c r="A287">
        <v>1285</v>
      </c>
      <c r="B287" s="1">
        <v>44960</v>
      </c>
      <c r="C287" t="s">
        <v>232</v>
      </c>
      <c r="D287" t="s">
        <v>32</v>
      </c>
      <c r="E287" t="s">
        <v>26</v>
      </c>
      <c r="F287" t="s">
        <v>40</v>
      </c>
      <c r="G287" t="s">
        <v>35</v>
      </c>
      <c r="H287" t="s">
        <v>49</v>
      </c>
      <c r="I287" t="s">
        <v>59</v>
      </c>
      <c r="J287">
        <v>7</v>
      </c>
      <c r="K287">
        <v>637.23</v>
      </c>
      <c r="L287">
        <v>346.24</v>
      </c>
      <c r="M287">
        <v>4416</v>
      </c>
      <c r="N287">
        <v>2423.6799999999998</v>
      </c>
      <c r="O287">
        <v>1992.32</v>
      </c>
      <c r="P287">
        <v>0.01</v>
      </c>
      <c r="Q287" t="s">
        <v>85</v>
      </c>
    </row>
    <row r="288" spans="1:17" x14ac:dyDescent="0.25">
      <c r="A288">
        <v>1286</v>
      </c>
      <c r="B288" s="1">
        <v>45427</v>
      </c>
      <c r="C288" t="s">
        <v>82</v>
      </c>
      <c r="D288" t="s">
        <v>25</v>
      </c>
      <c r="E288" t="s">
        <v>53</v>
      </c>
      <c r="F288" t="s">
        <v>40</v>
      </c>
      <c r="G288" t="s">
        <v>35</v>
      </c>
      <c r="H288" t="s">
        <v>36</v>
      </c>
      <c r="I288" t="s">
        <v>37</v>
      </c>
      <c r="J288">
        <v>2</v>
      </c>
      <c r="K288">
        <v>288.64</v>
      </c>
      <c r="L288">
        <v>183.37</v>
      </c>
      <c r="M288">
        <v>548.41999999999996</v>
      </c>
      <c r="N288">
        <v>366.74</v>
      </c>
      <c r="O288">
        <v>181.68</v>
      </c>
      <c r="P288">
        <v>0.05</v>
      </c>
      <c r="Q288" t="s">
        <v>125</v>
      </c>
    </row>
    <row r="289" spans="1:17" x14ac:dyDescent="0.25">
      <c r="A289">
        <v>1287</v>
      </c>
      <c r="B289" s="1">
        <v>45146</v>
      </c>
      <c r="C289" t="s">
        <v>241</v>
      </c>
      <c r="D289" t="s">
        <v>17</v>
      </c>
      <c r="E289" t="s">
        <v>26</v>
      </c>
      <c r="F289" t="s">
        <v>19</v>
      </c>
      <c r="G289" t="s">
        <v>35</v>
      </c>
      <c r="H289" t="s">
        <v>70</v>
      </c>
      <c r="I289" t="s">
        <v>71</v>
      </c>
      <c r="J289">
        <v>9</v>
      </c>
      <c r="K289">
        <v>24.95</v>
      </c>
      <c r="L289">
        <v>19.29</v>
      </c>
      <c r="M289">
        <v>172.9</v>
      </c>
      <c r="N289">
        <v>173.61</v>
      </c>
      <c r="O289">
        <v>-0.71</v>
      </c>
      <c r="P289">
        <v>0.23</v>
      </c>
      <c r="Q289" t="s">
        <v>51</v>
      </c>
    </row>
    <row r="290" spans="1:17" x14ac:dyDescent="0.25">
      <c r="A290">
        <v>1288</v>
      </c>
      <c r="B290" s="1">
        <v>45412</v>
      </c>
      <c r="C290" t="s">
        <v>242</v>
      </c>
      <c r="D290" t="s">
        <v>17</v>
      </c>
      <c r="E290" t="s">
        <v>26</v>
      </c>
      <c r="F290" t="s">
        <v>34</v>
      </c>
      <c r="G290" t="s">
        <v>20</v>
      </c>
      <c r="H290" t="s">
        <v>28</v>
      </c>
      <c r="I290" t="s">
        <v>29</v>
      </c>
      <c r="J290">
        <v>5</v>
      </c>
      <c r="K290">
        <v>426.69</v>
      </c>
      <c r="L290">
        <v>269.57</v>
      </c>
      <c r="M290">
        <v>1920.1</v>
      </c>
      <c r="N290">
        <v>1347.85</v>
      </c>
      <c r="O290">
        <v>572.25</v>
      </c>
      <c r="P290">
        <v>0.1</v>
      </c>
      <c r="Q290" t="s">
        <v>30</v>
      </c>
    </row>
    <row r="291" spans="1:17" x14ac:dyDescent="0.25">
      <c r="A291">
        <v>1289</v>
      </c>
      <c r="B291" s="1">
        <v>45150</v>
      </c>
      <c r="C291" t="s">
        <v>195</v>
      </c>
      <c r="D291" t="s">
        <v>17</v>
      </c>
      <c r="E291" t="s">
        <v>53</v>
      </c>
      <c r="F291" t="s">
        <v>34</v>
      </c>
      <c r="G291" t="s">
        <v>20</v>
      </c>
      <c r="H291" t="s">
        <v>113</v>
      </c>
      <c r="I291" t="s">
        <v>161</v>
      </c>
      <c r="J291">
        <v>6</v>
      </c>
      <c r="K291">
        <v>563.65</v>
      </c>
      <c r="L291">
        <v>398.96</v>
      </c>
      <c r="M291">
        <v>3111.35</v>
      </c>
      <c r="N291">
        <v>2393.7600000000002</v>
      </c>
      <c r="O291">
        <v>717.59</v>
      </c>
      <c r="P291">
        <v>0.08</v>
      </c>
      <c r="Q291" t="s">
        <v>44</v>
      </c>
    </row>
    <row r="292" spans="1:17" x14ac:dyDescent="0.25">
      <c r="A292">
        <v>1290</v>
      </c>
      <c r="B292" s="1">
        <v>45420</v>
      </c>
      <c r="C292" t="s">
        <v>210</v>
      </c>
      <c r="D292" t="s">
        <v>32</v>
      </c>
      <c r="E292" t="s">
        <v>18</v>
      </c>
      <c r="F292" t="s">
        <v>40</v>
      </c>
      <c r="G292" t="s">
        <v>35</v>
      </c>
      <c r="H292" t="s">
        <v>70</v>
      </c>
      <c r="I292" t="s">
        <v>84</v>
      </c>
      <c r="J292">
        <v>5</v>
      </c>
      <c r="K292">
        <v>192.42</v>
      </c>
      <c r="L292">
        <v>131.05000000000001</v>
      </c>
      <c r="M292">
        <v>894.75</v>
      </c>
      <c r="N292">
        <v>655.25</v>
      </c>
      <c r="O292">
        <v>239.5</v>
      </c>
      <c r="P292">
        <v>7.0000000000000007E-2</v>
      </c>
      <c r="Q292" t="s">
        <v>51</v>
      </c>
    </row>
    <row r="293" spans="1:17" x14ac:dyDescent="0.25">
      <c r="A293">
        <v>1291</v>
      </c>
      <c r="B293" s="1">
        <v>45541</v>
      </c>
      <c r="C293" t="s">
        <v>156</v>
      </c>
      <c r="D293" t="s">
        <v>32</v>
      </c>
      <c r="E293" t="s">
        <v>26</v>
      </c>
      <c r="F293" t="s">
        <v>34</v>
      </c>
      <c r="G293" t="s">
        <v>41</v>
      </c>
      <c r="H293" t="s">
        <v>46</v>
      </c>
      <c r="I293" t="s">
        <v>57</v>
      </c>
      <c r="J293">
        <v>5</v>
      </c>
      <c r="K293">
        <v>907.38</v>
      </c>
      <c r="L293">
        <v>582.17999999999995</v>
      </c>
      <c r="M293">
        <v>3538.78</v>
      </c>
      <c r="N293">
        <v>2910.9</v>
      </c>
      <c r="O293">
        <v>627.88</v>
      </c>
      <c r="P293">
        <v>0.22</v>
      </c>
      <c r="Q293" t="s">
        <v>125</v>
      </c>
    </row>
    <row r="294" spans="1:17" x14ac:dyDescent="0.25">
      <c r="A294">
        <v>1292</v>
      </c>
      <c r="B294" s="1">
        <v>45652</v>
      </c>
      <c r="C294" t="s">
        <v>222</v>
      </c>
      <c r="D294" t="s">
        <v>25</v>
      </c>
      <c r="E294" t="s">
        <v>18</v>
      </c>
      <c r="F294" t="s">
        <v>19</v>
      </c>
      <c r="G294" t="s">
        <v>41</v>
      </c>
      <c r="H294" t="s">
        <v>63</v>
      </c>
      <c r="I294" t="s">
        <v>64</v>
      </c>
      <c r="J294">
        <v>8</v>
      </c>
      <c r="K294">
        <v>906.99</v>
      </c>
      <c r="L294">
        <v>666.78</v>
      </c>
      <c r="M294">
        <v>6167.53</v>
      </c>
      <c r="N294">
        <v>5334.24</v>
      </c>
      <c r="O294">
        <v>833.29</v>
      </c>
      <c r="P294">
        <v>0.15</v>
      </c>
      <c r="Q294" t="s">
        <v>92</v>
      </c>
    </row>
    <row r="295" spans="1:17" x14ac:dyDescent="0.25">
      <c r="A295">
        <v>1293</v>
      </c>
      <c r="B295" s="1">
        <v>45600</v>
      </c>
      <c r="C295" t="s">
        <v>186</v>
      </c>
      <c r="D295" t="s">
        <v>25</v>
      </c>
      <c r="E295" t="s">
        <v>18</v>
      </c>
      <c r="F295" t="s">
        <v>34</v>
      </c>
      <c r="G295" t="s">
        <v>35</v>
      </c>
      <c r="H295" t="s">
        <v>36</v>
      </c>
      <c r="I295" t="s">
        <v>100</v>
      </c>
      <c r="J295">
        <v>5</v>
      </c>
      <c r="K295">
        <v>726.56</v>
      </c>
      <c r="L295">
        <v>505.44</v>
      </c>
      <c r="M295">
        <v>2651.94</v>
      </c>
      <c r="N295">
        <v>2527.1999999999998</v>
      </c>
      <c r="O295">
        <v>124.74</v>
      </c>
      <c r="P295">
        <v>0.27</v>
      </c>
      <c r="Q295" t="s">
        <v>85</v>
      </c>
    </row>
    <row r="296" spans="1:17" x14ac:dyDescent="0.25">
      <c r="A296">
        <v>1294</v>
      </c>
      <c r="B296" s="1">
        <v>45597</v>
      </c>
      <c r="C296" t="s">
        <v>126</v>
      </c>
      <c r="D296" t="s">
        <v>32</v>
      </c>
      <c r="E296" t="s">
        <v>26</v>
      </c>
      <c r="F296" t="s">
        <v>40</v>
      </c>
      <c r="G296" t="s">
        <v>35</v>
      </c>
      <c r="H296" t="s">
        <v>49</v>
      </c>
      <c r="I296" t="s">
        <v>50</v>
      </c>
      <c r="J296">
        <v>5</v>
      </c>
      <c r="K296">
        <v>587.64</v>
      </c>
      <c r="L296">
        <v>389.2</v>
      </c>
      <c r="M296">
        <v>2820.67</v>
      </c>
      <c r="N296">
        <v>1946</v>
      </c>
      <c r="O296">
        <v>874.67</v>
      </c>
      <c r="P296">
        <v>0.04</v>
      </c>
      <c r="Q296" t="s">
        <v>51</v>
      </c>
    </row>
    <row r="297" spans="1:17" x14ac:dyDescent="0.25">
      <c r="A297">
        <v>1295</v>
      </c>
      <c r="B297" s="1">
        <v>45576</v>
      </c>
      <c r="C297" t="s">
        <v>204</v>
      </c>
      <c r="D297" t="s">
        <v>17</v>
      </c>
      <c r="E297" t="s">
        <v>33</v>
      </c>
      <c r="F297" t="s">
        <v>27</v>
      </c>
      <c r="G297" t="s">
        <v>20</v>
      </c>
      <c r="H297" t="s">
        <v>113</v>
      </c>
      <c r="I297" t="s">
        <v>114</v>
      </c>
      <c r="J297">
        <v>7</v>
      </c>
      <c r="K297">
        <v>532.19000000000005</v>
      </c>
      <c r="L297">
        <v>343.04</v>
      </c>
      <c r="M297">
        <v>2756.74</v>
      </c>
      <c r="N297">
        <v>2401.2800000000002</v>
      </c>
      <c r="O297">
        <v>355.46</v>
      </c>
      <c r="P297">
        <v>0.26</v>
      </c>
      <c r="Q297" t="s">
        <v>92</v>
      </c>
    </row>
    <row r="298" spans="1:17" x14ac:dyDescent="0.25">
      <c r="A298">
        <v>1296</v>
      </c>
      <c r="B298" s="1">
        <v>45067</v>
      </c>
      <c r="C298" t="s">
        <v>208</v>
      </c>
      <c r="D298" t="s">
        <v>32</v>
      </c>
      <c r="E298" t="s">
        <v>53</v>
      </c>
      <c r="F298" t="s">
        <v>19</v>
      </c>
      <c r="G298" t="s">
        <v>35</v>
      </c>
      <c r="H298" t="s">
        <v>70</v>
      </c>
      <c r="I298" t="s">
        <v>98</v>
      </c>
      <c r="J298">
        <v>2</v>
      </c>
      <c r="K298">
        <v>490.14</v>
      </c>
      <c r="L298">
        <v>353.32</v>
      </c>
      <c r="M298">
        <v>931.27</v>
      </c>
      <c r="N298">
        <v>706.64</v>
      </c>
      <c r="O298">
        <v>224.63</v>
      </c>
      <c r="P298">
        <v>0.05</v>
      </c>
      <c r="Q298" t="s">
        <v>51</v>
      </c>
    </row>
    <row r="299" spans="1:17" x14ac:dyDescent="0.25">
      <c r="A299">
        <v>1297</v>
      </c>
      <c r="B299" s="1">
        <v>44931</v>
      </c>
      <c r="C299" t="s">
        <v>195</v>
      </c>
      <c r="D299" t="s">
        <v>25</v>
      </c>
      <c r="E299" t="s">
        <v>26</v>
      </c>
      <c r="F299" t="s">
        <v>19</v>
      </c>
      <c r="G299" t="s">
        <v>35</v>
      </c>
      <c r="H299" t="s">
        <v>36</v>
      </c>
      <c r="I299" t="s">
        <v>87</v>
      </c>
      <c r="J299">
        <v>10</v>
      </c>
      <c r="K299">
        <v>436.54</v>
      </c>
      <c r="L299">
        <v>283.88</v>
      </c>
      <c r="M299">
        <v>3797.9</v>
      </c>
      <c r="N299">
        <v>2838.8</v>
      </c>
      <c r="O299">
        <v>959.1</v>
      </c>
      <c r="P299">
        <v>0.13</v>
      </c>
      <c r="Q299" t="s">
        <v>55</v>
      </c>
    </row>
    <row r="300" spans="1:17" x14ac:dyDescent="0.25">
      <c r="A300">
        <v>1298</v>
      </c>
      <c r="B300" s="1">
        <v>45319</v>
      </c>
      <c r="C300" t="s">
        <v>124</v>
      </c>
      <c r="D300" t="s">
        <v>17</v>
      </c>
      <c r="E300" t="s">
        <v>26</v>
      </c>
      <c r="F300" t="s">
        <v>40</v>
      </c>
      <c r="G300" t="s">
        <v>20</v>
      </c>
      <c r="H300" t="s">
        <v>28</v>
      </c>
      <c r="I300" t="s">
        <v>81</v>
      </c>
      <c r="J300">
        <v>1</v>
      </c>
      <c r="K300">
        <v>678.36</v>
      </c>
      <c r="L300">
        <v>487.97</v>
      </c>
      <c r="M300">
        <v>630.87</v>
      </c>
      <c r="N300">
        <v>487.97</v>
      </c>
      <c r="O300">
        <v>142.9</v>
      </c>
      <c r="P300">
        <v>7.0000000000000007E-2</v>
      </c>
      <c r="Q300" t="s">
        <v>85</v>
      </c>
    </row>
    <row r="301" spans="1:17" x14ac:dyDescent="0.25">
      <c r="A301">
        <v>1299</v>
      </c>
      <c r="B301" s="1">
        <v>45246</v>
      </c>
      <c r="C301" t="s">
        <v>145</v>
      </c>
      <c r="D301" t="s">
        <v>32</v>
      </c>
      <c r="E301" t="s">
        <v>18</v>
      </c>
      <c r="F301" t="s">
        <v>19</v>
      </c>
      <c r="G301" t="s">
        <v>20</v>
      </c>
      <c r="H301" t="s">
        <v>21</v>
      </c>
      <c r="I301" t="s">
        <v>54</v>
      </c>
      <c r="J301">
        <v>5</v>
      </c>
      <c r="K301">
        <v>458.65</v>
      </c>
      <c r="L301">
        <v>312.85000000000002</v>
      </c>
      <c r="M301">
        <v>1926.33</v>
      </c>
      <c r="N301">
        <v>1564.25</v>
      </c>
      <c r="O301">
        <v>362.08</v>
      </c>
      <c r="P301">
        <v>0.16</v>
      </c>
      <c r="Q301" t="s">
        <v>75</v>
      </c>
    </row>
    <row r="302" spans="1:17" x14ac:dyDescent="0.25">
      <c r="A302">
        <v>1300</v>
      </c>
      <c r="B302" s="1">
        <v>45630</v>
      </c>
      <c r="C302" t="s">
        <v>216</v>
      </c>
      <c r="D302" t="s">
        <v>32</v>
      </c>
      <c r="E302" t="s">
        <v>18</v>
      </c>
      <c r="F302" t="s">
        <v>19</v>
      </c>
      <c r="G302" t="s">
        <v>20</v>
      </c>
      <c r="H302" t="s">
        <v>28</v>
      </c>
      <c r="I302" t="s">
        <v>90</v>
      </c>
      <c r="J302">
        <v>4</v>
      </c>
      <c r="K302">
        <v>228.2</v>
      </c>
      <c r="L302">
        <v>192.76</v>
      </c>
      <c r="M302">
        <v>858.03</v>
      </c>
      <c r="N302">
        <v>771.04</v>
      </c>
      <c r="O302">
        <v>86.99</v>
      </c>
      <c r="P302">
        <v>0.06</v>
      </c>
      <c r="Q302" t="s">
        <v>51</v>
      </c>
    </row>
    <row r="303" spans="1:17" x14ac:dyDescent="0.25">
      <c r="A303">
        <v>1301</v>
      </c>
      <c r="B303" s="1">
        <v>45530</v>
      </c>
      <c r="C303" t="s">
        <v>243</v>
      </c>
      <c r="D303" t="s">
        <v>25</v>
      </c>
      <c r="E303" t="s">
        <v>18</v>
      </c>
      <c r="F303" t="s">
        <v>34</v>
      </c>
      <c r="G303" t="s">
        <v>35</v>
      </c>
      <c r="H303" t="s">
        <v>70</v>
      </c>
      <c r="I303" t="s">
        <v>71</v>
      </c>
      <c r="J303">
        <v>9</v>
      </c>
      <c r="K303">
        <v>625.02</v>
      </c>
      <c r="L303">
        <v>442.44</v>
      </c>
      <c r="M303">
        <v>5568.93</v>
      </c>
      <c r="N303">
        <v>3981.96</v>
      </c>
      <c r="O303">
        <v>1586.97</v>
      </c>
      <c r="P303">
        <v>0.01</v>
      </c>
      <c r="Q303" t="s">
        <v>44</v>
      </c>
    </row>
    <row r="304" spans="1:17" x14ac:dyDescent="0.25">
      <c r="A304">
        <v>1302</v>
      </c>
      <c r="B304" s="1">
        <v>45596</v>
      </c>
      <c r="C304" t="s">
        <v>52</v>
      </c>
      <c r="D304" t="s">
        <v>25</v>
      </c>
      <c r="E304" t="s">
        <v>33</v>
      </c>
      <c r="F304" t="s">
        <v>27</v>
      </c>
      <c r="G304" t="s">
        <v>35</v>
      </c>
      <c r="H304" t="s">
        <v>49</v>
      </c>
      <c r="I304" t="s">
        <v>66</v>
      </c>
      <c r="J304">
        <v>9</v>
      </c>
      <c r="K304">
        <v>256.47000000000003</v>
      </c>
      <c r="L304">
        <v>191.24</v>
      </c>
      <c r="M304">
        <v>2169.7399999999998</v>
      </c>
      <c r="N304">
        <v>1721.16</v>
      </c>
      <c r="O304">
        <v>448.58</v>
      </c>
      <c r="P304">
        <v>0.06</v>
      </c>
      <c r="Q304" t="s">
        <v>51</v>
      </c>
    </row>
    <row r="305" spans="1:17" x14ac:dyDescent="0.25">
      <c r="A305">
        <v>1303</v>
      </c>
      <c r="B305" s="1">
        <v>45235</v>
      </c>
      <c r="C305" t="s">
        <v>156</v>
      </c>
      <c r="D305" t="s">
        <v>25</v>
      </c>
      <c r="E305" t="s">
        <v>18</v>
      </c>
      <c r="F305" t="s">
        <v>19</v>
      </c>
      <c r="G305" t="s">
        <v>35</v>
      </c>
      <c r="H305" t="s">
        <v>36</v>
      </c>
      <c r="I305" t="s">
        <v>100</v>
      </c>
      <c r="J305">
        <v>10</v>
      </c>
      <c r="K305">
        <v>122.15</v>
      </c>
      <c r="L305">
        <v>65.95</v>
      </c>
      <c r="M305">
        <v>1184.8599999999999</v>
      </c>
      <c r="N305">
        <v>659.5</v>
      </c>
      <c r="O305">
        <v>525.36</v>
      </c>
      <c r="P305">
        <v>0.03</v>
      </c>
      <c r="Q305" t="s">
        <v>23</v>
      </c>
    </row>
    <row r="306" spans="1:17" x14ac:dyDescent="0.25">
      <c r="A306">
        <v>1304</v>
      </c>
      <c r="B306" s="1">
        <v>45550</v>
      </c>
      <c r="C306" t="s">
        <v>31</v>
      </c>
      <c r="D306" t="s">
        <v>32</v>
      </c>
      <c r="E306" t="s">
        <v>26</v>
      </c>
      <c r="F306" t="s">
        <v>40</v>
      </c>
      <c r="G306" t="s">
        <v>41</v>
      </c>
      <c r="H306" t="s">
        <v>46</v>
      </c>
      <c r="I306" t="s">
        <v>57</v>
      </c>
      <c r="J306">
        <v>3</v>
      </c>
      <c r="K306">
        <v>44.21</v>
      </c>
      <c r="L306">
        <v>29.79</v>
      </c>
      <c r="M306">
        <v>124.67</v>
      </c>
      <c r="N306">
        <v>89.37</v>
      </c>
      <c r="O306">
        <v>35.299999999999997</v>
      </c>
      <c r="P306">
        <v>0.06</v>
      </c>
      <c r="Q306" t="s">
        <v>55</v>
      </c>
    </row>
    <row r="307" spans="1:17" x14ac:dyDescent="0.25">
      <c r="A307">
        <v>1305</v>
      </c>
      <c r="B307" s="1">
        <v>45265</v>
      </c>
      <c r="C307" t="s">
        <v>178</v>
      </c>
      <c r="D307" t="s">
        <v>25</v>
      </c>
      <c r="E307" t="s">
        <v>33</v>
      </c>
      <c r="F307" t="s">
        <v>34</v>
      </c>
      <c r="G307" t="s">
        <v>41</v>
      </c>
      <c r="H307" t="s">
        <v>63</v>
      </c>
      <c r="I307" t="s">
        <v>117</v>
      </c>
      <c r="J307">
        <v>3</v>
      </c>
      <c r="K307">
        <v>949.7</v>
      </c>
      <c r="L307">
        <v>733.96</v>
      </c>
      <c r="M307">
        <v>2792.12</v>
      </c>
      <c r="N307">
        <v>2201.88</v>
      </c>
      <c r="O307">
        <v>590.24</v>
      </c>
      <c r="P307">
        <v>0.02</v>
      </c>
      <c r="Q307" t="s">
        <v>44</v>
      </c>
    </row>
    <row r="308" spans="1:17" x14ac:dyDescent="0.25">
      <c r="A308">
        <v>1306</v>
      </c>
      <c r="B308" s="1">
        <v>45189</v>
      </c>
      <c r="C308" t="s">
        <v>244</v>
      </c>
      <c r="D308" t="s">
        <v>32</v>
      </c>
      <c r="E308" t="s">
        <v>18</v>
      </c>
      <c r="F308" t="s">
        <v>40</v>
      </c>
      <c r="G308" t="s">
        <v>35</v>
      </c>
      <c r="H308" t="s">
        <v>36</v>
      </c>
      <c r="I308" t="s">
        <v>87</v>
      </c>
      <c r="J308">
        <v>3</v>
      </c>
      <c r="K308">
        <v>874.77</v>
      </c>
      <c r="L308">
        <v>698.32</v>
      </c>
      <c r="M308">
        <v>2335.64</v>
      </c>
      <c r="N308">
        <v>2094.96</v>
      </c>
      <c r="O308">
        <v>240.68</v>
      </c>
      <c r="P308">
        <v>0.11</v>
      </c>
      <c r="Q308" t="s">
        <v>85</v>
      </c>
    </row>
    <row r="309" spans="1:17" x14ac:dyDescent="0.25">
      <c r="A309">
        <v>1307</v>
      </c>
      <c r="B309" s="1">
        <v>45363</v>
      </c>
      <c r="C309" t="s">
        <v>60</v>
      </c>
      <c r="D309" t="s">
        <v>25</v>
      </c>
      <c r="E309" t="s">
        <v>33</v>
      </c>
      <c r="F309" t="s">
        <v>34</v>
      </c>
      <c r="G309" t="s">
        <v>20</v>
      </c>
      <c r="H309" t="s">
        <v>113</v>
      </c>
      <c r="I309" t="s">
        <v>161</v>
      </c>
      <c r="J309">
        <v>3</v>
      </c>
      <c r="K309">
        <v>332.02</v>
      </c>
      <c r="L309">
        <v>269.95999999999998</v>
      </c>
      <c r="M309">
        <v>707.2</v>
      </c>
      <c r="N309">
        <v>809.88</v>
      </c>
      <c r="O309">
        <v>-102.68</v>
      </c>
      <c r="P309">
        <v>0.28999999999999998</v>
      </c>
      <c r="Q309" t="s">
        <v>30</v>
      </c>
    </row>
    <row r="310" spans="1:17" x14ac:dyDescent="0.25">
      <c r="A310">
        <v>1308</v>
      </c>
      <c r="B310" s="1">
        <v>45022</v>
      </c>
      <c r="C310" t="s">
        <v>239</v>
      </c>
      <c r="D310" t="s">
        <v>32</v>
      </c>
      <c r="E310" t="s">
        <v>26</v>
      </c>
      <c r="F310" t="s">
        <v>34</v>
      </c>
      <c r="G310" t="s">
        <v>35</v>
      </c>
      <c r="H310" t="s">
        <v>49</v>
      </c>
      <c r="I310" t="s">
        <v>50</v>
      </c>
      <c r="J310">
        <v>5</v>
      </c>
      <c r="K310">
        <v>836.53</v>
      </c>
      <c r="L310">
        <v>620.26</v>
      </c>
      <c r="M310">
        <v>3597.08</v>
      </c>
      <c r="N310">
        <v>3101.3</v>
      </c>
      <c r="O310">
        <v>495.78</v>
      </c>
      <c r="P310">
        <v>0.14000000000000001</v>
      </c>
      <c r="Q310" t="s">
        <v>75</v>
      </c>
    </row>
    <row r="311" spans="1:17" x14ac:dyDescent="0.25">
      <c r="A311">
        <v>1309</v>
      </c>
      <c r="B311" s="1">
        <v>45591</v>
      </c>
      <c r="C311" t="s">
        <v>245</v>
      </c>
      <c r="D311" t="s">
        <v>25</v>
      </c>
      <c r="E311" t="s">
        <v>33</v>
      </c>
      <c r="F311" t="s">
        <v>19</v>
      </c>
      <c r="G311" t="s">
        <v>41</v>
      </c>
      <c r="H311" t="s">
        <v>63</v>
      </c>
      <c r="I311" t="s">
        <v>141</v>
      </c>
      <c r="J311">
        <v>3</v>
      </c>
      <c r="K311">
        <v>108.19</v>
      </c>
      <c r="L311">
        <v>88.6</v>
      </c>
      <c r="M311">
        <v>279.13</v>
      </c>
      <c r="N311">
        <v>265.8</v>
      </c>
      <c r="O311">
        <v>13.33</v>
      </c>
      <c r="P311">
        <v>0.14000000000000001</v>
      </c>
      <c r="Q311" t="s">
        <v>125</v>
      </c>
    </row>
    <row r="312" spans="1:17" x14ac:dyDescent="0.25">
      <c r="A312">
        <v>1310</v>
      </c>
      <c r="B312" s="1">
        <v>45621</v>
      </c>
      <c r="C312" t="s">
        <v>246</v>
      </c>
      <c r="D312" t="s">
        <v>17</v>
      </c>
      <c r="E312" t="s">
        <v>53</v>
      </c>
      <c r="F312" t="s">
        <v>40</v>
      </c>
      <c r="G312" t="s">
        <v>41</v>
      </c>
      <c r="H312" t="s">
        <v>42</v>
      </c>
      <c r="I312" t="s">
        <v>43</v>
      </c>
      <c r="J312">
        <v>3</v>
      </c>
      <c r="K312">
        <v>485.66</v>
      </c>
      <c r="L312">
        <v>325.8</v>
      </c>
      <c r="M312">
        <v>1063.5999999999999</v>
      </c>
      <c r="N312">
        <v>977.4</v>
      </c>
      <c r="O312">
        <v>86.2</v>
      </c>
      <c r="P312">
        <v>0.27</v>
      </c>
      <c r="Q312" t="s">
        <v>55</v>
      </c>
    </row>
    <row r="313" spans="1:17" x14ac:dyDescent="0.25">
      <c r="A313">
        <v>1311</v>
      </c>
      <c r="B313" s="1">
        <v>44974</v>
      </c>
      <c r="C313" t="s">
        <v>168</v>
      </c>
      <c r="D313" t="s">
        <v>17</v>
      </c>
      <c r="E313" t="s">
        <v>18</v>
      </c>
      <c r="F313" t="s">
        <v>34</v>
      </c>
      <c r="G313" t="s">
        <v>41</v>
      </c>
      <c r="H313" t="s">
        <v>63</v>
      </c>
      <c r="I313" t="s">
        <v>64</v>
      </c>
      <c r="J313">
        <v>10</v>
      </c>
      <c r="K313">
        <v>725.15</v>
      </c>
      <c r="L313">
        <v>419.42</v>
      </c>
      <c r="M313">
        <v>5148.5600000000004</v>
      </c>
      <c r="N313">
        <v>4194.2</v>
      </c>
      <c r="O313">
        <v>954.36</v>
      </c>
      <c r="P313">
        <v>0.28999999999999998</v>
      </c>
      <c r="Q313" t="s">
        <v>85</v>
      </c>
    </row>
    <row r="314" spans="1:17" x14ac:dyDescent="0.25">
      <c r="A314">
        <v>1312</v>
      </c>
      <c r="B314" s="1">
        <v>45458</v>
      </c>
      <c r="C314" t="s">
        <v>164</v>
      </c>
      <c r="D314" t="s">
        <v>17</v>
      </c>
      <c r="E314" t="s">
        <v>33</v>
      </c>
      <c r="F314" t="s">
        <v>27</v>
      </c>
      <c r="G314" t="s">
        <v>41</v>
      </c>
      <c r="H314" t="s">
        <v>63</v>
      </c>
      <c r="I314" t="s">
        <v>141</v>
      </c>
      <c r="J314">
        <v>8</v>
      </c>
      <c r="K314">
        <v>349.02</v>
      </c>
      <c r="L314">
        <v>257.12</v>
      </c>
      <c r="M314">
        <v>2457.1</v>
      </c>
      <c r="N314">
        <v>2056.96</v>
      </c>
      <c r="O314">
        <v>400.14</v>
      </c>
      <c r="P314">
        <v>0.12</v>
      </c>
      <c r="Q314" t="s">
        <v>38</v>
      </c>
    </row>
    <row r="315" spans="1:17" x14ac:dyDescent="0.25">
      <c r="A315">
        <v>1313</v>
      </c>
      <c r="B315" s="1">
        <v>45554</v>
      </c>
      <c r="C315" t="s">
        <v>124</v>
      </c>
      <c r="D315" t="s">
        <v>17</v>
      </c>
      <c r="E315" t="s">
        <v>26</v>
      </c>
      <c r="F315" t="s">
        <v>27</v>
      </c>
      <c r="G315" t="s">
        <v>35</v>
      </c>
      <c r="H315" t="s">
        <v>36</v>
      </c>
      <c r="I315" t="s">
        <v>87</v>
      </c>
      <c r="J315">
        <v>8</v>
      </c>
      <c r="K315">
        <v>324.02999999999997</v>
      </c>
      <c r="L315">
        <v>199.54</v>
      </c>
      <c r="M315">
        <v>2384.86</v>
      </c>
      <c r="N315">
        <v>1596.32</v>
      </c>
      <c r="O315">
        <v>788.54</v>
      </c>
      <c r="P315">
        <v>0.08</v>
      </c>
      <c r="Q315" t="s">
        <v>38</v>
      </c>
    </row>
    <row r="316" spans="1:17" x14ac:dyDescent="0.25">
      <c r="A316">
        <v>1314</v>
      </c>
      <c r="B316" s="1">
        <v>45155</v>
      </c>
      <c r="C316" t="s">
        <v>247</v>
      </c>
      <c r="D316" t="s">
        <v>32</v>
      </c>
      <c r="E316" t="s">
        <v>53</v>
      </c>
      <c r="F316" t="s">
        <v>19</v>
      </c>
      <c r="G316" t="s">
        <v>20</v>
      </c>
      <c r="H316" t="s">
        <v>28</v>
      </c>
      <c r="I316" t="s">
        <v>61</v>
      </c>
      <c r="J316">
        <v>10</v>
      </c>
      <c r="K316">
        <v>450.86</v>
      </c>
      <c r="L316">
        <v>360.6</v>
      </c>
      <c r="M316">
        <v>3922.48</v>
      </c>
      <c r="N316">
        <v>3606</v>
      </c>
      <c r="O316">
        <v>316.48</v>
      </c>
      <c r="P316">
        <v>0.13</v>
      </c>
      <c r="Q316" t="s">
        <v>44</v>
      </c>
    </row>
    <row r="317" spans="1:17" x14ac:dyDescent="0.25">
      <c r="A317">
        <v>1315</v>
      </c>
      <c r="B317" s="1">
        <v>45436</v>
      </c>
      <c r="C317" t="s">
        <v>248</v>
      </c>
      <c r="D317" t="s">
        <v>25</v>
      </c>
      <c r="E317" t="s">
        <v>33</v>
      </c>
      <c r="F317" t="s">
        <v>27</v>
      </c>
      <c r="G317" t="s">
        <v>35</v>
      </c>
      <c r="H317" t="s">
        <v>36</v>
      </c>
      <c r="I317" t="s">
        <v>100</v>
      </c>
      <c r="J317">
        <v>9</v>
      </c>
      <c r="K317">
        <v>5.17</v>
      </c>
      <c r="L317">
        <v>2.75</v>
      </c>
      <c r="M317">
        <v>38.15</v>
      </c>
      <c r="N317">
        <v>24.75</v>
      </c>
      <c r="O317">
        <v>13.4</v>
      </c>
      <c r="P317">
        <v>0.18</v>
      </c>
      <c r="Q317" t="s">
        <v>125</v>
      </c>
    </row>
    <row r="318" spans="1:17" x14ac:dyDescent="0.25">
      <c r="A318">
        <v>1316</v>
      </c>
      <c r="B318" s="1">
        <v>45579</v>
      </c>
      <c r="C318" t="s">
        <v>144</v>
      </c>
      <c r="D318" t="s">
        <v>17</v>
      </c>
      <c r="E318" t="s">
        <v>26</v>
      </c>
      <c r="F318" t="s">
        <v>27</v>
      </c>
      <c r="G318" t="s">
        <v>35</v>
      </c>
      <c r="H318" t="s">
        <v>49</v>
      </c>
      <c r="I318" t="s">
        <v>66</v>
      </c>
      <c r="J318">
        <v>4</v>
      </c>
      <c r="K318">
        <v>845.1</v>
      </c>
      <c r="L318">
        <v>520.74</v>
      </c>
      <c r="M318">
        <v>2602.91</v>
      </c>
      <c r="N318">
        <v>2082.96</v>
      </c>
      <c r="O318">
        <v>519.95000000000005</v>
      </c>
      <c r="P318">
        <v>0.23</v>
      </c>
      <c r="Q318" t="s">
        <v>125</v>
      </c>
    </row>
    <row r="319" spans="1:17" x14ac:dyDescent="0.25">
      <c r="A319">
        <v>1317</v>
      </c>
      <c r="B319" s="1">
        <v>45411</v>
      </c>
      <c r="C319" t="s">
        <v>248</v>
      </c>
      <c r="D319" t="s">
        <v>32</v>
      </c>
      <c r="E319" t="s">
        <v>53</v>
      </c>
      <c r="F319" t="s">
        <v>34</v>
      </c>
      <c r="G319" t="s">
        <v>20</v>
      </c>
      <c r="H319" t="s">
        <v>113</v>
      </c>
      <c r="I319" t="s">
        <v>114</v>
      </c>
      <c r="J319">
        <v>1</v>
      </c>
      <c r="K319">
        <v>344.65</v>
      </c>
      <c r="L319">
        <v>272.43</v>
      </c>
      <c r="M319">
        <v>244.7</v>
      </c>
      <c r="N319">
        <v>272.43</v>
      </c>
      <c r="O319">
        <v>-27.73</v>
      </c>
      <c r="P319">
        <v>0.28999999999999998</v>
      </c>
      <c r="Q319" t="s">
        <v>30</v>
      </c>
    </row>
    <row r="320" spans="1:17" x14ac:dyDescent="0.25">
      <c r="A320">
        <v>1318</v>
      </c>
      <c r="B320" s="1">
        <v>45487</v>
      </c>
      <c r="C320" t="s">
        <v>249</v>
      </c>
      <c r="D320" t="s">
        <v>17</v>
      </c>
      <c r="E320" t="s">
        <v>33</v>
      </c>
      <c r="F320" t="s">
        <v>34</v>
      </c>
      <c r="G320" t="s">
        <v>20</v>
      </c>
      <c r="H320" t="s">
        <v>28</v>
      </c>
      <c r="I320" t="s">
        <v>81</v>
      </c>
      <c r="J320">
        <v>7</v>
      </c>
      <c r="K320">
        <v>111.43</v>
      </c>
      <c r="L320">
        <v>79.540000000000006</v>
      </c>
      <c r="M320">
        <v>733.21</v>
      </c>
      <c r="N320">
        <v>556.78</v>
      </c>
      <c r="O320">
        <v>176.43</v>
      </c>
      <c r="P320">
        <v>0.06</v>
      </c>
      <c r="Q320" t="s">
        <v>75</v>
      </c>
    </row>
    <row r="321" spans="1:17" x14ac:dyDescent="0.25">
      <c r="A321">
        <v>1319</v>
      </c>
      <c r="B321" s="1">
        <v>45147</v>
      </c>
      <c r="C321" t="s">
        <v>220</v>
      </c>
      <c r="D321" t="s">
        <v>25</v>
      </c>
      <c r="E321" t="s">
        <v>18</v>
      </c>
      <c r="F321" t="s">
        <v>34</v>
      </c>
      <c r="G321" t="s">
        <v>35</v>
      </c>
      <c r="H321" t="s">
        <v>36</v>
      </c>
      <c r="I321" t="s">
        <v>100</v>
      </c>
      <c r="J321">
        <v>10</v>
      </c>
      <c r="K321">
        <v>127.6</v>
      </c>
      <c r="L321">
        <v>103.63</v>
      </c>
      <c r="M321">
        <v>1097.3599999999999</v>
      </c>
      <c r="N321">
        <v>1036.3</v>
      </c>
      <c r="O321">
        <v>61.06</v>
      </c>
      <c r="P321">
        <v>0.14000000000000001</v>
      </c>
      <c r="Q321" t="s">
        <v>125</v>
      </c>
    </row>
    <row r="322" spans="1:17" x14ac:dyDescent="0.25">
      <c r="A322">
        <v>1320</v>
      </c>
      <c r="B322" s="1">
        <v>45443</v>
      </c>
      <c r="C322" t="s">
        <v>217</v>
      </c>
      <c r="D322" t="s">
        <v>25</v>
      </c>
      <c r="E322" t="s">
        <v>33</v>
      </c>
      <c r="F322" t="s">
        <v>27</v>
      </c>
      <c r="G322" t="s">
        <v>41</v>
      </c>
      <c r="H322" t="s">
        <v>46</v>
      </c>
      <c r="I322" t="s">
        <v>102</v>
      </c>
      <c r="J322">
        <v>3</v>
      </c>
      <c r="K322">
        <v>693.36</v>
      </c>
      <c r="L322">
        <v>388.82</v>
      </c>
      <c r="M322">
        <v>1580.86</v>
      </c>
      <c r="N322">
        <v>1166.46</v>
      </c>
      <c r="O322">
        <v>414.4</v>
      </c>
      <c r="P322">
        <v>0.24</v>
      </c>
      <c r="Q322" t="s">
        <v>44</v>
      </c>
    </row>
    <row r="323" spans="1:17" x14ac:dyDescent="0.25">
      <c r="A323">
        <v>1321</v>
      </c>
      <c r="B323" s="1">
        <v>45323</v>
      </c>
      <c r="C323" t="s">
        <v>155</v>
      </c>
      <c r="D323" t="s">
        <v>17</v>
      </c>
      <c r="E323" t="s">
        <v>18</v>
      </c>
      <c r="F323" t="s">
        <v>27</v>
      </c>
      <c r="G323" t="s">
        <v>35</v>
      </c>
      <c r="H323" t="s">
        <v>70</v>
      </c>
      <c r="I323" t="s">
        <v>84</v>
      </c>
      <c r="J323">
        <v>4</v>
      </c>
      <c r="K323">
        <v>277.23</v>
      </c>
      <c r="L323">
        <v>232.11</v>
      </c>
      <c r="M323">
        <v>787.33</v>
      </c>
      <c r="N323">
        <v>928.44</v>
      </c>
      <c r="O323">
        <v>-141.11000000000001</v>
      </c>
      <c r="P323">
        <v>0.28999999999999998</v>
      </c>
      <c r="Q323" t="s">
        <v>55</v>
      </c>
    </row>
    <row r="324" spans="1:17" x14ac:dyDescent="0.25">
      <c r="A324">
        <v>1322</v>
      </c>
      <c r="B324" s="1">
        <v>45063</v>
      </c>
      <c r="C324" t="s">
        <v>206</v>
      </c>
      <c r="D324" t="s">
        <v>17</v>
      </c>
      <c r="E324" t="s">
        <v>18</v>
      </c>
      <c r="F324" t="s">
        <v>40</v>
      </c>
      <c r="G324" t="s">
        <v>41</v>
      </c>
      <c r="H324" t="s">
        <v>63</v>
      </c>
      <c r="I324" t="s">
        <v>64</v>
      </c>
      <c r="J324">
        <v>4</v>
      </c>
      <c r="K324">
        <v>204.88</v>
      </c>
      <c r="L324">
        <v>147.19999999999999</v>
      </c>
      <c r="M324">
        <v>745.76</v>
      </c>
      <c r="N324">
        <v>588.79999999999995</v>
      </c>
      <c r="O324">
        <v>156.96</v>
      </c>
      <c r="P324">
        <v>0.09</v>
      </c>
      <c r="Q324" t="s">
        <v>85</v>
      </c>
    </row>
    <row r="325" spans="1:17" x14ac:dyDescent="0.25">
      <c r="A325">
        <v>1323</v>
      </c>
      <c r="B325" s="1">
        <v>45615</v>
      </c>
      <c r="C325" t="s">
        <v>73</v>
      </c>
      <c r="D325" t="s">
        <v>17</v>
      </c>
      <c r="E325" t="s">
        <v>26</v>
      </c>
      <c r="F325" t="s">
        <v>40</v>
      </c>
      <c r="G325" t="s">
        <v>41</v>
      </c>
      <c r="H325" t="s">
        <v>42</v>
      </c>
      <c r="I325" t="s">
        <v>68</v>
      </c>
      <c r="J325">
        <v>9</v>
      </c>
      <c r="K325">
        <v>482.97</v>
      </c>
      <c r="L325">
        <v>337.95</v>
      </c>
      <c r="M325">
        <v>3477.38</v>
      </c>
      <c r="N325">
        <v>3041.55</v>
      </c>
      <c r="O325">
        <v>435.83</v>
      </c>
      <c r="P325">
        <v>0.2</v>
      </c>
      <c r="Q325" t="s">
        <v>75</v>
      </c>
    </row>
    <row r="326" spans="1:17" x14ac:dyDescent="0.25">
      <c r="A326">
        <v>1324</v>
      </c>
      <c r="B326" s="1">
        <v>45617</v>
      </c>
      <c r="C326" t="s">
        <v>250</v>
      </c>
      <c r="D326" t="s">
        <v>17</v>
      </c>
      <c r="E326" t="s">
        <v>18</v>
      </c>
      <c r="F326" t="s">
        <v>27</v>
      </c>
      <c r="G326" t="s">
        <v>20</v>
      </c>
      <c r="H326" t="s">
        <v>113</v>
      </c>
      <c r="I326" t="s">
        <v>114</v>
      </c>
      <c r="J326">
        <v>1</v>
      </c>
      <c r="K326">
        <v>383.97</v>
      </c>
      <c r="L326">
        <v>199.12</v>
      </c>
      <c r="M326">
        <v>376.29</v>
      </c>
      <c r="N326">
        <v>199.12</v>
      </c>
      <c r="O326">
        <v>177.17</v>
      </c>
      <c r="P326">
        <v>0.02</v>
      </c>
      <c r="Q326" t="s">
        <v>30</v>
      </c>
    </row>
    <row r="327" spans="1:17" x14ac:dyDescent="0.25">
      <c r="A327">
        <v>1325</v>
      </c>
      <c r="B327" s="1">
        <v>45091</v>
      </c>
      <c r="C327" t="s">
        <v>101</v>
      </c>
      <c r="D327" t="s">
        <v>32</v>
      </c>
      <c r="E327" t="s">
        <v>26</v>
      </c>
      <c r="F327" t="s">
        <v>34</v>
      </c>
      <c r="G327" t="s">
        <v>41</v>
      </c>
      <c r="H327" t="s">
        <v>46</v>
      </c>
      <c r="I327" t="s">
        <v>47</v>
      </c>
      <c r="J327">
        <v>9</v>
      </c>
      <c r="K327">
        <v>37.14</v>
      </c>
      <c r="L327">
        <v>29.15</v>
      </c>
      <c r="M327">
        <v>324.23</v>
      </c>
      <c r="N327">
        <v>262.35000000000002</v>
      </c>
      <c r="O327">
        <v>61.88</v>
      </c>
      <c r="P327">
        <v>0.03</v>
      </c>
      <c r="Q327" t="s">
        <v>38</v>
      </c>
    </row>
    <row r="328" spans="1:17" x14ac:dyDescent="0.25">
      <c r="A328">
        <v>1326</v>
      </c>
      <c r="B328" s="1">
        <v>45156</v>
      </c>
      <c r="C328" t="s">
        <v>248</v>
      </c>
      <c r="D328" t="s">
        <v>17</v>
      </c>
      <c r="E328" t="s">
        <v>53</v>
      </c>
      <c r="F328" t="s">
        <v>19</v>
      </c>
      <c r="G328" t="s">
        <v>41</v>
      </c>
      <c r="H328" t="s">
        <v>63</v>
      </c>
      <c r="I328" t="s">
        <v>117</v>
      </c>
      <c r="J328">
        <v>1</v>
      </c>
      <c r="K328">
        <v>926.85</v>
      </c>
      <c r="L328">
        <v>589.15</v>
      </c>
      <c r="M328">
        <v>658.06</v>
      </c>
      <c r="N328">
        <v>589.15</v>
      </c>
      <c r="O328">
        <v>68.91</v>
      </c>
      <c r="P328">
        <v>0.28999999999999998</v>
      </c>
      <c r="Q328" t="s">
        <v>85</v>
      </c>
    </row>
    <row r="329" spans="1:17" x14ac:dyDescent="0.25">
      <c r="A329">
        <v>1327</v>
      </c>
      <c r="B329" s="1">
        <v>45492</v>
      </c>
      <c r="C329" t="s">
        <v>124</v>
      </c>
      <c r="D329" t="s">
        <v>17</v>
      </c>
      <c r="E329" t="s">
        <v>18</v>
      </c>
      <c r="F329" t="s">
        <v>19</v>
      </c>
      <c r="G329" t="s">
        <v>41</v>
      </c>
      <c r="H329" t="s">
        <v>46</v>
      </c>
      <c r="I329" t="s">
        <v>47</v>
      </c>
      <c r="J329">
        <v>6</v>
      </c>
      <c r="K329">
        <v>756.33</v>
      </c>
      <c r="L329">
        <v>522.86</v>
      </c>
      <c r="M329">
        <v>3721.14</v>
      </c>
      <c r="N329">
        <v>3137.16</v>
      </c>
      <c r="O329">
        <v>583.98</v>
      </c>
      <c r="P329">
        <v>0.18</v>
      </c>
      <c r="Q329" t="s">
        <v>23</v>
      </c>
    </row>
    <row r="330" spans="1:17" x14ac:dyDescent="0.25">
      <c r="A330">
        <v>1328</v>
      </c>
      <c r="B330" s="1">
        <v>45228</v>
      </c>
      <c r="C330" t="s">
        <v>246</v>
      </c>
      <c r="D330" t="s">
        <v>17</v>
      </c>
      <c r="E330" t="s">
        <v>33</v>
      </c>
      <c r="F330" t="s">
        <v>19</v>
      </c>
      <c r="G330" t="s">
        <v>20</v>
      </c>
      <c r="H330" t="s">
        <v>113</v>
      </c>
      <c r="I330" t="s">
        <v>161</v>
      </c>
      <c r="J330">
        <v>2</v>
      </c>
      <c r="K330">
        <v>380.31</v>
      </c>
      <c r="L330">
        <v>247.19</v>
      </c>
      <c r="M330">
        <v>631.30999999999995</v>
      </c>
      <c r="N330">
        <v>494.38</v>
      </c>
      <c r="O330">
        <v>136.93</v>
      </c>
      <c r="P330">
        <v>0.17</v>
      </c>
      <c r="Q330" t="s">
        <v>92</v>
      </c>
    </row>
    <row r="331" spans="1:17" x14ac:dyDescent="0.25">
      <c r="A331">
        <v>1329</v>
      </c>
      <c r="B331" s="1">
        <v>45091</v>
      </c>
      <c r="C331" t="s">
        <v>222</v>
      </c>
      <c r="D331" t="s">
        <v>32</v>
      </c>
      <c r="E331" t="s">
        <v>33</v>
      </c>
      <c r="F331" t="s">
        <v>40</v>
      </c>
      <c r="G331" t="s">
        <v>35</v>
      </c>
      <c r="H331" t="s">
        <v>70</v>
      </c>
      <c r="I331" t="s">
        <v>98</v>
      </c>
      <c r="J331">
        <v>1</v>
      </c>
      <c r="K331">
        <v>157.93</v>
      </c>
      <c r="L331">
        <v>96.8</v>
      </c>
      <c r="M331">
        <v>154.77000000000001</v>
      </c>
      <c r="N331">
        <v>96.8</v>
      </c>
      <c r="O331">
        <v>57.97</v>
      </c>
      <c r="P331">
        <v>0.02</v>
      </c>
      <c r="Q331" t="s">
        <v>125</v>
      </c>
    </row>
    <row r="332" spans="1:17" x14ac:dyDescent="0.25">
      <c r="A332">
        <v>1330</v>
      </c>
      <c r="B332" s="1">
        <v>45604</v>
      </c>
      <c r="C332" t="s">
        <v>76</v>
      </c>
      <c r="D332" t="s">
        <v>17</v>
      </c>
      <c r="E332" t="s">
        <v>18</v>
      </c>
      <c r="F332" t="s">
        <v>34</v>
      </c>
      <c r="G332" t="s">
        <v>41</v>
      </c>
      <c r="H332" t="s">
        <v>46</v>
      </c>
      <c r="I332" t="s">
        <v>102</v>
      </c>
      <c r="J332">
        <v>4</v>
      </c>
      <c r="K332">
        <v>957.2</v>
      </c>
      <c r="L332">
        <v>653.01</v>
      </c>
      <c r="M332">
        <v>2909.89</v>
      </c>
      <c r="N332">
        <v>2612.04</v>
      </c>
      <c r="O332">
        <v>297.85000000000002</v>
      </c>
      <c r="P332">
        <v>0.24</v>
      </c>
      <c r="Q332" t="s">
        <v>92</v>
      </c>
    </row>
    <row r="333" spans="1:17" x14ac:dyDescent="0.25">
      <c r="A333">
        <v>1331</v>
      </c>
      <c r="B333" s="1">
        <v>45352</v>
      </c>
      <c r="C333" t="s">
        <v>218</v>
      </c>
      <c r="D333" t="s">
        <v>32</v>
      </c>
      <c r="E333" t="s">
        <v>33</v>
      </c>
      <c r="F333" t="s">
        <v>40</v>
      </c>
      <c r="G333" t="s">
        <v>20</v>
      </c>
      <c r="H333" t="s">
        <v>21</v>
      </c>
      <c r="I333" t="s">
        <v>54</v>
      </c>
      <c r="J333">
        <v>6</v>
      </c>
      <c r="K333">
        <v>363.99</v>
      </c>
      <c r="L333">
        <v>209.82</v>
      </c>
      <c r="M333">
        <v>1681.63</v>
      </c>
      <c r="N333">
        <v>1258.92</v>
      </c>
      <c r="O333">
        <v>422.71</v>
      </c>
      <c r="P333">
        <v>0.23</v>
      </c>
      <c r="Q333" t="s">
        <v>38</v>
      </c>
    </row>
    <row r="334" spans="1:17" x14ac:dyDescent="0.25">
      <c r="A334">
        <v>1332</v>
      </c>
      <c r="B334" s="1">
        <v>45413</v>
      </c>
      <c r="C334" t="s">
        <v>209</v>
      </c>
      <c r="D334" t="s">
        <v>17</v>
      </c>
      <c r="E334" t="s">
        <v>33</v>
      </c>
      <c r="F334" t="s">
        <v>34</v>
      </c>
      <c r="G334" t="s">
        <v>41</v>
      </c>
      <c r="H334" t="s">
        <v>46</v>
      </c>
      <c r="I334" t="s">
        <v>57</v>
      </c>
      <c r="J334">
        <v>4</v>
      </c>
      <c r="K334">
        <v>904.97</v>
      </c>
      <c r="L334">
        <v>646.87</v>
      </c>
      <c r="M334">
        <v>2932.1</v>
      </c>
      <c r="N334">
        <v>2587.48</v>
      </c>
      <c r="O334">
        <v>344.62</v>
      </c>
      <c r="P334">
        <v>0.19</v>
      </c>
      <c r="Q334" t="s">
        <v>51</v>
      </c>
    </row>
    <row r="335" spans="1:17" x14ac:dyDescent="0.25">
      <c r="A335">
        <v>1333</v>
      </c>
      <c r="B335" s="1">
        <v>45625</v>
      </c>
      <c r="C335" t="s">
        <v>230</v>
      </c>
      <c r="D335" t="s">
        <v>32</v>
      </c>
      <c r="E335" t="s">
        <v>33</v>
      </c>
      <c r="F335" t="s">
        <v>27</v>
      </c>
      <c r="G335" t="s">
        <v>35</v>
      </c>
      <c r="H335" t="s">
        <v>70</v>
      </c>
      <c r="I335" t="s">
        <v>84</v>
      </c>
      <c r="J335">
        <v>5</v>
      </c>
      <c r="K335">
        <v>29.58</v>
      </c>
      <c r="L335">
        <v>20.14</v>
      </c>
      <c r="M335">
        <v>113.88</v>
      </c>
      <c r="N335">
        <v>100.7</v>
      </c>
      <c r="O335">
        <v>13.18</v>
      </c>
      <c r="P335">
        <v>0.23</v>
      </c>
      <c r="Q335" t="s">
        <v>38</v>
      </c>
    </row>
    <row r="336" spans="1:17" x14ac:dyDescent="0.25">
      <c r="A336">
        <v>1334</v>
      </c>
      <c r="B336" s="1">
        <v>45447</v>
      </c>
      <c r="C336" t="s">
        <v>188</v>
      </c>
      <c r="D336" t="s">
        <v>25</v>
      </c>
      <c r="E336" t="s">
        <v>18</v>
      </c>
      <c r="F336" t="s">
        <v>19</v>
      </c>
      <c r="G336" t="s">
        <v>35</v>
      </c>
      <c r="H336" t="s">
        <v>70</v>
      </c>
      <c r="I336" t="s">
        <v>98</v>
      </c>
      <c r="J336">
        <v>2</v>
      </c>
      <c r="K336">
        <v>171.56</v>
      </c>
      <c r="L336">
        <v>143.19999999999999</v>
      </c>
      <c r="M336">
        <v>288.22000000000003</v>
      </c>
      <c r="N336">
        <v>286.39999999999998</v>
      </c>
      <c r="O336">
        <v>1.82</v>
      </c>
      <c r="P336">
        <v>0.16</v>
      </c>
      <c r="Q336" t="s">
        <v>51</v>
      </c>
    </row>
    <row r="337" spans="1:17" x14ac:dyDescent="0.25">
      <c r="A337">
        <v>1335</v>
      </c>
      <c r="B337" s="1">
        <v>45568</v>
      </c>
      <c r="C337" t="s">
        <v>126</v>
      </c>
      <c r="D337" t="s">
        <v>17</v>
      </c>
      <c r="E337" t="s">
        <v>26</v>
      </c>
      <c r="F337" t="s">
        <v>27</v>
      </c>
      <c r="G337" t="s">
        <v>20</v>
      </c>
      <c r="H337" t="s">
        <v>21</v>
      </c>
      <c r="I337" t="s">
        <v>79</v>
      </c>
      <c r="J337">
        <v>2</v>
      </c>
      <c r="K337">
        <v>748.16</v>
      </c>
      <c r="L337">
        <v>414.34</v>
      </c>
      <c r="M337">
        <v>1286.8399999999999</v>
      </c>
      <c r="N337">
        <v>828.68</v>
      </c>
      <c r="O337">
        <v>458.16</v>
      </c>
      <c r="P337">
        <v>0.14000000000000001</v>
      </c>
      <c r="Q337" t="s">
        <v>85</v>
      </c>
    </row>
    <row r="338" spans="1:17" x14ac:dyDescent="0.25">
      <c r="A338">
        <v>1336</v>
      </c>
      <c r="B338" s="1">
        <v>44965</v>
      </c>
      <c r="C338" t="s">
        <v>251</v>
      </c>
      <c r="D338" t="s">
        <v>25</v>
      </c>
      <c r="E338" t="s">
        <v>26</v>
      </c>
      <c r="F338" t="s">
        <v>40</v>
      </c>
      <c r="G338" t="s">
        <v>41</v>
      </c>
      <c r="H338" t="s">
        <v>42</v>
      </c>
      <c r="I338" t="s">
        <v>43</v>
      </c>
      <c r="J338">
        <v>4</v>
      </c>
      <c r="K338">
        <v>911.43</v>
      </c>
      <c r="L338">
        <v>585.75</v>
      </c>
      <c r="M338">
        <v>3135.32</v>
      </c>
      <c r="N338">
        <v>2343</v>
      </c>
      <c r="O338">
        <v>792.32</v>
      </c>
      <c r="P338">
        <v>0.14000000000000001</v>
      </c>
      <c r="Q338" t="s">
        <v>75</v>
      </c>
    </row>
    <row r="339" spans="1:17" x14ac:dyDescent="0.25">
      <c r="A339">
        <v>1337</v>
      </c>
      <c r="B339" s="1">
        <v>45370</v>
      </c>
      <c r="C339" t="s">
        <v>252</v>
      </c>
      <c r="D339" t="s">
        <v>32</v>
      </c>
      <c r="E339" t="s">
        <v>33</v>
      </c>
      <c r="F339" t="s">
        <v>34</v>
      </c>
      <c r="G339" t="s">
        <v>41</v>
      </c>
      <c r="H339" t="s">
        <v>63</v>
      </c>
      <c r="I339" t="s">
        <v>64</v>
      </c>
      <c r="J339">
        <v>2</v>
      </c>
      <c r="K339">
        <v>757.18</v>
      </c>
      <c r="L339">
        <v>533.78</v>
      </c>
      <c r="M339">
        <v>1196.3399999999999</v>
      </c>
      <c r="N339">
        <v>1067.56</v>
      </c>
      <c r="O339">
        <v>128.78</v>
      </c>
      <c r="P339">
        <v>0.21</v>
      </c>
      <c r="Q339" t="s">
        <v>44</v>
      </c>
    </row>
    <row r="340" spans="1:17" x14ac:dyDescent="0.25">
      <c r="A340">
        <v>1338</v>
      </c>
      <c r="B340" s="1">
        <v>45293</v>
      </c>
      <c r="C340" t="s">
        <v>186</v>
      </c>
      <c r="D340" t="s">
        <v>25</v>
      </c>
      <c r="E340" t="s">
        <v>18</v>
      </c>
      <c r="F340" t="s">
        <v>40</v>
      </c>
      <c r="G340" t="s">
        <v>41</v>
      </c>
      <c r="H340" t="s">
        <v>42</v>
      </c>
      <c r="I340" t="s">
        <v>68</v>
      </c>
      <c r="J340">
        <v>8</v>
      </c>
      <c r="K340">
        <v>384.51</v>
      </c>
      <c r="L340">
        <v>302.89</v>
      </c>
      <c r="M340">
        <v>3045.32</v>
      </c>
      <c r="N340">
        <v>2423.12</v>
      </c>
      <c r="O340">
        <v>622.20000000000005</v>
      </c>
      <c r="P340">
        <v>0.01</v>
      </c>
      <c r="Q340" t="s">
        <v>92</v>
      </c>
    </row>
    <row r="341" spans="1:17" x14ac:dyDescent="0.25">
      <c r="A341">
        <v>1339</v>
      </c>
      <c r="B341" s="1">
        <v>45473</v>
      </c>
      <c r="C341" t="s">
        <v>149</v>
      </c>
      <c r="D341" t="s">
        <v>17</v>
      </c>
      <c r="E341" t="s">
        <v>53</v>
      </c>
      <c r="F341" t="s">
        <v>40</v>
      </c>
      <c r="G341" t="s">
        <v>41</v>
      </c>
      <c r="H341" t="s">
        <v>42</v>
      </c>
      <c r="I341" t="s">
        <v>68</v>
      </c>
      <c r="J341">
        <v>6</v>
      </c>
      <c r="K341">
        <v>957.6</v>
      </c>
      <c r="L341">
        <v>482.54</v>
      </c>
      <c r="M341">
        <v>4251.74</v>
      </c>
      <c r="N341">
        <v>2895.24</v>
      </c>
      <c r="O341">
        <v>1356.5</v>
      </c>
      <c r="P341">
        <v>0.26</v>
      </c>
      <c r="Q341" t="s">
        <v>92</v>
      </c>
    </row>
    <row r="342" spans="1:17" x14ac:dyDescent="0.25">
      <c r="A342">
        <v>1340</v>
      </c>
      <c r="B342" s="1">
        <v>45053</v>
      </c>
      <c r="C342" t="s">
        <v>124</v>
      </c>
      <c r="D342" t="s">
        <v>17</v>
      </c>
      <c r="E342" t="s">
        <v>53</v>
      </c>
      <c r="F342" t="s">
        <v>34</v>
      </c>
      <c r="G342" t="s">
        <v>35</v>
      </c>
      <c r="H342" t="s">
        <v>36</v>
      </c>
      <c r="I342" t="s">
        <v>100</v>
      </c>
      <c r="J342">
        <v>6</v>
      </c>
      <c r="K342">
        <v>215.68</v>
      </c>
      <c r="L342">
        <v>176.2</v>
      </c>
      <c r="M342">
        <v>957.62</v>
      </c>
      <c r="N342">
        <v>1057.2</v>
      </c>
      <c r="O342">
        <v>-99.58</v>
      </c>
      <c r="P342">
        <v>0.26</v>
      </c>
      <c r="Q342" t="s">
        <v>92</v>
      </c>
    </row>
    <row r="343" spans="1:17" x14ac:dyDescent="0.25">
      <c r="A343">
        <v>1341</v>
      </c>
      <c r="B343" s="1">
        <v>45091</v>
      </c>
      <c r="C343" t="s">
        <v>115</v>
      </c>
      <c r="D343" t="s">
        <v>17</v>
      </c>
      <c r="E343" t="s">
        <v>18</v>
      </c>
      <c r="F343" t="s">
        <v>19</v>
      </c>
      <c r="G343" t="s">
        <v>20</v>
      </c>
      <c r="H343" t="s">
        <v>21</v>
      </c>
      <c r="I343" t="s">
        <v>22</v>
      </c>
      <c r="J343">
        <v>9</v>
      </c>
      <c r="K343">
        <v>463.96</v>
      </c>
      <c r="L343">
        <v>321.24</v>
      </c>
      <c r="M343">
        <v>3799.83</v>
      </c>
      <c r="N343">
        <v>2891.16</v>
      </c>
      <c r="O343">
        <v>908.67</v>
      </c>
      <c r="P343">
        <v>0.09</v>
      </c>
      <c r="Q343" t="s">
        <v>44</v>
      </c>
    </row>
    <row r="344" spans="1:17" x14ac:dyDescent="0.25">
      <c r="A344">
        <v>1342</v>
      </c>
      <c r="B344" s="1">
        <v>45183</v>
      </c>
      <c r="C344" t="s">
        <v>126</v>
      </c>
      <c r="D344" t="s">
        <v>17</v>
      </c>
      <c r="E344" t="s">
        <v>53</v>
      </c>
      <c r="F344" t="s">
        <v>40</v>
      </c>
      <c r="G344" t="s">
        <v>35</v>
      </c>
      <c r="H344" t="s">
        <v>36</v>
      </c>
      <c r="I344" t="s">
        <v>100</v>
      </c>
      <c r="J344">
        <v>4</v>
      </c>
      <c r="K344">
        <v>104.54</v>
      </c>
      <c r="L344">
        <v>74.94</v>
      </c>
      <c r="M344">
        <v>305.26</v>
      </c>
      <c r="N344">
        <v>299.76</v>
      </c>
      <c r="O344">
        <v>5.5</v>
      </c>
      <c r="P344">
        <v>0.27</v>
      </c>
      <c r="Q344" t="s">
        <v>85</v>
      </c>
    </row>
    <row r="345" spans="1:17" x14ac:dyDescent="0.25">
      <c r="A345">
        <v>1343</v>
      </c>
      <c r="B345" s="1">
        <v>45424</v>
      </c>
      <c r="C345" t="s">
        <v>139</v>
      </c>
      <c r="D345" t="s">
        <v>17</v>
      </c>
      <c r="E345" t="s">
        <v>18</v>
      </c>
      <c r="F345" t="s">
        <v>19</v>
      </c>
      <c r="G345" t="s">
        <v>41</v>
      </c>
      <c r="H345" t="s">
        <v>63</v>
      </c>
      <c r="I345" t="s">
        <v>117</v>
      </c>
      <c r="J345">
        <v>6</v>
      </c>
      <c r="K345">
        <v>958.87</v>
      </c>
      <c r="L345">
        <v>536.03</v>
      </c>
      <c r="M345">
        <v>5235.43</v>
      </c>
      <c r="N345">
        <v>3216.18</v>
      </c>
      <c r="O345">
        <v>2019.25</v>
      </c>
      <c r="P345">
        <v>0.09</v>
      </c>
      <c r="Q345" t="s">
        <v>23</v>
      </c>
    </row>
    <row r="346" spans="1:17" x14ac:dyDescent="0.25">
      <c r="A346">
        <v>1344</v>
      </c>
      <c r="B346" s="1">
        <v>45656</v>
      </c>
      <c r="C346" t="s">
        <v>248</v>
      </c>
      <c r="D346" t="s">
        <v>32</v>
      </c>
      <c r="E346" t="s">
        <v>18</v>
      </c>
      <c r="F346" t="s">
        <v>40</v>
      </c>
      <c r="G346" t="s">
        <v>20</v>
      </c>
      <c r="H346" t="s">
        <v>113</v>
      </c>
      <c r="I346" t="s">
        <v>161</v>
      </c>
      <c r="J346">
        <v>6</v>
      </c>
      <c r="K346">
        <v>878.5</v>
      </c>
      <c r="L346">
        <v>581.55999999999995</v>
      </c>
      <c r="M346">
        <v>4691.1899999999996</v>
      </c>
      <c r="N346">
        <v>3489.36</v>
      </c>
      <c r="O346">
        <v>1201.83</v>
      </c>
      <c r="P346">
        <v>0.11</v>
      </c>
      <c r="Q346" t="s">
        <v>30</v>
      </c>
    </row>
    <row r="347" spans="1:17" x14ac:dyDescent="0.25">
      <c r="A347">
        <v>1345</v>
      </c>
      <c r="B347" s="1">
        <v>45425</v>
      </c>
      <c r="C347" t="s">
        <v>253</v>
      </c>
      <c r="D347" t="s">
        <v>25</v>
      </c>
      <c r="E347" t="s">
        <v>33</v>
      </c>
      <c r="F347" t="s">
        <v>40</v>
      </c>
      <c r="G347" t="s">
        <v>20</v>
      </c>
      <c r="H347" t="s">
        <v>113</v>
      </c>
      <c r="I347" t="s">
        <v>114</v>
      </c>
      <c r="J347">
        <v>5</v>
      </c>
      <c r="K347">
        <v>734.88</v>
      </c>
      <c r="L347">
        <v>528.61</v>
      </c>
      <c r="M347">
        <v>2866.03</v>
      </c>
      <c r="N347">
        <v>2643.05</v>
      </c>
      <c r="O347">
        <v>222.98</v>
      </c>
      <c r="P347">
        <v>0.22</v>
      </c>
      <c r="Q347" t="s">
        <v>51</v>
      </c>
    </row>
    <row r="348" spans="1:17" x14ac:dyDescent="0.25">
      <c r="A348">
        <v>1346</v>
      </c>
      <c r="B348" s="1">
        <v>45446</v>
      </c>
      <c r="C348" t="s">
        <v>254</v>
      </c>
      <c r="D348" t="s">
        <v>17</v>
      </c>
      <c r="E348" t="s">
        <v>53</v>
      </c>
      <c r="F348" t="s">
        <v>19</v>
      </c>
      <c r="G348" t="s">
        <v>20</v>
      </c>
      <c r="H348" t="s">
        <v>113</v>
      </c>
      <c r="I348" t="s">
        <v>153</v>
      </c>
      <c r="J348">
        <v>9</v>
      </c>
      <c r="K348">
        <v>894.52</v>
      </c>
      <c r="L348">
        <v>616.22</v>
      </c>
      <c r="M348">
        <v>6440.54</v>
      </c>
      <c r="N348">
        <v>5545.98</v>
      </c>
      <c r="O348">
        <v>894.56</v>
      </c>
      <c r="P348">
        <v>0.2</v>
      </c>
      <c r="Q348" t="s">
        <v>92</v>
      </c>
    </row>
    <row r="349" spans="1:17" x14ac:dyDescent="0.25">
      <c r="A349">
        <v>1347</v>
      </c>
      <c r="B349" s="1">
        <v>45301</v>
      </c>
      <c r="C349" t="s">
        <v>106</v>
      </c>
      <c r="D349" t="s">
        <v>17</v>
      </c>
      <c r="E349" t="s">
        <v>18</v>
      </c>
      <c r="F349" t="s">
        <v>19</v>
      </c>
      <c r="G349" t="s">
        <v>35</v>
      </c>
      <c r="H349" t="s">
        <v>70</v>
      </c>
      <c r="I349" t="s">
        <v>84</v>
      </c>
      <c r="J349">
        <v>2</v>
      </c>
      <c r="K349">
        <v>399.8</v>
      </c>
      <c r="L349">
        <v>270.17</v>
      </c>
      <c r="M349">
        <v>639.67999999999995</v>
      </c>
      <c r="N349">
        <v>540.34</v>
      </c>
      <c r="O349">
        <v>99.34</v>
      </c>
      <c r="P349">
        <v>0.2</v>
      </c>
      <c r="Q349" t="s">
        <v>125</v>
      </c>
    </row>
    <row r="350" spans="1:17" x14ac:dyDescent="0.25">
      <c r="A350">
        <v>1348</v>
      </c>
      <c r="B350" s="1">
        <v>45627</v>
      </c>
      <c r="C350" t="s">
        <v>107</v>
      </c>
      <c r="D350" t="s">
        <v>17</v>
      </c>
      <c r="E350" t="s">
        <v>26</v>
      </c>
      <c r="F350" t="s">
        <v>27</v>
      </c>
      <c r="G350" t="s">
        <v>20</v>
      </c>
      <c r="H350" t="s">
        <v>21</v>
      </c>
      <c r="I350" t="s">
        <v>132</v>
      </c>
      <c r="J350">
        <v>8</v>
      </c>
      <c r="K350">
        <v>939.48</v>
      </c>
      <c r="L350">
        <v>483.03</v>
      </c>
      <c r="M350">
        <v>5787.2</v>
      </c>
      <c r="N350">
        <v>3864.24</v>
      </c>
      <c r="O350">
        <v>1922.96</v>
      </c>
      <c r="P350">
        <v>0.23</v>
      </c>
      <c r="Q350" t="s">
        <v>23</v>
      </c>
    </row>
    <row r="351" spans="1:17" x14ac:dyDescent="0.25">
      <c r="A351">
        <v>1349</v>
      </c>
      <c r="B351" s="1">
        <v>44991</v>
      </c>
      <c r="C351" t="s">
        <v>255</v>
      </c>
      <c r="D351" t="s">
        <v>25</v>
      </c>
      <c r="E351" t="s">
        <v>33</v>
      </c>
      <c r="F351" t="s">
        <v>19</v>
      </c>
      <c r="G351" t="s">
        <v>41</v>
      </c>
      <c r="H351" t="s">
        <v>46</v>
      </c>
      <c r="I351" t="s">
        <v>57</v>
      </c>
      <c r="J351">
        <v>8</v>
      </c>
      <c r="K351">
        <v>918.31</v>
      </c>
      <c r="L351">
        <v>742.49</v>
      </c>
      <c r="M351">
        <v>7273.02</v>
      </c>
      <c r="N351">
        <v>5939.92</v>
      </c>
      <c r="O351">
        <v>1333.1</v>
      </c>
      <c r="P351">
        <v>0.01</v>
      </c>
      <c r="Q351" t="s">
        <v>85</v>
      </c>
    </row>
    <row r="352" spans="1:17" x14ac:dyDescent="0.25">
      <c r="A352">
        <v>1350</v>
      </c>
      <c r="B352" s="1">
        <v>45032</v>
      </c>
      <c r="C352" t="s">
        <v>226</v>
      </c>
      <c r="D352" t="s">
        <v>17</v>
      </c>
      <c r="E352" t="s">
        <v>18</v>
      </c>
      <c r="F352" t="s">
        <v>40</v>
      </c>
      <c r="G352" t="s">
        <v>41</v>
      </c>
      <c r="H352" t="s">
        <v>63</v>
      </c>
      <c r="I352" t="s">
        <v>64</v>
      </c>
      <c r="J352">
        <v>3</v>
      </c>
      <c r="K352">
        <v>379.78</v>
      </c>
      <c r="L352">
        <v>240.2</v>
      </c>
      <c r="M352">
        <v>934.26</v>
      </c>
      <c r="N352">
        <v>720.6</v>
      </c>
      <c r="O352">
        <v>213.66</v>
      </c>
      <c r="P352">
        <v>0.18</v>
      </c>
      <c r="Q352" t="s">
        <v>44</v>
      </c>
    </row>
    <row r="353" spans="1:17" x14ac:dyDescent="0.25">
      <c r="A353">
        <v>1351</v>
      </c>
      <c r="B353" s="1">
        <v>45456</v>
      </c>
      <c r="C353" t="s">
        <v>86</v>
      </c>
      <c r="D353" t="s">
        <v>25</v>
      </c>
      <c r="E353" t="s">
        <v>53</v>
      </c>
      <c r="F353" t="s">
        <v>40</v>
      </c>
      <c r="G353" t="s">
        <v>35</v>
      </c>
      <c r="H353" t="s">
        <v>49</v>
      </c>
      <c r="I353" t="s">
        <v>50</v>
      </c>
      <c r="J353">
        <v>10</v>
      </c>
      <c r="K353">
        <v>11.56</v>
      </c>
      <c r="L353">
        <v>9.35</v>
      </c>
      <c r="M353">
        <v>100.57</v>
      </c>
      <c r="N353">
        <v>93.5</v>
      </c>
      <c r="O353">
        <v>7.07</v>
      </c>
      <c r="P353">
        <v>0.13</v>
      </c>
      <c r="Q353" t="s">
        <v>23</v>
      </c>
    </row>
    <row r="354" spans="1:17" x14ac:dyDescent="0.25">
      <c r="A354">
        <v>1352</v>
      </c>
      <c r="B354" s="1">
        <v>45005</v>
      </c>
      <c r="C354" t="s">
        <v>247</v>
      </c>
      <c r="D354" t="s">
        <v>32</v>
      </c>
      <c r="E354" t="s">
        <v>26</v>
      </c>
      <c r="F354" t="s">
        <v>19</v>
      </c>
      <c r="G354" t="s">
        <v>20</v>
      </c>
      <c r="H354" t="s">
        <v>21</v>
      </c>
      <c r="I354" t="s">
        <v>54</v>
      </c>
      <c r="J354">
        <v>10</v>
      </c>
      <c r="K354">
        <v>718.72</v>
      </c>
      <c r="L354">
        <v>389.13</v>
      </c>
      <c r="M354">
        <v>6684.1</v>
      </c>
      <c r="N354">
        <v>3891.3</v>
      </c>
      <c r="O354">
        <v>2792.8</v>
      </c>
      <c r="P354">
        <v>7.0000000000000007E-2</v>
      </c>
      <c r="Q354" t="s">
        <v>85</v>
      </c>
    </row>
    <row r="355" spans="1:17" x14ac:dyDescent="0.25">
      <c r="A355">
        <v>1353</v>
      </c>
      <c r="B355" s="1">
        <v>45043</v>
      </c>
      <c r="C355" t="s">
        <v>201</v>
      </c>
      <c r="D355" t="s">
        <v>32</v>
      </c>
      <c r="E355" t="s">
        <v>53</v>
      </c>
      <c r="F355" t="s">
        <v>19</v>
      </c>
      <c r="G355" t="s">
        <v>41</v>
      </c>
      <c r="H355" t="s">
        <v>42</v>
      </c>
      <c r="I355" t="s">
        <v>43</v>
      </c>
      <c r="J355">
        <v>7</v>
      </c>
      <c r="K355">
        <v>27.33</v>
      </c>
      <c r="L355">
        <v>14.08</v>
      </c>
      <c r="M355">
        <v>158.79</v>
      </c>
      <c r="N355">
        <v>98.56</v>
      </c>
      <c r="O355">
        <v>60.23</v>
      </c>
      <c r="P355">
        <v>0.17</v>
      </c>
      <c r="Q355" t="s">
        <v>92</v>
      </c>
    </row>
    <row r="356" spans="1:17" x14ac:dyDescent="0.25">
      <c r="A356">
        <v>1354</v>
      </c>
      <c r="B356" s="1">
        <v>45064</v>
      </c>
      <c r="C356" t="s">
        <v>256</v>
      </c>
      <c r="D356" t="s">
        <v>25</v>
      </c>
      <c r="E356" t="s">
        <v>26</v>
      </c>
      <c r="F356" t="s">
        <v>34</v>
      </c>
      <c r="G356" t="s">
        <v>20</v>
      </c>
      <c r="H356" t="s">
        <v>28</v>
      </c>
      <c r="I356" t="s">
        <v>81</v>
      </c>
      <c r="J356">
        <v>9</v>
      </c>
      <c r="K356">
        <v>958.45</v>
      </c>
      <c r="L356">
        <v>680.28</v>
      </c>
      <c r="M356">
        <v>7159.62</v>
      </c>
      <c r="N356">
        <v>6122.52</v>
      </c>
      <c r="O356">
        <v>1037.0999999999999</v>
      </c>
      <c r="P356">
        <v>0.17</v>
      </c>
      <c r="Q356" t="s">
        <v>51</v>
      </c>
    </row>
    <row r="357" spans="1:17" x14ac:dyDescent="0.25">
      <c r="A357">
        <v>1355</v>
      </c>
      <c r="B357" s="1">
        <v>45604</v>
      </c>
      <c r="C357" t="s">
        <v>257</v>
      </c>
      <c r="D357" t="s">
        <v>25</v>
      </c>
      <c r="E357" t="s">
        <v>26</v>
      </c>
      <c r="F357" t="s">
        <v>27</v>
      </c>
      <c r="G357" t="s">
        <v>41</v>
      </c>
      <c r="H357" t="s">
        <v>46</v>
      </c>
      <c r="I357" t="s">
        <v>57</v>
      </c>
      <c r="J357">
        <v>3</v>
      </c>
      <c r="K357">
        <v>223.27</v>
      </c>
      <c r="L357">
        <v>143.72999999999999</v>
      </c>
      <c r="M357">
        <v>643.02</v>
      </c>
      <c r="N357">
        <v>431.19</v>
      </c>
      <c r="O357">
        <v>211.83</v>
      </c>
      <c r="P357">
        <v>0.04</v>
      </c>
      <c r="Q357" t="s">
        <v>125</v>
      </c>
    </row>
    <row r="358" spans="1:17" x14ac:dyDescent="0.25">
      <c r="A358">
        <v>1356</v>
      </c>
      <c r="B358" s="1">
        <v>45113</v>
      </c>
      <c r="C358" t="s">
        <v>129</v>
      </c>
      <c r="D358" t="s">
        <v>17</v>
      </c>
      <c r="E358" t="s">
        <v>18</v>
      </c>
      <c r="F358" t="s">
        <v>19</v>
      </c>
      <c r="G358" t="s">
        <v>41</v>
      </c>
      <c r="H358" t="s">
        <v>63</v>
      </c>
      <c r="I358" t="s">
        <v>117</v>
      </c>
      <c r="J358">
        <v>8</v>
      </c>
      <c r="K358">
        <v>598.54999999999995</v>
      </c>
      <c r="L358">
        <v>313.7</v>
      </c>
      <c r="M358">
        <v>4261.68</v>
      </c>
      <c r="N358">
        <v>2509.6</v>
      </c>
      <c r="O358">
        <v>1752.08</v>
      </c>
      <c r="P358">
        <v>0.11</v>
      </c>
      <c r="Q358" t="s">
        <v>92</v>
      </c>
    </row>
    <row r="359" spans="1:17" x14ac:dyDescent="0.25">
      <c r="A359">
        <v>1357</v>
      </c>
      <c r="B359" s="1">
        <v>45038</v>
      </c>
      <c r="C359" t="s">
        <v>258</v>
      </c>
      <c r="D359" t="s">
        <v>17</v>
      </c>
      <c r="E359" t="s">
        <v>53</v>
      </c>
      <c r="F359" t="s">
        <v>19</v>
      </c>
      <c r="G359" t="s">
        <v>41</v>
      </c>
      <c r="H359" t="s">
        <v>42</v>
      </c>
      <c r="I359" t="s">
        <v>77</v>
      </c>
      <c r="J359">
        <v>8</v>
      </c>
      <c r="K359">
        <v>902.1</v>
      </c>
      <c r="L359">
        <v>640.42999999999995</v>
      </c>
      <c r="M359">
        <v>5340.43</v>
      </c>
      <c r="N359">
        <v>5123.4399999999996</v>
      </c>
      <c r="O359">
        <v>216.99</v>
      </c>
      <c r="P359">
        <v>0.26</v>
      </c>
      <c r="Q359" t="s">
        <v>38</v>
      </c>
    </row>
    <row r="360" spans="1:17" x14ac:dyDescent="0.25">
      <c r="A360">
        <v>1358</v>
      </c>
      <c r="B360" s="1">
        <v>45442</v>
      </c>
      <c r="C360" t="s">
        <v>183</v>
      </c>
      <c r="D360" t="s">
        <v>25</v>
      </c>
      <c r="E360" t="s">
        <v>53</v>
      </c>
      <c r="F360" t="s">
        <v>19</v>
      </c>
      <c r="G360" t="s">
        <v>41</v>
      </c>
      <c r="H360" t="s">
        <v>63</v>
      </c>
      <c r="I360" t="s">
        <v>141</v>
      </c>
      <c r="J360">
        <v>7</v>
      </c>
      <c r="K360">
        <v>524.42999999999995</v>
      </c>
      <c r="L360">
        <v>330.2</v>
      </c>
      <c r="M360">
        <v>3634.3</v>
      </c>
      <c r="N360">
        <v>2311.4</v>
      </c>
      <c r="O360">
        <v>1322.9</v>
      </c>
      <c r="P360">
        <v>0.01</v>
      </c>
      <c r="Q360" t="s">
        <v>38</v>
      </c>
    </row>
    <row r="361" spans="1:17" x14ac:dyDescent="0.25">
      <c r="A361">
        <v>1359</v>
      </c>
      <c r="B361" s="1">
        <v>45366</v>
      </c>
      <c r="C361" t="s">
        <v>31</v>
      </c>
      <c r="D361" t="s">
        <v>32</v>
      </c>
      <c r="E361" t="s">
        <v>53</v>
      </c>
      <c r="F361" t="s">
        <v>40</v>
      </c>
      <c r="G361" t="s">
        <v>41</v>
      </c>
      <c r="H361" t="s">
        <v>63</v>
      </c>
      <c r="I361" t="s">
        <v>64</v>
      </c>
      <c r="J361">
        <v>10</v>
      </c>
      <c r="K361">
        <v>102.23</v>
      </c>
      <c r="L361">
        <v>55.91</v>
      </c>
      <c r="M361">
        <v>879.18</v>
      </c>
      <c r="N361">
        <v>559.1</v>
      </c>
      <c r="O361">
        <v>320.08</v>
      </c>
      <c r="P361">
        <v>0.14000000000000001</v>
      </c>
      <c r="Q361" t="s">
        <v>23</v>
      </c>
    </row>
    <row r="362" spans="1:17" x14ac:dyDescent="0.25">
      <c r="A362">
        <v>1360</v>
      </c>
      <c r="B362" s="1">
        <v>45012</v>
      </c>
      <c r="C362" t="s">
        <v>198</v>
      </c>
      <c r="D362" t="s">
        <v>17</v>
      </c>
      <c r="E362" t="s">
        <v>53</v>
      </c>
      <c r="F362" t="s">
        <v>40</v>
      </c>
      <c r="G362" t="s">
        <v>20</v>
      </c>
      <c r="H362" t="s">
        <v>21</v>
      </c>
      <c r="I362" t="s">
        <v>22</v>
      </c>
      <c r="J362">
        <v>10</v>
      </c>
      <c r="K362">
        <v>524.92999999999995</v>
      </c>
      <c r="L362">
        <v>357.96</v>
      </c>
      <c r="M362">
        <v>4671.88</v>
      </c>
      <c r="N362">
        <v>3579.6</v>
      </c>
      <c r="O362">
        <v>1092.28</v>
      </c>
      <c r="P362">
        <v>0.11</v>
      </c>
      <c r="Q362" t="s">
        <v>23</v>
      </c>
    </row>
    <row r="363" spans="1:17" x14ac:dyDescent="0.25">
      <c r="A363">
        <v>1361</v>
      </c>
      <c r="B363" s="1">
        <v>45631</v>
      </c>
      <c r="C363" t="s">
        <v>259</v>
      </c>
      <c r="D363" t="s">
        <v>32</v>
      </c>
      <c r="E363" t="s">
        <v>18</v>
      </c>
      <c r="F363" t="s">
        <v>34</v>
      </c>
      <c r="G363" t="s">
        <v>20</v>
      </c>
      <c r="H363" t="s">
        <v>28</v>
      </c>
      <c r="I363" t="s">
        <v>29</v>
      </c>
      <c r="J363">
        <v>5</v>
      </c>
      <c r="K363">
        <v>855.7</v>
      </c>
      <c r="L363">
        <v>554.70000000000005</v>
      </c>
      <c r="M363">
        <v>3807.87</v>
      </c>
      <c r="N363">
        <v>2773.5</v>
      </c>
      <c r="O363">
        <v>1034.3699999999999</v>
      </c>
      <c r="P363">
        <v>0.11</v>
      </c>
      <c r="Q363" t="s">
        <v>30</v>
      </c>
    </row>
    <row r="364" spans="1:17" x14ac:dyDescent="0.25">
      <c r="A364">
        <v>1362</v>
      </c>
      <c r="B364" s="1">
        <v>45623</v>
      </c>
      <c r="C364" t="s">
        <v>170</v>
      </c>
      <c r="D364" t="s">
        <v>25</v>
      </c>
      <c r="E364" t="s">
        <v>53</v>
      </c>
      <c r="F364" t="s">
        <v>27</v>
      </c>
      <c r="G364" t="s">
        <v>20</v>
      </c>
      <c r="H364" t="s">
        <v>28</v>
      </c>
      <c r="I364" t="s">
        <v>61</v>
      </c>
      <c r="J364">
        <v>5</v>
      </c>
      <c r="K364">
        <v>988.57</v>
      </c>
      <c r="L364">
        <v>694.15</v>
      </c>
      <c r="M364">
        <v>3805.99</v>
      </c>
      <c r="N364">
        <v>3470.75</v>
      </c>
      <c r="O364">
        <v>335.24</v>
      </c>
      <c r="P364">
        <v>0.23</v>
      </c>
      <c r="Q364" t="s">
        <v>75</v>
      </c>
    </row>
    <row r="365" spans="1:17" x14ac:dyDescent="0.25">
      <c r="A365">
        <v>1363</v>
      </c>
      <c r="B365" s="1">
        <v>45068</v>
      </c>
      <c r="C365" t="s">
        <v>142</v>
      </c>
      <c r="D365" t="s">
        <v>17</v>
      </c>
      <c r="E365" t="s">
        <v>33</v>
      </c>
      <c r="F365" t="s">
        <v>19</v>
      </c>
      <c r="G365" t="s">
        <v>35</v>
      </c>
      <c r="H365" t="s">
        <v>70</v>
      </c>
      <c r="I365" t="s">
        <v>98</v>
      </c>
      <c r="J365">
        <v>2</v>
      </c>
      <c r="K365">
        <v>218.39</v>
      </c>
      <c r="L365">
        <v>139.81</v>
      </c>
      <c r="M365">
        <v>393.1</v>
      </c>
      <c r="N365">
        <v>279.62</v>
      </c>
      <c r="O365">
        <v>113.48</v>
      </c>
      <c r="P365">
        <v>0.1</v>
      </c>
      <c r="Q365" t="s">
        <v>38</v>
      </c>
    </row>
    <row r="366" spans="1:17" x14ac:dyDescent="0.25">
      <c r="A366">
        <v>1364</v>
      </c>
      <c r="B366" s="1">
        <v>45555</v>
      </c>
      <c r="C366" t="s">
        <v>248</v>
      </c>
      <c r="D366" t="s">
        <v>17</v>
      </c>
      <c r="E366" t="s">
        <v>33</v>
      </c>
      <c r="F366" t="s">
        <v>19</v>
      </c>
      <c r="G366" t="s">
        <v>35</v>
      </c>
      <c r="H366" t="s">
        <v>70</v>
      </c>
      <c r="I366" t="s">
        <v>98</v>
      </c>
      <c r="J366">
        <v>2</v>
      </c>
      <c r="K366">
        <v>824.14</v>
      </c>
      <c r="L366">
        <v>548.12</v>
      </c>
      <c r="M366">
        <v>1351.59</v>
      </c>
      <c r="N366">
        <v>1096.24</v>
      </c>
      <c r="O366">
        <v>255.35</v>
      </c>
      <c r="P366">
        <v>0.18</v>
      </c>
      <c r="Q366" t="s">
        <v>44</v>
      </c>
    </row>
    <row r="367" spans="1:17" x14ac:dyDescent="0.25">
      <c r="A367">
        <v>1365</v>
      </c>
      <c r="B367" s="1">
        <v>44992</v>
      </c>
      <c r="C367" t="s">
        <v>163</v>
      </c>
      <c r="D367" t="s">
        <v>32</v>
      </c>
      <c r="E367" t="s">
        <v>33</v>
      </c>
      <c r="F367" t="s">
        <v>34</v>
      </c>
      <c r="G367" t="s">
        <v>41</v>
      </c>
      <c r="H367" t="s">
        <v>46</v>
      </c>
      <c r="I367" t="s">
        <v>57</v>
      </c>
      <c r="J367">
        <v>10</v>
      </c>
      <c r="K367">
        <v>657.89</v>
      </c>
      <c r="L367">
        <v>394.91</v>
      </c>
      <c r="M367">
        <v>4671.0200000000004</v>
      </c>
      <c r="N367">
        <v>3949.1</v>
      </c>
      <c r="O367">
        <v>721.92</v>
      </c>
      <c r="P367">
        <v>0.28999999999999998</v>
      </c>
      <c r="Q367" t="s">
        <v>51</v>
      </c>
    </row>
    <row r="368" spans="1:17" x14ac:dyDescent="0.25">
      <c r="A368">
        <v>1366</v>
      </c>
      <c r="B368" s="1">
        <v>45106</v>
      </c>
      <c r="C368" t="s">
        <v>136</v>
      </c>
      <c r="D368" t="s">
        <v>32</v>
      </c>
      <c r="E368" t="s">
        <v>33</v>
      </c>
      <c r="F368" t="s">
        <v>19</v>
      </c>
      <c r="G368" t="s">
        <v>41</v>
      </c>
      <c r="H368" t="s">
        <v>63</v>
      </c>
      <c r="I368" t="s">
        <v>117</v>
      </c>
      <c r="J368">
        <v>4</v>
      </c>
      <c r="K368">
        <v>38.44</v>
      </c>
      <c r="L368">
        <v>27.29</v>
      </c>
      <c r="M368">
        <v>130.69999999999999</v>
      </c>
      <c r="N368">
        <v>109.16</v>
      </c>
      <c r="O368">
        <v>21.54</v>
      </c>
      <c r="P368">
        <v>0.15</v>
      </c>
      <c r="Q368" t="s">
        <v>23</v>
      </c>
    </row>
    <row r="369" spans="1:17" x14ac:dyDescent="0.25">
      <c r="A369">
        <v>1367</v>
      </c>
      <c r="B369" s="1">
        <v>45556</v>
      </c>
      <c r="C369" t="s">
        <v>58</v>
      </c>
      <c r="D369" t="s">
        <v>25</v>
      </c>
      <c r="E369" t="s">
        <v>18</v>
      </c>
      <c r="F369" t="s">
        <v>19</v>
      </c>
      <c r="G369" t="s">
        <v>41</v>
      </c>
      <c r="H369" t="s">
        <v>42</v>
      </c>
      <c r="I369" t="s">
        <v>77</v>
      </c>
      <c r="J369">
        <v>2</v>
      </c>
      <c r="K369">
        <v>996.83</v>
      </c>
      <c r="L369">
        <v>770.44</v>
      </c>
      <c r="M369">
        <v>1774.36</v>
      </c>
      <c r="N369">
        <v>1540.88</v>
      </c>
      <c r="O369">
        <v>233.48</v>
      </c>
      <c r="P369">
        <v>0.11</v>
      </c>
      <c r="Q369" t="s">
        <v>75</v>
      </c>
    </row>
    <row r="370" spans="1:17" x14ac:dyDescent="0.25">
      <c r="A370">
        <v>1368</v>
      </c>
      <c r="B370" s="1">
        <v>45342</v>
      </c>
      <c r="C370" t="s">
        <v>72</v>
      </c>
      <c r="D370" t="s">
        <v>17</v>
      </c>
      <c r="E370" t="s">
        <v>33</v>
      </c>
      <c r="F370" t="s">
        <v>34</v>
      </c>
      <c r="G370" t="s">
        <v>20</v>
      </c>
      <c r="H370" t="s">
        <v>113</v>
      </c>
      <c r="I370" t="s">
        <v>153</v>
      </c>
      <c r="J370">
        <v>9</v>
      </c>
      <c r="K370">
        <v>915.43</v>
      </c>
      <c r="L370">
        <v>569.24</v>
      </c>
      <c r="M370">
        <v>5849.6</v>
      </c>
      <c r="N370">
        <v>5123.16</v>
      </c>
      <c r="O370">
        <v>726.44</v>
      </c>
      <c r="P370">
        <v>0.28999999999999998</v>
      </c>
      <c r="Q370" t="s">
        <v>30</v>
      </c>
    </row>
    <row r="371" spans="1:17" x14ac:dyDescent="0.25">
      <c r="A371">
        <v>1369</v>
      </c>
      <c r="B371" s="1">
        <v>45158</v>
      </c>
      <c r="C371" t="s">
        <v>72</v>
      </c>
      <c r="D371" t="s">
        <v>32</v>
      </c>
      <c r="E371" t="s">
        <v>53</v>
      </c>
      <c r="F371" t="s">
        <v>34</v>
      </c>
      <c r="G371" t="s">
        <v>35</v>
      </c>
      <c r="H371" t="s">
        <v>36</v>
      </c>
      <c r="I371" t="s">
        <v>37</v>
      </c>
      <c r="J371">
        <v>9</v>
      </c>
      <c r="K371">
        <v>110.93</v>
      </c>
      <c r="L371">
        <v>58.28</v>
      </c>
      <c r="M371">
        <v>908.52</v>
      </c>
      <c r="N371">
        <v>524.52</v>
      </c>
      <c r="O371">
        <v>384</v>
      </c>
      <c r="P371">
        <v>0.09</v>
      </c>
      <c r="Q371" t="s">
        <v>44</v>
      </c>
    </row>
    <row r="372" spans="1:17" x14ac:dyDescent="0.25">
      <c r="A372">
        <v>1370</v>
      </c>
      <c r="B372" s="1">
        <v>45452</v>
      </c>
      <c r="C372" t="s">
        <v>144</v>
      </c>
      <c r="D372" t="s">
        <v>17</v>
      </c>
      <c r="E372" t="s">
        <v>18</v>
      </c>
      <c r="F372" t="s">
        <v>27</v>
      </c>
      <c r="G372" t="s">
        <v>35</v>
      </c>
      <c r="H372" t="s">
        <v>70</v>
      </c>
      <c r="I372" t="s">
        <v>71</v>
      </c>
      <c r="J372">
        <v>4</v>
      </c>
      <c r="K372">
        <v>758.69</v>
      </c>
      <c r="L372">
        <v>634.59</v>
      </c>
      <c r="M372">
        <v>2609.89</v>
      </c>
      <c r="N372">
        <v>2538.36</v>
      </c>
      <c r="O372">
        <v>71.53</v>
      </c>
      <c r="P372">
        <v>0.14000000000000001</v>
      </c>
      <c r="Q372" t="s">
        <v>55</v>
      </c>
    </row>
    <row r="373" spans="1:17" x14ac:dyDescent="0.25">
      <c r="A373">
        <v>1371</v>
      </c>
      <c r="B373" s="1">
        <v>45527</v>
      </c>
      <c r="C373" t="s">
        <v>52</v>
      </c>
      <c r="D373" t="s">
        <v>32</v>
      </c>
      <c r="E373" t="s">
        <v>33</v>
      </c>
      <c r="F373" t="s">
        <v>40</v>
      </c>
      <c r="G373" t="s">
        <v>20</v>
      </c>
      <c r="H373" t="s">
        <v>28</v>
      </c>
      <c r="I373" t="s">
        <v>81</v>
      </c>
      <c r="J373">
        <v>4</v>
      </c>
      <c r="K373">
        <v>801.16</v>
      </c>
      <c r="L373">
        <v>516.23</v>
      </c>
      <c r="M373">
        <v>2852.13</v>
      </c>
      <c r="N373">
        <v>2064.92</v>
      </c>
      <c r="O373">
        <v>787.21</v>
      </c>
      <c r="P373">
        <v>0.11</v>
      </c>
      <c r="Q373" t="s">
        <v>38</v>
      </c>
    </row>
    <row r="374" spans="1:17" x14ac:dyDescent="0.25">
      <c r="A374">
        <v>1372</v>
      </c>
      <c r="B374" s="1">
        <v>44936</v>
      </c>
      <c r="C374" t="s">
        <v>260</v>
      </c>
      <c r="D374" t="s">
        <v>32</v>
      </c>
      <c r="E374" t="s">
        <v>26</v>
      </c>
      <c r="F374" t="s">
        <v>40</v>
      </c>
      <c r="G374" t="s">
        <v>20</v>
      </c>
      <c r="H374" t="s">
        <v>28</v>
      </c>
      <c r="I374" t="s">
        <v>29</v>
      </c>
      <c r="J374">
        <v>2</v>
      </c>
      <c r="K374">
        <v>556.78</v>
      </c>
      <c r="L374">
        <v>313.17</v>
      </c>
      <c r="M374">
        <v>1013.34</v>
      </c>
      <c r="N374">
        <v>626.34</v>
      </c>
      <c r="O374">
        <v>387</v>
      </c>
      <c r="P374">
        <v>0.09</v>
      </c>
      <c r="Q374" t="s">
        <v>23</v>
      </c>
    </row>
    <row r="375" spans="1:17" x14ac:dyDescent="0.25">
      <c r="A375">
        <v>1373</v>
      </c>
      <c r="B375" s="1">
        <v>45514</v>
      </c>
      <c r="C375" t="s">
        <v>56</v>
      </c>
      <c r="D375" t="s">
        <v>17</v>
      </c>
      <c r="E375" t="s">
        <v>26</v>
      </c>
      <c r="F375" t="s">
        <v>27</v>
      </c>
      <c r="G375" t="s">
        <v>41</v>
      </c>
      <c r="H375" t="s">
        <v>42</v>
      </c>
      <c r="I375" t="s">
        <v>77</v>
      </c>
      <c r="J375">
        <v>4</v>
      </c>
      <c r="K375">
        <v>873.38</v>
      </c>
      <c r="L375">
        <v>499.9</v>
      </c>
      <c r="M375">
        <v>3283.91</v>
      </c>
      <c r="N375">
        <v>1999.6</v>
      </c>
      <c r="O375">
        <v>1284.31</v>
      </c>
      <c r="P375">
        <v>0.06</v>
      </c>
      <c r="Q375" t="s">
        <v>23</v>
      </c>
    </row>
    <row r="376" spans="1:17" x14ac:dyDescent="0.25">
      <c r="A376">
        <v>1374</v>
      </c>
      <c r="B376" s="1">
        <v>45560</v>
      </c>
      <c r="C376" t="s">
        <v>214</v>
      </c>
      <c r="D376" t="s">
        <v>25</v>
      </c>
      <c r="E376" t="s">
        <v>33</v>
      </c>
      <c r="F376" t="s">
        <v>34</v>
      </c>
      <c r="G376" t="s">
        <v>41</v>
      </c>
      <c r="H376" t="s">
        <v>63</v>
      </c>
      <c r="I376" t="s">
        <v>117</v>
      </c>
      <c r="J376">
        <v>10</v>
      </c>
      <c r="K376">
        <v>11.59</v>
      </c>
      <c r="L376">
        <v>9.27</v>
      </c>
      <c r="M376">
        <v>82.29</v>
      </c>
      <c r="N376">
        <v>92.7</v>
      </c>
      <c r="O376">
        <v>-10.41</v>
      </c>
      <c r="P376">
        <v>0.28999999999999998</v>
      </c>
      <c r="Q376" t="s">
        <v>55</v>
      </c>
    </row>
    <row r="377" spans="1:17" x14ac:dyDescent="0.25">
      <c r="A377">
        <v>1375</v>
      </c>
      <c r="B377" s="1">
        <v>45307</v>
      </c>
      <c r="C377" t="s">
        <v>65</v>
      </c>
      <c r="D377" t="s">
        <v>32</v>
      </c>
      <c r="E377" t="s">
        <v>18</v>
      </c>
      <c r="F377" t="s">
        <v>27</v>
      </c>
      <c r="G377" t="s">
        <v>20</v>
      </c>
      <c r="H377" t="s">
        <v>113</v>
      </c>
      <c r="I377" t="s">
        <v>153</v>
      </c>
      <c r="J377">
        <v>7</v>
      </c>
      <c r="K377">
        <v>225.98</v>
      </c>
      <c r="L377">
        <v>158.6</v>
      </c>
      <c r="M377">
        <v>1550.22</v>
      </c>
      <c r="N377">
        <v>1110.2</v>
      </c>
      <c r="O377">
        <v>440.02</v>
      </c>
      <c r="P377">
        <v>0.02</v>
      </c>
      <c r="Q377" t="s">
        <v>75</v>
      </c>
    </row>
    <row r="378" spans="1:17" x14ac:dyDescent="0.25">
      <c r="A378">
        <v>1376</v>
      </c>
      <c r="B378" s="1">
        <v>45416</v>
      </c>
      <c r="C378" t="s">
        <v>181</v>
      </c>
      <c r="D378" t="s">
        <v>17</v>
      </c>
      <c r="E378" t="s">
        <v>18</v>
      </c>
      <c r="F378" t="s">
        <v>27</v>
      </c>
      <c r="G378" t="s">
        <v>41</v>
      </c>
      <c r="H378" t="s">
        <v>42</v>
      </c>
      <c r="I378" t="s">
        <v>68</v>
      </c>
      <c r="J378">
        <v>2</v>
      </c>
      <c r="K378">
        <v>699.75</v>
      </c>
      <c r="L378">
        <v>462.55</v>
      </c>
      <c r="M378">
        <v>1105.6099999999999</v>
      </c>
      <c r="N378">
        <v>925.1</v>
      </c>
      <c r="O378">
        <v>180.51</v>
      </c>
      <c r="P378">
        <v>0.21</v>
      </c>
      <c r="Q378" t="s">
        <v>51</v>
      </c>
    </row>
    <row r="379" spans="1:17" x14ac:dyDescent="0.25">
      <c r="A379">
        <v>1377</v>
      </c>
      <c r="B379" s="1">
        <v>45617</v>
      </c>
      <c r="C379" t="s">
        <v>122</v>
      </c>
      <c r="D379" t="s">
        <v>17</v>
      </c>
      <c r="E379" t="s">
        <v>33</v>
      </c>
      <c r="F379" t="s">
        <v>40</v>
      </c>
      <c r="G379" t="s">
        <v>35</v>
      </c>
      <c r="H379" t="s">
        <v>70</v>
      </c>
      <c r="I379" t="s">
        <v>71</v>
      </c>
      <c r="J379">
        <v>3</v>
      </c>
      <c r="K379">
        <v>550.82000000000005</v>
      </c>
      <c r="L379">
        <v>321.13</v>
      </c>
      <c r="M379">
        <v>1421.12</v>
      </c>
      <c r="N379">
        <v>963.39</v>
      </c>
      <c r="O379">
        <v>457.73</v>
      </c>
      <c r="P379">
        <v>0.14000000000000001</v>
      </c>
      <c r="Q379" t="s">
        <v>125</v>
      </c>
    </row>
    <row r="380" spans="1:17" x14ac:dyDescent="0.25">
      <c r="A380">
        <v>1378</v>
      </c>
      <c r="B380" s="1">
        <v>45278</v>
      </c>
      <c r="C380" t="s">
        <v>214</v>
      </c>
      <c r="D380" t="s">
        <v>32</v>
      </c>
      <c r="E380" t="s">
        <v>53</v>
      </c>
      <c r="F380" t="s">
        <v>19</v>
      </c>
      <c r="G380" t="s">
        <v>35</v>
      </c>
      <c r="H380" t="s">
        <v>70</v>
      </c>
      <c r="I380" t="s">
        <v>71</v>
      </c>
      <c r="J380">
        <v>6</v>
      </c>
      <c r="K380">
        <v>855.05</v>
      </c>
      <c r="L380">
        <v>511.21</v>
      </c>
      <c r="M380">
        <v>4873.78</v>
      </c>
      <c r="N380">
        <v>3067.26</v>
      </c>
      <c r="O380">
        <v>1806.52</v>
      </c>
      <c r="P380">
        <v>0.05</v>
      </c>
      <c r="Q380" t="s">
        <v>92</v>
      </c>
    </row>
    <row r="381" spans="1:17" x14ac:dyDescent="0.25">
      <c r="A381">
        <v>1379</v>
      </c>
      <c r="B381" s="1">
        <v>45516</v>
      </c>
      <c r="C381" t="s">
        <v>244</v>
      </c>
      <c r="D381" t="s">
        <v>25</v>
      </c>
      <c r="E381" t="s">
        <v>18</v>
      </c>
      <c r="F381" t="s">
        <v>19</v>
      </c>
      <c r="G381" t="s">
        <v>41</v>
      </c>
      <c r="H381" t="s">
        <v>46</v>
      </c>
      <c r="I381" t="s">
        <v>57</v>
      </c>
      <c r="J381">
        <v>4</v>
      </c>
      <c r="K381">
        <v>150.11000000000001</v>
      </c>
      <c r="L381">
        <v>125.45</v>
      </c>
      <c r="M381">
        <v>576.41999999999996</v>
      </c>
      <c r="N381">
        <v>501.8</v>
      </c>
      <c r="O381">
        <v>74.62</v>
      </c>
      <c r="P381">
        <v>0.04</v>
      </c>
      <c r="Q381" t="s">
        <v>51</v>
      </c>
    </row>
    <row r="382" spans="1:17" x14ac:dyDescent="0.25">
      <c r="A382">
        <v>1380</v>
      </c>
      <c r="B382" s="1">
        <v>45107</v>
      </c>
      <c r="C382" t="s">
        <v>78</v>
      </c>
      <c r="D382" t="s">
        <v>25</v>
      </c>
      <c r="E382" t="s">
        <v>18</v>
      </c>
      <c r="F382" t="s">
        <v>27</v>
      </c>
      <c r="G382" t="s">
        <v>35</v>
      </c>
      <c r="H382" t="s">
        <v>49</v>
      </c>
      <c r="I382" t="s">
        <v>59</v>
      </c>
      <c r="J382">
        <v>10</v>
      </c>
      <c r="K382">
        <v>52.47</v>
      </c>
      <c r="L382">
        <v>28.05</v>
      </c>
      <c r="M382">
        <v>498.47</v>
      </c>
      <c r="N382">
        <v>280.5</v>
      </c>
      <c r="O382">
        <v>217.97</v>
      </c>
      <c r="P382">
        <v>0.05</v>
      </c>
      <c r="Q382" t="s">
        <v>23</v>
      </c>
    </row>
    <row r="383" spans="1:17" x14ac:dyDescent="0.25">
      <c r="A383">
        <v>1381</v>
      </c>
      <c r="B383" s="1">
        <v>45187</v>
      </c>
      <c r="C383" t="s">
        <v>220</v>
      </c>
      <c r="D383" t="s">
        <v>17</v>
      </c>
      <c r="E383" t="s">
        <v>33</v>
      </c>
      <c r="F383" t="s">
        <v>27</v>
      </c>
      <c r="G383" t="s">
        <v>41</v>
      </c>
      <c r="H383" t="s">
        <v>46</v>
      </c>
      <c r="I383" t="s">
        <v>57</v>
      </c>
      <c r="J383">
        <v>6</v>
      </c>
      <c r="K383">
        <v>363.51</v>
      </c>
      <c r="L383">
        <v>252.68</v>
      </c>
      <c r="M383">
        <v>1657.61</v>
      </c>
      <c r="N383">
        <v>1516.08</v>
      </c>
      <c r="O383">
        <v>141.53</v>
      </c>
      <c r="P383">
        <v>0.24</v>
      </c>
      <c r="Q383" t="s">
        <v>85</v>
      </c>
    </row>
    <row r="384" spans="1:17" x14ac:dyDescent="0.25">
      <c r="A384">
        <v>1382</v>
      </c>
      <c r="B384" s="1">
        <v>44947</v>
      </c>
      <c r="C384" t="s">
        <v>225</v>
      </c>
      <c r="D384" t="s">
        <v>32</v>
      </c>
      <c r="E384" t="s">
        <v>26</v>
      </c>
      <c r="F384" t="s">
        <v>19</v>
      </c>
      <c r="G384" t="s">
        <v>35</v>
      </c>
      <c r="H384" t="s">
        <v>49</v>
      </c>
      <c r="I384" t="s">
        <v>50</v>
      </c>
      <c r="J384">
        <v>9</v>
      </c>
      <c r="K384">
        <v>490.06</v>
      </c>
      <c r="L384">
        <v>371.36</v>
      </c>
      <c r="M384">
        <v>3219.69</v>
      </c>
      <c r="N384">
        <v>3342.24</v>
      </c>
      <c r="O384">
        <v>-122.55</v>
      </c>
      <c r="P384">
        <v>0.27</v>
      </c>
      <c r="Q384" t="s">
        <v>75</v>
      </c>
    </row>
    <row r="385" spans="1:17" x14ac:dyDescent="0.25">
      <c r="A385">
        <v>1383</v>
      </c>
      <c r="B385" s="1">
        <v>45555</v>
      </c>
      <c r="C385" t="s">
        <v>76</v>
      </c>
      <c r="D385" t="s">
        <v>17</v>
      </c>
      <c r="E385" t="s">
        <v>26</v>
      </c>
      <c r="F385" t="s">
        <v>19</v>
      </c>
      <c r="G385" t="s">
        <v>41</v>
      </c>
      <c r="H385" t="s">
        <v>46</v>
      </c>
      <c r="I385" t="s">
        <v>57</v>
      </c>
      <c r="J385">
        <v>10</v>
      </c>
      <c r="K385">
        <v>573.78</v>
      </c>
      <c r="L385">
        <v>457.37</v>
      </c>
      <c r="M385">
        <v>5623.04</v>
      </c>
      <c r="N385">
        <v>4573.7</v>
      </c>
      <c r="O385">
        <v>1049.3399999999999</v>
      </c>
      <c r="P385">
        <v>0.02</v>
      </c>
      <c r="Q385" t="s">
        <v>92</v>
      </c>
    </row>
    <row r="386" spans="1:17" x14ac:dyDescent="0.25">
      <c r="A386">
        <v>1384</v>
      </c>
      <c r="B386" s="1">
        <v>45278</v>
      </c>
      <c r="C386" t="s">
        <v>208</v>
      </c>
      <c r="D386" t="s">
        <v>32</v>
      </c>
      <c r="E386" t="s">
        <v>18</v>
      </c>
      <c r="F386" t="s">
        <v>40</v>
      </c>
      <c r="G386" t="s">
        <v>41</v>
      </c>
      <c r="H386" t="s">
        <v>63</v>
      </c>
      <c r="I386" t="s">
        <v>117</v>
      </c>
      <c r="J386">
        <v>5</v>
      </c>
      <c r="K386">
        <v>888.25</v>
      </c>
      <c r="L386">
        <v>686.92</v>
      </c>
      <c r="M386">
        <v>3197.7</v>
      </c>
      <c r="N386">
        <v>3434.6</v>
      </c>
      <c r="O386">
        <v>-236.9</v>
      </c>
      <c r="P386">
        <v>0.28000000000000003</v>
      </c>
      <c r="Q386" t="s">
        <v>125</v>
      </c>
    </row>
    <row r="387" spans="1:17" x14ac:dyDescent="0.25">
      <c r="A387">
        <v>1385</v>
      </c>
      <c r="B387" s="1">
        <v>45460</v>
      </c>
      <c r="C387" t="s">
        <v>119</v>
      </c>
      <c r="D387" t="s">
        <v>25</v>
      </c>
      <c r="E387" t="s">
        <v>26</v>
      </c>
      <c r="F387" t="s">
        <v>34</v>
      </c>
      <c r="G387" t="s">
        <v>20</v>
      </c>
      <c r="H387" t="s">
        <v>113</v>
      </c>
      <c r="I387" t="s">
        <v>114</v>
      </c>
      <c r="J387">
        <v>5</v>
      </c>
      <c r="K387">
        <v>940.74</v>
      </c>
      <c r="L387">
        <v>701.08</v>
      </c>
      <c r="M387">
        <v>4609.63</v>
      </c>
      <c r="N387">
        <v>3505.4</v>
      </c>
      <c r="O387">
        <v>1104.23</v>
      </c>
      <c r="P387">
        <v>0.02</v>
      </c>
      <c r="Q387" t="s">
        <v>92</v>
      </c>
    </row>
    <row r="388" spans="1:17" x14ac:dyDescent="0.25">
      <c r="A388">
        <v>1386</v>
      </c>
      <c r="B388" s="1">
        <v>45333</v>
      </c>
      <c r="C388" t="s">
        <v>251</v>
      </c>
      <c r="D388" t="s">
        <v>25</v>
      </c>
      <c r="E388" t="s">
        <v>53</v>
      </c>
      <c r="F388" t="s">
        <v>34</v>
      </c>
      <c r="G388" t="s">
        <v>20</v>
      </c>
      <c r="H388" t="s">
        <v>28</v>
      </c>
      <c r="I388" t="s">
        <v>90</v>
      </c>
      <c r="J388">
        <v>2</v>
      </c>
      <c r="K388">
        <v>266.14</v>
      </c>
      <c r="L388">
        <v>147.53</v>
      </c>
      <c r="M388">
        <v>425.82</v>
      </c>
      <c r="N388">
        <v>295.06</v>
      </c>
      <c r="O388">
        <v>130.76</v>
      </c>
      <c r="P388">
        <v>0.2</v>
      </c>
      <c r="Q388" t="s">
        <v>75</v>
      </c>
    </row>
    <row r="389" spans="1:17" x14ac:dyDescent="0.25">
      <c r="A389">
        <v>1387</v>
      </c>
      <c r="B389" s="1">
        <v>45243</v>
      </c>
      <c r="C389" t="s">
        <v>261</v>
      </c>
      <c r="D389" t="s">
        <v>17</v>
      </c>
      <c r="E389" t="s">
        <v>18</v>
      </c>
      <c r="F389" t="s">
        <v>27</v>
      </c>
      <c r="G389" t="s">
        <v>41</v>
      </c>
      <c r="H389" t="s">
        <v>42</v>
      </c>
      <c r="I389" t="s">
        <v>77</v>
      </c>
      <c r="J389">
        <v>9</v>
      </c>
      <c r="K389">
        <v>839.33</v>
      </c>
      <c r="L389">
        <v>428.06</v>
      </c>
      <c r="M389">
        <v>6043.18</v>
      </c>
      <c r="N389">
        <v>3852.54</v>
      </c>
      <c r="O389">
        <v>2190.64</v>
      </c>
      <c r="P389">
        <v>0.2</v>
      </c>
      <c r="Q389" t="s">
        <v>85</v>
      </c>
    </row>
    <row r="390" spans="1:17" x14ac:dyDescent="0.25">
      <c r="A390">
        <v>1388</v>
      </c>
      <c r="B390" s="1">
        <v>45414</v>
      </c>
      <c r="C390" t="s">
        <v>220</v>
      </c>
      <c r="D390" t="s">
        <v>17</v>
      </c>
      <c r="E390" t="s">
        <v>18</v>
      </c>
      <c r="F390" t="s">
        <v>27</v>
      </c>
      <c r="G390" t="s">
        <v>20</v>
      </c>
      <c r="H390" t="s">
        <v>113</v>
      </c>
      <c r="I390" t="s">
        <v>161</v>
      </c>
      <c r="J390">
        <v>3</v>
      </c>
      <c r="K390">
        <v>592.88</v>
      </c>
      <c r="L390">
        <v>391.18</v>
      </c>
      <c r="M390">
        <v>1387.34</v>
      </c>
      <c r="N390">
        <v>1173.54</v>
      </c>
      <c r="O390">
        <v>213.8</v>
      </c>
      <c r="P390">
        <v>0.22</v>
      </c>
      <c r="Q390" t="s">
        <v>125</v>
      </c>
    </row>
    <row r="391" spans="1:17" x14ac:dyDescent="0.25">
      <c r="A391">
        <v>1389</v>
      </c>
      <c r="B391" s="1">
        <v>45372</v>
      </c>
      <c r="C391" t="s">
        <v>247</v>
      </c>
      <c r="D391" t="s">
        <v>17</v>
      </c>
      <c r="E391" t="s">
        <v>18</v>
      </c>
      <c r="F391" t="s">
        <v>40</v>
      </c>
      <c r="G391" t="s">
        <v>35</v>
      </c>
      <c r="H391" t="s">
        <v>70</v>
      </c>
      <c r="I391" t="s">
        <v>98</v>
      </c>
      <c r="J391">
        <v>2</v>
      </c>
      <c r="K391">
        <v>444.65</v>
      </c>
      <c r="L391">
        <v>279.25</v>
      </c>
      <c r="M391">
        <v>818.16</v>
      </c>
      <c r="N391">
        <v>558.5</v>
      </c>
      <c r="O391">
        <v>259.66000000000003</v>
      </c>
      <c r="P391">
        <v>0.08</v>
      </c>
      <c r="Q391" t="s">
        <v>30</v>
      </c>
    </row>
    <row r="392" spans="1:17" x14ac:dyDescent="0.25">
      <c r="A392">
        <v>1390</v>
      </c>
      <c r="B392" s="1">
        <v>44937</v>
      </c>
      <c r="C392" t="s">
        <v>262</v>
      </c>
      <c r="D392" t="s">
        <v>25</v>
      </c>
      <c r="E392" t="s">
        <v>18</v>
      </c>
      <c r="F392" t="s">
        <v>40</v>
      </c>
      <c r="G392" t="s">
        <v>35</v>
      </c>
      <c r="H392" t="s">
        <v>70</v>
      </c>
      <c r="I392" t="s">
        <v>98</v>
      </c>
      <c r="J392">
        <v>8</v>
      </c>
      <c r="K392">
        <v>947.22</v>
      </c>
      <c r="L392">
        <v>631.77</v>
      </c>
      <c r="M392">
        <v>7577.76</v>
      </c>
      <c r="N392">
        <v>5054.16</v>
      </c>
      <c r="O392">
        <v>2523.6</v>
      </c>
      <c r="P392">
        <v>0</v>
      </c>
      <c r="Q392" t="s">
        <v>75</v>
      </c>
    </row>
    <row r="393" spans="1:17" x14ac:dyDescent="0.25">
      <c r="A393">
        <v>1391</v>
      </c>
      <c r="B393" s="1">
        <v>45226</v>
      </c>
      <c r="C393" t="s">
        <v>72</v>
      </c>
      <c r="D393" t="s">
        <v>25</v>
      </c>
      <c r="E393" t="s">
        <v>18</v>
      </c>
      <c r="F393" t="s">
        <v>19</v>
      </c>
      <c r="G393" t="s">
        <v>35</v>
      </c>
      <c r="H393" t="s">
        <v>70</v>
      </c>
      <c r="I393" t="s">
        <v>71</v>
      </c>
      <c r="J393">
        <v>7</v>
      </c>
      <c r="K393">
        <v>253.65</v>
      </c>
      <c r="L393">
        <v>190.3</v>
      </c>
      <c r="M393">
        <v>1438.2</v>
      </c>
      <c r="N393">
        <v>1332.1</v>
      </c>
      <c r="O393">
        <v>106.1</v>
      </c>
      <c r="P393">
        <v>0.19</v>
      </c>
      <c r="Q393" t="s">
        <v>75</v>
      </c>
    </row>
    <row r="394" spans="1:17" x14ac:dyDescent="0.25">
      <c r="A394">
        <v>1392</v>
      </c>
      <c r="B394" s="1">
        <v>45152</v>
      </c>
      <c r="C394" t="s">
        <v>116</v>
      </c>
      <c r="D394" t="s">
        <v>32</v>
      </c>
      <c r="E394" t="s">
        <v>26</v>
      </c>
      <c r="F394" t="s">
        <v>40</v>
      </c>
      <c r="G394" t="s">
        <v>35</v>
      </c>
      <c r="H394" t="s">
        <v>70</v>
      </c>
      <c r="I394" t="s">
        <v>84</v>
      </c>
      <c r="J394">
        <v>9</v>
      </c>
      <c r="K394">
        <v>809.76</v>
      </c>
      <c r="L394">
        <v>521.9</v>
      </c>
      <c r="M394">
        <v>5393</v>
      </c>
      <c r="N394">
        <v>4697.1000000000004</v>
      </c>
      <c r="O394">
        <v>695.9</v>
      </c>
      <c r="P394">
        <v>0.26</v>
      </c>
      <c r="Q394" t="s">
        <v>92</v>
      </c>
    </row>
    <row r="395" spans="1:17" x14ac:dyDescent="0.25">
      <c r="A395">
        <v>1393</v>
      </c>
      <c r="B395" s="1">
        <v>45066</v>
      </c>
      <c r="C395" t="s">
        <v>116</v>
      </c>
      <c r="D395" t="s">
        <v>17</v>
      </c>
      <c r="E395" t="s">
        <v>53</v>
      </c>
      <c r="F395" t="s">
        <v>27</v>
      </c>
      <c r="G395" t="s">
        <v>35</v>
      </c>
      <c r="H395" t="s">
        <v>70</v>
      </c>
      <c r="I395" t="s">
        <v>84</v>
      </c>
      <c r="J395">
        <v>8</v>
      </c>
      <c r="K395">
        <v>191.85</v>
      </c>
      <c r="L395">
        <v>97.23</v>
      </c>
      <c r="M395">
        <v>1519.45</v>
      </c>
      <c r="N395">
        <v>777.84</v>
      </c>
      <c r="O395">
        <v>741.61</v>
      </c>
      <c r="P395">
        <v>0.01</v>
      </c>
      <c r="Q395" t="s">
        <v>38</v>
      </c>
    </row>
    <row r="396" spans="1:17" x14ac:dyDescent="0.25">
      <c r="A396">
        <v>1394</v>
      </c>
      <c r="B396" s="1">
        <v>44949</v>
      </c>
      <c r="C396" t="s">
        <v>145</v>
      </c>
      <c r="D396" t="s">
        <v>32</v>
      </c>
      <c r="E396" t="s">
        <v>18</v>
      </c>
      <c r="F396" t="s">
        <v>19</v>
      </c>
      <c r="G396" t="s">
        <v>41</v>
      </c>
      <c r="H396" t="s">
        <v>46</v>
      </c>
      <c r="I396" t="s">
        <v>102</v>
      </c>
      <c r="J396">
        <v>1</v>
      </c>
      <c r="K396">
        <v>236.65</v>
      </c>
      <c r="L396">
        <v>130.81</v>
      </c>
      <c r="M396">
        <v>201.15</v>
      </c>
      <c r="N396">
        <v>130.81</v>
      </c>
      <c r="O396">
        <v>70.34</v>
      </c>
      <c r="P396">
        <v>0.15</v>
      </c>
      <c r="Q396" t="s">
        <v>85</v>
      </c>
    </row>
    <row r="397" spans="1:17" x14ac:dyDescent="0.25">
      <c r="A397">
        <v>1395</v>
      </c>
      <c r="B397" s="1">
        <v>45357</v>
      </c>
      <c r="C397" t="s">
        <v>108</v>
      </c>
      <c r="D397" t="s">
        <v>32</v>
      </c>
      <c r="E397" t="s">
        <v>18</v>
      </c>
      <c r="F397" t="s">
        <v>27</v>
      </c>
      <c r="G397" t="s">
        <v>41</v>
      </c>
      <c r="H397" t="s">
        <v>42</v>
      </c>
      <c r="I397" t="s">
        <v>68</v>
      </c>
      <c r="J397">
        <v>2</v>
      </c>
      <c r="K397">
        <v>844.33</v>
      </c>
      <c r="L397">
        <v>703.39</v>
      </c>
      <c r="M397">
        <v>1654.89</v>
      </c>
      <c r="N397">
        <v>1406.78</v>
      </c>
      <c r="O397">
        <v>248.11</v>
      </c>
      <c r="P397">
        <v>0.02</v>
      </c>
      <c r="Q397" t="s">
        <v>75</v>
      </c>
    </row>
    <row r="398" spans="1:17" x14ac:dyDescent="0.25">
      <c r="A398">
        <v>1396</v>
      </c>
      <c r="B398" s="1">
        <v>45000</v>
      </c>
      <c r="C398" t="s">
        <v>190</v>
      </c>
      <c r="D398" t="s">
        <v>25</v>
      </c>
      <c r="E398" t="s">
        <v>26</v>
      </c>
      <c r="F398" t="s">
        <v>40</v>
      </c>
      <c r="G398" t="s">
        <v>35</v>
      </c>
      <c r="H398" t="s">
        <v>36</v>
      </c>
      <c r="I398" t="s">
        <v>87</v>
      </c>
      <c r="J398">
        <v>4</v>
      </c>
      <c r="K398">
        <v>387.87</v>
      </c>
      <c r="L398">
        <v>326.29000000000002</v>
      </c>
      <c r="M398">
        <v>1442.88</v>
      </c>
      <c r="N398">
        <v>1305.1600000000001</v>
      </c>
      <c r="O398">
        <v>137.72</v>
      </c>
      <c r="P398">
        <v>7.0000000000000007E-2</v>
      </c>
      <c r="Q398" t="s">
        <v>51</v>
      </c>
    </row>
    <row r="399" spans="1:17" x14ac:dyDescent="0.25">
      <c r="A399">
        <v>1397</v>
      </c>
      <c r="B399" s="1">
        <v>45130</v>
      </c>
      <c r="C399" t="s">
        <v>128</v>
      </c>
      <c r="D399" t="s">
        <v>25</v>
      </c>
      <c r="E399" t="s">
        <v>26</v>
      </c>
      <c r="F399" t="s">
        <v>27</v>
      </c>
      <c r="G399" t="s">
        <v>35</v>
      </c>
      <c r="H399" t="s">
        <v>70</v>
      </c>
      <c r="I399" t="s">
        <v>71</v>
      </c>
      <c r="J399">
        <v>6</v>
      </c>
      <c r="K399">
        <v>162.82</v>
      </c>
      <c r="L399">
        <v>122.91</v>
      </c>
      <c r="M399">
        <v>762</v>
      </c>
      <c r="N399">
        <v>737.46</v>
      </c>
      <c r="O399">
        <v>24.54</v>
      </c>
      <c r="P399">
        <v>0.22</v>
      </c>
      <c r="Q399" t="s">
        <v>38</v>
      </c>
    </row>
    <row r="400" spans="1:17" x14ac:dyDescent="0.25">
      <c r="A400">
        <v>1398</v>
      </c>
      <c r="B400" s="1">
        <v>45460</v>
      </c>
      <c r="C400" t="s">
        <v>168</v>
      </c>
      <c r="D400" t="s">
        <v>32</v>
      </c>
      <c r="E400" t="s">
        <v>18</v>
      </c>
      <c r="F400" t="s">
        <v>19</v>
      </c>
      <c r="G400" t="s">
        <v>35</v>
      </c>
      <c r="H400" t="s">
        <v>36</v>
      </c>
      <c r="I400" t="s">
        <v>100</v>
      </c>
      <c r="J400">
        <v>4</v>
      </c>
      <c r="K400">
        <v>973.41</v>
      </c>
      <c r="L400">
        <v>567.1</v>
      </c>
      <c r="M400">
        <v>3387.47</v>
      </c>
      <c r="N400">
        <v>2268.4</v>
      </c>
      <c r="O400">
        <v>1119.07</v>
      </c>
      <c r="P400">
        <v>0.13</v>
      </c>
      <c r="Q400" t="s">
        <v>51</v>
      </c>
    </row>
    <row r="401" spans="1:17" x14ac:dyDescent="0.25">
      <c r="A401">
        <v>1399</v>
      </c>
      <c r="B401" s="1">
        <v>45098</v>
      </c>
      <c r="C401" t="s">
        <v>263</v>
      </c>
      <c r="D401" t="s">
        <v>17</v>
      </c>
      <c r="E401" t="s">
        <v>33</v>
      </c>
      <c r="F401" t="s">
        <v>27</v>
      </c>
      <c r="G401" t="s">
        <v>20</v>
      </c>
      <c r="H401" t="s">
        <v>21</v>
      </c>
      <c r="I401" t="s">
        <v>22</v>
      </c>
      <c r="J401">
        <v>10</v>
      </c>
      <c r="K401">
        <v>784.56</v>
      </c>
      <c r="L401">
        <v>522.79</v>
      </c>
      <c r="M401">
        <v>6433.39</v>
      </c>
      <c r="N401">
        <v>5227.8999999999996</v>
      </c>
      <c r="O401">
        <v>1205.49</v>
      </c>
      <c r="P401">
        <v>0.18</v>
      </c>
      <c r="Q401" t="s">
        <v>85</v>
      </c>
    </row>
    <row r="402" spans="1:17" x14ac:dyDescent="0.25">
      <c r="A402">
        <v>1400</v>
      </c>
      <c r="B402" s="1">
        <v>45018</v>
      </c>
      <c r="C402" t="s">
        <v>149</v>
      </c>
      <c r="D402" t="s">
        <v>32</v>
      </c>
      <c r="E402" t="s">
        <v>33</v>
      </c>
      <c r="F402" t="s">
        <v>40</v>
      </c>
      <c r="G402" t="s">
        <v>41</v>
      </c>
      <c r="H402" t="s">
        <v>42</v>
      </c>
      <c r="I402" t="s">
        <v>77</v>
      </c>
      <c r="J402">
        <v>6</v>
      </c>
      <c r="K402">
        <v>646.35</v>
      </c>
      <c r="L402">
        <v>481.83</v>
      </c>
      <c r="M402">
        <v>2947.36</v>
      </c>
      <c r="N402">
        <v>2890.98</v>
      </c>
      <c r="O402">
        <v>56.38</v>
      </c>
      <c r="P402">
        <v>0.24</v>
      </c>
      <c r="Q402" t="s">
        <v>92</v>
      </c>
    </row>
    <row r="403" spans="1:17" x14ac:dyDescent="0.25">
      <c r="A403">
        <v>1401</v>
      </c>
      <c r="B403" s="1">
        <v>45426</v>
      </c>
      <c r="C403" t="s">
        <v>208</v>
      </c>
      <c r="D403" t="s">
        <v>17</v>
      </c>
      <c r="E403" t="s">
        <v>18</v>
      </c>
      <c r="F403" t="s">
        <v>27</v>
      </c>
      <c r="G403" t="s">
        <v>41</v>
      </c>
      <c r="H403" t="s">
        <v>42</v>
      </c>
      <c r="I403" t="s">
        <v>77</v>
      </c>
      <c r="J403">
        <v>7</v>
      </c>
      <c r="K403">
        <v>361.38</v>
      </c>
      <c r="L403">
        <v>197.73</v>
      </c>
      <c r="M403">
        <v>1846.65</v>
      </c>
      <c r="N403">
        <v>1384.11</v>
      </c>
      <c r="O403">
        <v>462.54</v>
      </c>
      <c r="P403">
        <v>0.27</v>
      </c>
      <c r="Q403" t="s">
        <v>55</v>
      </c>
    </row>
    <row r="404" spans="1:17" x14ac:dyDescent="0.25">
      <c r="A404">
        <v>1402</v>
      </c>
      <c r="B404" s="1">
        <v>45650</v>
      </c>
      <c r="C404" t="s">
        <v>207</v>
      </c>
      <c r="D404" t="s">
        <v>32</v>
      </c>
      <c r="E404" t="s">
        <v>53</v>
      </c>
      <c r="F404" t="s">
        <v>19</v>
      </c>
      <c r="G404" t="s">
        <v>41</v>
      </c>
      <c r="H404" t="s">
        <v>42</v>
      </c>
      <c r="I404" t="s">
        <v>43</v>
      </c>
      <c r="J404">
        <v>6</v>
      </c>
      <c r="K404">
        <v>327.06</v>
      </c>
      <c r="L404">
        <v>217.15</v>
      </c>
      <c r="M404">
        <v>1452.15</v>
      </c>
      <c r="N404">
        <v>1302.9000000000001</v>
      </c>
      <c r="O404">
        <v>149.25</v>
      </c>
      <c r="P404">
        <v>0.26</v>
      </c>
      <c r="Q404" t="s">
        <v>125</v>
      </c>
    </row>
    <row r="405" spans="1:17" x14ac:dyDescent="0.25">
      <c r="A405">
        <v>1403</v>
      </c>
      <c r="B405" s="1">
        <v>45494</v>
      </c>
      <c r="C405" t="s">
        <v>145</v>
      </c>
      <c r="D405" t="s">
        <v>17</v>
      </c>
      <c r="E405" t="s">
        <v>26</v>
      </c>
      <c r="F405" t="s">
        <v>27</v>
      </c>
      <c r="G405" t="s">
        <v>35</v>
      </c>
      <c r="H405" t="s">
        <v>49</v>
      </c>
      <c r="I405" t="s">
        <v>59</v>
      </c>
      <c r="J405">
        <v>6</v>
      </c>
      <c r="K405">
        <v>456.81</v>
      </c>
      <c r="L405">
        <v>352.46</v>
      </c>
      <c r="M405">
        <v>2329.73</v>
      </c>
      <c r="N405">
        <v>2114.7600000000002</v>
      </c>
      <c r="O405">
        <v>214.97</v>
      </c>
      <c r="P405">
        <v>0.15</v>
      </c>
      <c r="Q405" t="s">
        <v>92</v>
      </c>
    </row>
    <row r="406" spans="1:17" x14ac:dyDescent="0.25">
      <c r="A406">
        <v>1404</v>
      </c>
      <c r="B406" s="1">
        <v>44946</v>
      </c>
      <c r="C406" t="s">
        <v>222</v>
      </c>
      <c r="D406" t="s">
        <v>32</v>
      </c>
      <c r="E406" t="s">
        <v>26</v>
      </c>
      <c r="F406" t="s">
        <v>40</v>
      </c>
      <c r="G406" t="s">
        <v>41</v>
      </c>
      <c r="H406" t="s">
        <v>42</v>
      </c>
      <c r="I406" t="s">
        <v>43</v>
      </c>
      <c r="J406">
        <v>9</v>
      </c>
      <c r="K406">
        <v>819.95</v>
      </c>
      <c r="L406">
        <v>464.46</v>
      </c>
      <c r="M406">
        <v>5903.64</v>
      </c>
      <c r="N406">
        <v>4180.1400000000003</v>
      </c>
      <c r="O406">
        <v>1723.5</v>
      </c>
      <c r="P406">
        <v>0.2</v>
      </c>
      <c r="Q406" t="s">
        <v>38</v>
      </c>
    </row>
    <row r="407" spans="1:17" x14ac:dyDescent="0.25">
      <c r="A407">
        <v>1405</v>
      </c>
      <c r="B407" s="1">
        <v>45084</v>
      </c>
      <c r="C407" t="s">
        <v>103</v>
      </c>
      <c r="D407" t="s">
        <v>32</v>
      </c>
      <c r="E407" t="s">
        <v>53</v>
      </c>
      <c r="F407" t="s">
        <v>40</v>
      </c>
      <c r="G407" t="s">
        <v>20</v>
      </c>
      <c r="H407" t="s">
        <v>21</v>
      </c>
      <c r="I407" t="s">
        <v>22</v>
      </c>
      <c r="J407">
        <v>1</v>
      </c>
      <c r="K407">
        <v>836.02</v>
      </c>
      <c r="L407">
        <v>455.98</v>
      </c>
      <c r="M407">
        <v>618.65</v>
      </c>
      <c r="N407">
        <v>455.98</v>
      </c>
      <c r="O407">
        <v>162.66999999999999</v>
      </c>
      <c r="P407">
        <v>0.26</v>
      </c>
      <c r="Q407" t="s">
        <v>23</v>
      </c>
    </row>
    <row r="408" spans="1:17" x14ac:dyDescent="0.25">
      <c r="A408">
        <v>1406</v>
      </c>
      <c r="B408" s="1">
        <v>45036</v>
      </c>
      <c r="C408" t="s">
        <v>264</v>
      </c>
      <c r="D408" t="s">
        <v>25</v>
      </c>
      <c r="E408" t="s">
        <v>33</v>
      </c>
      <c r="F408" t="s">
        <v>27</v>
      </c>
      <c r="G408" t="s">
        <v>41</v>
      </c>
      <c r="H408" t="s">
        <v>46</v>
      </c>
      <c r="I408" t="s">
        <v>102</v>
      </c>
      <c r="J408">
        <v>10</v>
      </c>
      <c r="K408">
        <v>702.81</v>
      </c>
      <c r="L408">
        <v>414.36</v>
      </c>
      <c r="M408">
        <v>6255.01</v>
      </c>
      <c r="N408">
        <v>4143.6000000000004</v>
      </c>
      <c r="O408">
        <v>2111.41</v>
      </c>
      <c r="P408">
        <v>0.11</v>
      </c>
      <c r="Q408" t="s">
        <v>125</v>
      </c>
    </row>
    <row r="409" spans="1:17" x14ac:dyDescent="0.25">
      <c r="A409">
        <v>1407</v>
      </c>
      <c r="B409" s="1">
        <v>44999</v>
      </c>
      <c r="C409" t="s">
        <v>131</v>
      </c>
      <c r="D409" t="s">
        <v>25</v>
      </c>
      <c r="E409" t="s">
        <v>53</v>
      </c>
      <c r="F409" t="s">
        <v>34</v>
      </c>
      <c r="G409" t="s">
        <v>35</v>
      </c>
      <c r="H409" t="s">
        <v>70</v>
      </c>
      <c r="I409" t="s">
        <v>98</v>
      </c>
      <c r="J409">
        <v>6</v>
      </c>
      <c r="K409">
        <v>560.23</v>
      </c>
      <c r="L409">
        <v>464.09</v>
      </c>
      <c r="M409">
        <v>2958.01</v>
      </c>
      <c r="N409">
        <v>2784.54</v>
      </c>
      <c r="O409">
        <v>173.47</v>
      </c>
      <c r="P409">
        <v>0.12</v>
      </c>
      <c r="Q409" t="s">
        <v>85</v>
      </c>
    </row>
    <row r="410" spans="1:17" x14ac:dyDescent="0.25">
      <c r="A410">
        <v>1408</v>
      </c>
      <c r="B410" s="1">
        <v>45652</v>
      </c>
      <c r="C410" t="s">
        <v>191</v>
      </c>
      <c r="D410" t="s">
        <v>17</v>
      </c>
      <c r="E410" t="s">
        <v>18</v>
      </c>
      <c r="F410" t="s">
        <v>34</v>
      </c>
      <c r="G410" t="s">
        <v>41</v>
      </c>
      <c r="H410" t="s">
        <v>42</v>
      </c>
      <c r="I410" t="s">
        <v>68</v>
      </c>
      <c r="J410">
        <v>2</v>
      </c>
      <c r="K410">
        <v>944.88</v>
      </c>
      <c r="L410">
        <v>790.11</v>
      </c>
      <c r="M410">
        <v>1833.07</v>
      </c>
      <c r="N410">
        <v>1580.22</v>
      </c>
      <c r="O410">
        <v>252.85</v>
      </c>
      <c r="P410">
        <v>0.03</v>
      </c>
      <c r="Q410" t="s">
        <v>23</v>
      </c>
    </row>
    <row r="411" spans="1:17" x14ac:dyDescent="0.25">
      <c r="A411">
        <v>1409</v>
      </c>
      <c r="B411" s="1">
        <v>45471</v>
      </c>
      <c r="C411" t="s">
        <v>106</v>
      </c>
      <c r="D411" t="s">
        <v>25</v>
      </c>
      <c r="E411" t="s">
        <v>26</v>
      </c>
      <c r="F411" t="s">
        <v>19</v>
      </c>
      <c r="G411" t="s">
        <v>41</v>
      </c>
      <c r="H411" t="s">
        <v>63</v>
      </c>
      <c r="I411" t="s">
        <v>64</v>
      </c>
      <c r="J411">
        <v>7</v>
      </c>
      <c r="K411">
        <v>747.38</v>
      </c>
      <c r="L411">
        <v>574.14</v>
      </c>
      <c r="M411">
        <v>4342.28</v>
      </c>
      <c r="N411">
        <v>4018.98</v>
      </c>
      <c r="O411">
        <v>323.3</v>
      </c>
      <c r="P411">
        <v>0.17</v>
      </c>
      <c r="Q411" t="s">
        <v>55</v>
      </c>
    </row>
    <row r="412" spans="1:17" x14ac:dyDescent="0.25">
      <c r="A412">
        <v>1410</v>
      </c>
      <c r="B412" s="1">
        <v>45646</v>
      </c>
      <c r="C412" t="s">
        <v>160</v>
      </c>
      <c r="D412" t="s">
        <v>25</v>
      </c>
      <c r="E412" t="s">
        <v>26</v>
      </c>
      <c r="F412" t="s">
        <v>19</v>
      </c>
      <c r="G412" t="s">
        <v>41</v>
      </c>
      <c r="H412" t="s">
        <v>46</v>
      </c>
      <c r="I412" t="s">
        <v>102</v>
      </c>
      <c r="J412">
        <v>6</v>
      </c>
      <c r="K412">
        <v>659.24</v>
      </c>
      <c r="L412">
        <v>452.81</v>
      </c>
      <c r="M412">
        <v>3243.46</v>
      </c>
      <c r="N412">
        <v>2716.86</v>
      </c>
      <c r="O412">
        <v>526.6</v>
      </c>
      <c r="P412">
        <v>0.18</v>
      </c>
      <c r="Q412" t="s">
        <v>85</v>
      </c>
    </row>
    <row r="413" spans="1:17" x14ac:dyDescent="0.25">
      <c r="A413">
        <v>1411</v>
      </c>
      <c r="B413" s="1">
        <v>45249</v>
      </c>
      <c r="C413" t="s">
        <v>249</v>
      </c>
      <c r="D413" t="s">
        <v>32</v>
      </c>
      <c r="E413" t="s">
        <v>53</v>
      </c>
      <c r="F413" t="s">
        <v>27</v>
      </c>
      <c r="G413" t="s">
        <v>41</v>
      </c>
      <c r="H413" t="s">
        <v>46</v>
      </c>
      <c r="I413" t="s">
        <v>102</v>
      </c>
      <c r="J413">
        <v>4</v>
      </c>
      <c r="K413">
        <v>565.33000000000004</v>
      </c>
      <c r="L413">
        <v>324.99</v>
      </c>
      <c r="M413">
        <v>1741.22</v>
      </c>
      <c r="N413">
        <v>1299.96</v>
      </c>
      <c r="O413">
        <v>441.26</v>
      </c>
      <c r="P413">
        <v>0.23</v>
      </c>
      <c r="Q413" t="s">
        <v>30</v>
      </c>
    </row>
    <row r="414" spans="1:17" x14ac:dyDescent="0.25">
      <c r="A414">
        <v>1412</v>
      </c>
      <c r="B414" s="1">
        <v>45295</v>
      </c>
      <c r="C414" t="s">
        <v>188</v>
      </c>
      <c r="D414" t="s">
        <v>32</v>
      </c>
      <c r="E414" t="s">
        <v>33</v>
      </c>
      <c r="F414" t="s">
        <v>34</v>
      </c>
      <c r="G414" t="s">
        <v>35</v>
      </c>
      <c r="H414" t="s">
        <v>70</v>
      </c>
      <c r="I414" t="s">
        <v>98</v>
      </c>
      <c r="J414">
        <v>9</v>
      </c>
      <c r="K414">
        <v>139.41</v>
      </c>
      <c r="L414">
        <v>113.15</v>
      </c>
      <c r="M414">
        <v>1254.69</v>
      </c>
      <c r="N414">
        <v>1018.35</v>
      </c>
      <c r="O414">
        <v>236.34</v>
      </c>
      <c r="P414">
        <v>0</v>
      </c>
      <c r="Q414" t="s">
        <v>23</v>
      </c>
    </row>
    <row r="415" spans="1:17" x14ac:dyDescent="0.25">
      <c r="A415">
        <v>1413</v>
      </c>
      <c r="B415" s="1">
        <v>45146</v>
      </c>
      <c r="C415" t="s">
        <v>265</v>
      </c>
      <c r="D415" t="s">
        <v>25</v>
      </c>
      <c r="E415" t="s">
        <v>18</v>
      </c>
      <c r="F415" t="s">
        <v>19</v>
      </c>
      <c r="G415" t="s">
        <v>20</v>
      </c>
      <c r="H415" t="s">
        <v>21</v>
      </c>
      <c r="I415" t="s">
        <v>79</v>
      </c>
      <c r="J415">
        <v>6</v>
      </c>
      <c r="K415">
        <v>160.33000000000001</v>
      </c>
      <c r="L415">
        <v>95.03</v>
      </c>
      <c r="M415">
        <v>702.25</v>
      </c>
      <c r="N415">
        <v>570.17999999999995</v>
      </c>
      <c r="O415">
        <v>132.07</v>
      </c>
      <c r="P415">
        <v>0.27</v>
      </c>
      <c r="Q415" t="s">
        <v>23</v>
      </c>
    </row>
    <row r="416" spans="1:17" x14ac:dyDescent="0.25">
      <c r="A416">
        <v>1414</v>
      </c>
      <c r="B416" s="1">
        <v>45165</v>
      </c>
      <c r="C416" t="s">
        <v>108</v>
      </c>
      <c r="D416" t="s">
        <v>32</v>
      </c>
      <c r="E416" t="s">
        <v>33</v>
      </c>
      <c r="F416" t="s">
        <v>27</v>
      </c>
      <c r="G416" t="s">
        <v>41</v>
      </c>
      <c r="H416" t="s">
        <v>42</v>
      </c>
      <c r="I416" t="s">
        <v>43</v>
      </c>
      <c r="J416">
        <v>2</v>
      </c>
      <c r="K416">
        <v>724.96</v>
      </c>
      <c r="L416">
        <v>563.66999999999996</v>
      </c>
      <c r="M416">
        <v>1377.42</v>
      </c>
      <c r="N416">
        <v>1127.3399999999999</v>
      </c>
      <c r="O416">
        <v>250.08</v>
      </c>
      <c r="P416">
        <v>0.05</v>
      </c>
      <c r="Q416" t="s">
        <v>125</v>
      </c>
    </row>
    <row r="417" spans="1:17" x14ac:dyDescent="0.25">
      <c r="A417">
        <v>1415</v>
      </c>
      <c r="B417" s="1">
        <v>45024</v>
      </c>
      <c r="C417" t="s">
        <v>129</v>
      </c>
      <c r="D417" t="s">
        <v>32</v>
      </c>
      <c r="E417" t="s">
        <v>33</v>
      </c>
      <c r="F417" t="s">
        <v>27</v>
      </c>
      <c r="G417" t="s">
        <v>20</v>
      </c>
      <c r="H417" t="s">
        <v>21</v>
      </c>
      <c r="I417" t="s">
        <v>54</v>
      </c>
      <c r="J417">
        <v>6</v>
      </c>
      <c r="K417">
        <v>880.39</v>
      </c>
      <c r="L417">
        <v>574.02</v>
      </c>
      <c r="M417">
        <v>3803.28</v>
      </c>
      <c r="N417">
        <v>3444.12</v>
      </c>
      <c r="O417">
        <v>359.16</v>
      </c>
      <c r="P417">
        <v>0.28000000000000003</v>
      </c>
      <c r="Q417" t="s">
        <v>44</v>
      </c>
    </row>
    <row r="418" spans="1:17" x14ac:dyDescent="0.25">
      <c r="A418">
        <v>1416</v>
      </c>
      <c r="B418" s="1">
        <v>45159</v>
      </c>
      <c r="C418" t="s">
        <v>248</v>
      </c>
      <c r="D418" t="s">
        <v>17</v>
      </c>
      <c r="E418" t="s">
        <v>33</v>
      </c>
      <c r="F418" t="s">
        <v>27</v>
      </c>
      <c r="G418" t="s">
        <v>20</v>
      </c>
      <c r="H418" t="s">
        <v>28</v>
      </c>
      <c r="I418" t="s">
        <v>90</v>
      </c>
      <c r="J418">
        <v>6</v>
      </c>
      <c r="K418">
        <v>542.23</v>
      </c>
      <c r="L418">
        <v>299.5</v>
      </c>
      <c r="M418">
        <v>2765.37</v>
      </c>
      <c r="N418">
        <v>1797</v>
      </c>
      <c r="O418">
        <v>968.37</v>
      </c>
      <c r="P418">
        <v>0.15</v>
      </c>
      <c r="Q418" t="s">
        <v>23</v>
      </c>
    </row>
    <row r="419" spans="1:17" x14ac:dyDescent="0.25">
      <c r="A419">
        <v>1417</v>
      </c>
      <c r="B419" s="1">
        <v>45083</v>
      </c>
      <c r="C419" t="s">
        <v>176</v>
      </c>
      <c r="D419" t="s">
        <v>17</v>
      </c>
      <c r="E419" t="s">
        <v>53</v>
      </c>
      <c r="F419" t="s">
        <v>27</v>
      </c>
      <c r="G419" t="s">
        <v>41</v>
      </c>
      <c r="H419" t="s">
        <v>63</v>
      </c>
      <c r="I419" t="s">
        <v>64</v>
      </c>
      <c r="J419">
        <v>2</v>
      </c>
      <c r="K419">
        <v>225.98</v>
      </c>
      <c r="L419">
        <v>135.91</v>
      </c>
      <c r="M419">
        <v>397.72</v>
      </c>
      <c r="N419">
        <v>271.82</v>
      </c>
      <c r="O419">
        <v>125.9</v>
      </c>
      <c r="P419">
        <v>0.12</v>
      </c>
      <c r="Q419" t="s">
        <v>92</v>
      </c>
    </row>
    <row r="420" spans="1:17" x14ac:dyDescent="0.25">
      <c r="A420">
        <v>1418</v>
      </c>
      <c r="B420" s="1">
        <v>45271</v>
      </c>
      <c r="C420" t="s">
        <v>266</v>
      </c>
      <c r="D420" t="s">
        <v>17</v>
      </c>
      <c r="E420" t="s">
        <v>33</v>
      </c>
      <c r="F420" t="s">
        <v>27</v>
      </c>
      <c r="G420" t="s">
        <v>35</v>
      </c>
      <c r="H420" t="s">
        <v>36</v>
      </c>
      <c r="I420" t="s">
        <v>37</v>
      </c>
      <c r="J420">
        <v>9</v>
      </c>
      <c r="K420">
        <v>437.32</v>
      </c>
      <c r="L420">
        <v>325.48</v>
      </c>
      <c r="M420">
        <v>3030.63</v>
      </c>
      <c r="N420">
        <v>2929.32</v>
      </c>
      <c r="O420">
        <v>101.31</v>
      </c>
      <c r="P420">
        <v>0.23</v>
      </c>
      <c r="Q420" t="s">
        <v>55</v>
      </c>
    </row>
    <row r="421" spans="1:17" x14ac:dyDescent="0.25">
      <c r="A421">
        <v>1419</v>
      </c>
      <c r="B421" s="1">
        <v>45499</v>
      </c>
      <c r="C421" t="s">
        <v>267</v>
      </c>
      <c r="D421" t="s">
        <v>32</v>
      </c>
      <c r="E421" t="s">
        <v>26</v>
      </c>
      <c r="F421" t="s">
        <v>19</v>
      </c>
      <c r="G421" t="s">
        <v>20</v>
      </c>
      <c r="H421" t="s">
        <v>21</v>
      </c>
      <c r="I421" t="s">
        <v>54</v>
      </c>
      <c r="J421">
        <v>7</v>
      </c>
      <c r="K421">
        <v>326.79000000000002</v>
      </c>
      <c r="L421">
        <v>269.08999999999997</v>
      </c>
      <c r="M421">
        <v>2218.9</v>
      </c>
      <c r="N421">
        <v>1883.63</v>
      </c>
      <c r="O421">
        <v>335.27</v>
      </c>
      <c r="P421">
        <v>0.03</v>
      </c>
      <c r="Q421" t="s">
        <v>75</v>
      </c>
    </row>
    <row r="422" spans="1:17" x14ac:dyDescent="0.25">
      <c r="A422">
        <v>1420</v>
      </c>
      <c r="B422" s="1">
        <v>45360</v>
      </c>
      <c r="C422" t="s">
        <v>134</v>
      </c>
      <c r="D422" t="s">
        <v>25</v>
      </c>
      <c r="E422" t="s">
        <v>18</v>
      </c>
      <c r="F422" t="s">
        <v>40</v>
      </c>
      <c r="G422" t="s">
        <v>41</v>
      </c>
      <c r="H422" t="s">
        <v>63</v>
      </c>
      <c r="I422" t="s">
        <v>141</v>
      </c>
      <c r="J422">
        <v>5</v>
      </c>
      <c r="K422">
        <v>173.41</v>
      </c>
      <c r="L422">
        <v>107.93</v>
      </c>
      <c r="M422">
        <v>650.29</v>
      </c>
      <c r="N422">
        <v>539.65</v>
      </c>
      <c r="O422">
        <v>110.64</v>
      </c>
      <c r="P422">
        <v>0.25</v>
      </c>
      <c r="Q422" t="s">
        <v>55</v>
      </c>
    </row>
    <row r="423" spans="1:17" x14ac:dyDescent="0.25">
      <c r="A423">
        <v>1421</v>
      </c>
      <c r="B423" s="1">
        <v>45565</v>
      </c>
      <c r="C423" t="s">
        <v>217</v>
      </c>
      <c r="D423" t="s">
        <v>25</v>
      </c>
      <c r="E423" t="s">
        <v>26</v>
      </c>
      <c r="F423" t="s">
        <v>19</v>
      </c>
      <c r="G423" t="s">
        <v>41</v>
      </c>
      <c r="H423" t="s">
        <v>46</v>
      </c>
      <c r="I423" t="s">
        <v>47</v>
      </c>
      <c r="J423">
        <v>2</v>
      </c>
      <c r="K423">
        <v>116.81</v>
      </c>
      <c r="L423">
        <v>60.63</v>
      </c>
      <c r="M423">
        <v>168.21</v>
      </c>
      <c r="N423">
        <v>121.26</v>
      </c>
      <c r="O423">
        <v>46.95</v>
      </c>
      <c r="P423">
        <v>0.28000000000000003</v>
      </c>
      <c r="Q423" t="s">
        <v>92</v>
      </c>
    </row>
    <row r="424" spans="1:17" x14ac:dyDescent="0.25">
      <c r="A424">
        <v>1422</v>
      </c>
      <c r="B424" s="1">
        <v>45221</v>
      </c>
      <c r="C424" t="s">
        <v>268</v>
      </c>
      <c r="D424" t="s">
        <v>17</v>
      </c>
      <c r="E424" t="s">
        <v>33</v>
      </c>
      <c r="F424" t="s">
        <v>40</v>
      </c>
      <c r="G424" t="s">
        <v>35</v>
      </c>
      <c r="H424" t="s">
        <v>49</v>
      </c>
      <c r="I424" t="s">
        <v>66</v>
      </c>
      <c r="J424">
        <v>6</v>
      </c>
      <c r="K424">
        <v>212.96</v>
      </c>
      <c r="L424">
        <v>146.58000000000001</v>
      </c>
      <c r="M424">
        <v>1201.0899999999999</v>
      </c>
      <c r="N424">
        <v>879.48</v>
      </c>
      <c r="O424">
        <v>321.61</v>
      </c>
      <c r="P424">
        <v>0.06</v>
      </c>
      <c r="Q424" t="s">
        <v>38</v>
      </c>
    </row>
    <row r="425" spans="1:17" x14ac:dyDescent="0.25">
      <c r="A425">
        <v>1423</v>
      </c>
      <c r="B425" s="1">
        <v>45191</v>
      </c>
      <c r="C425" t="s">
        <v>190</v>
      </c>
      <c r="D425" t="s">
        <v>17</v>
      </c>
      <c r="E425" t="s">
        <v>26</v>
      </c>
      <c r="F425" t="s">
        <v>34</v>
      </c>
      <c r="G425" t="s">
        <v>35</v>
      </c>
      <c r="H425" t="s">
        <v>70</v>
      </c>
      <c r="I425" t="s">
        <v>84</v>
      </c>
      <c r="J425">
        <v>9</v>
      </c>
      <c r="K425">
        <v>48.26</v>
      </c>
      <c r="L425">
        <v>27.01</v>
      </c>
      <c r="M425">
        <v>395.25</v>
      </c>
      <c r="N425">
        <v>243.09</v>
      </c>
      <c r="O425">
        <v>152.16</v>
      </c>
      <c r="P425">
        <v>0.09</v>
      </c>
      <c r="Q425" t="s">
        <v>125</v>
      </c>
    </row>
    <row r="426" spans="1:17" x14ac:dyDescent="0.25">
      <c r="A426">
        <v>1424</v>
      </c>
      <c r="B426" s="1">
        <v>45204</v>
      </c>
      <c r="C426" t="s">
        <v>120</v>
      </c>
      <c r="D426" t="s">
        <v>17</v>
      </c>
      <c r="E426" t="s">
        <v>33</v>
      </c>
      <c r="F426" t="s">
        <v>34</v>
      </c>
      <c r="G426" t="s">
        <v>35</v>
      </c>
      <c r="H426" t="s">
        <v>70</v>
      </c>
      <c r="I426" t="s">
        <v>71</v>
      </c>
      <c r="J426">
        <v>6</v>
      </c>
      <c r="K426">
        <v>864.96</v>
      </c>
      <c r="L426">
        <v>438.26</v>
      </c>
      <c r="M426">
        <v>3840.42</v>
      </c>
      <c r="N426">
        <v>2629.56</v>
      </c>
      <c r="O426">
        <v>1210.8599999999999</v>
      </c>
      <c r="P426">
        <v>0.26</v>
      </c>
      <c r="Q426" t="s">
        <v>75</v>
      </c>
    </row>
    <row r="427" spans="1:17" x14ac:dyDescent="0.25">
      <c r="A427">
        <v>1425</v>
      </c>
      <c r="B427" s="1">
        <v>45163</v>
      </c>
      <c r="C427" t="s">
        <v>187</v>
      </c>
      <c r="D427" t="s">
        <v>17</v>
      </c>
      <c r="E427" t="s">
        <v>33</v>
      </c>
      <c r="F427" t="s">
        <v>40</v>
      </c>
      <c r="G427" t="s">
        <v>35</v>
      </c>
      <c r="H427" t="s">
        <v>70</v>
      </c>
      <c r="I427" t="s">
        <v>84</v>
      </c>
      <c r="J427">
        <v>2</v>
      </c>
      <c r="K427">
        <v>190.49</v>
      </c>
      <c r="L427">
        <v>128.62</v>
      </c>
      <c r="M427">
        <v>327.64</v>
      </c>
      <c r="N427">
        <v>257.24</v>
      </c>
      <c r="O427">
        <v>70.400000000000006</v>
      </c>
      <c r="P427">
        <v>0.14000000000000001</v>
      </c>
      <c r="Q427" t="s">
        <v>51</v>
      </c>
    </row>
    <row r="428" spans="1:17" x14ac:dyDescent="0.25">
      <c r="A428">
        <v>1426</v>
      </c>
      <c r="B428" s="1">
        <v>44967</v>
      </c>
      <c r="C428" t="s">
        <v>151</v>
      </c>
      <c r="D428" t="s">
        <v>17</v>
      </c>
      <c r="E428" t="s">
        <v>18</v>
      </c>
      <c r="F428" t="s">
        <v>40</v>
      </c>
      <c r="G428" t="s">
        <v>35</v>
      </c>
      <c r="H428" t="s">
        <v>49</v>
      </c>
      <c r="I428" t="s">
        <v>59</v>
      </c>
      <c r="J428">
        <v>3</v>
      </c>
      <c r="K428">
        <v>23.28</v>
      </c>
      <c r="L428">
        <v>17.22</v>
      </c>
      <c r="M428">
        <v>62.16</v>
      </c>
      <c r="N428">
        <v>51.66</v>
      </c>
      <c r="O428">
        <v>10.5</v>
      </c>
      <c r="P428">
        <v>0.11</v>
      </c>
      <c r="Q428" t="s">
        <v>30</v>
      </c>
    </row>
    <row r="429" spans="1:17" x14ac:dyDescent="0.25">
      <c r="A429">
        <v>1427</v>
      </c>
      <c r="B429" s="1">
        <v>45168</v>
      </c>
      <c r="C429" t="s">
        <v>88</v>
      </c>
      <c r="D429" t="s">
        <v>25</v>
      </c>
      <c r="E429" t="s">
        <v>18</v>
      </c>
      <c r="F429" t="s">
        <v>27</v>
      </c>
      <c r="G429" t="s">
        <v>20</v>
      </c>
      <c r="H429" t="s">
        <v>113</v>
      </c>
      <c r="I429" t="s">
        <v>153</v>
      </c>
      <c r="J429">
        <v>4</v>
      </c>
      <c r="K429">
        <v>155.94999999999999</v>
      </c>
      <c r="L429">
        <v>126.95</v>
      </c>
      <c r="M429">
        <v>499.04</v>
      </c>
      <c r="N429">
        <v>507.8</v>
      </c>
      <c r="O429">
        <v>-8.76</v>
      </c>
      <c r="P429">
        <v>0.2</v>
      </c>
      <c r="Q429" t="s">
        <v>44</v>
      </c>
    </row>
    <row r="430" spans="1:17" x14ac:dyDescent="0.25">
      <c r="A430">
        <v>1428</v>
      </c>
      <c r="B430" s="1">
        <v>45318</v>
      </c>
      <c r="C430" t="s">
        <v>247</v>
      </c>
      <c r="D430" t="s">
        <v>17</v>
      </c>
      <c r="E430" t="s">
        <v>26</v>
      </c>
      <c r="F430" t="s">
        <v>27</v>
      </c>
      <c r="G430" t="s">
        <v>20</v>
      </c>
      <c r="H430" t="s">
        <v>113</v>
      </c>
      <c r="I430" t="s">
        <v>114</v>
      </c>
      <c r="J430">
        <v>7</v>
      </c>
      <c r="K430">
        <v>970.68</v>
      </c>
      <c r="L430">
        <v>794.41</v>
      </c>
      <c r="M430">
        <v>6115.28</v>
      </c>
      <c r="N430">
        <v>5560.87</v>
      </c>
      <c r="O430">
        <v>554.41</v>
      </c>
      <c r="P430">
        <v>0.1</v>
      </c>
      <c r="Q430" t="s">
        <v>38</v>
      </c>
    </row>
    <row r="431" spans="1:17" x14ac:dyDescent="0.25">
      <c r="A431">
        <v>1429</v>
      </c>
      <c r="B431" s="1">
        <v>45061</v>
      </c>
      <c r="C431" t="s">
        <v>91</v>
      </c>
      <c r="D431" t="s">
        <v>25</v>
      </c>
      <c r="E431" t="s">
        <v>26</v>
      </c>
      <c r="F431" t="s">
        <v>19</v>
      </c>
      <c r="G431" t="s">
        <v>35</v>
      </c>
      <c r="H431" t="s">
        <v>70</v>
      </c>
      <c r="I431" t="s">
        <v>84</v>
      </c>
      <c r="J431">
        <v>9</v>
      </c>
      <c r="K431">
        <v>910.01</v>
      </c>
      <c r="L431">
        <v>591.98</v>
      </c>
      <c r="M431">
        <v>5978.77</v>
      </c>
      <c r="N431">
        <v>5327.82</v>
      </c>
      <c r="O431">
        <v>650.95000000000005</v>
      </c>
      <c r="P431">
        <v>0.27</v>
      </c>
      <c r="Q431" t="s">
        <v>92</v>
      </c>
    </row>
    <row r="432" spans="1:17" x14ac:dyDescent="0.25">
      <c r="A432">
        <v>1430</v>
      </c>
      <c r="B432" s="1">
        <v>45598</v>
      </c>
      <c r="C432" t="s">
        <v>269</v>
      </c>
      <c r="D432" t="s">
        <v>25</v>
      </c>
      <c r="E432" t="s">
        <v>18</v>
      </c>
      <c r="F432" t="s">
        <v>34</v>
      </c>
      <c r="G432" t="s">
        <v>41</v>
      </c>
      <c r="H432" t="s">
        <v>63</v>
      </c>
      <c r="I432" t="s">
        <v>64</v>
      </c>
      <c r="J432">
        <v>2</v>
      </c>
      <c r="K432">
        <v>188.21</v>
      </c>
      <c r="L432">
        <v>149.41</v>
      </c>
      <c r="M432">
        <v>361.36</v>
      </c>
      <c r="N432">
        <v>298.82</v>
      </c>
      <c r="O432">
        <v>62.54</v>
      </c>
      <c r="P432">
        <v>0.04</v>
      </c>
      <c r="Q432" t="s">
        <v>51</v>
      </c>
    </row>
    <row r="433" spans="1:17" x14ac:dyDescent="0.25">
      <c r="A433">
        <v>1431</v>
      </c>
      <c r="B433" s="1">
        <v>45253</v>
      </c>
      <c r="C433" t="s">
        <v>39</v>
      </c>
      <c r="D433" t="s">
        <v>32</v>
      </c>
      <c r="E433" t="s">
        <v>18</v>
      </c>
      <c r="F433" t="s">
        <v>27</v>
      </c>
      <c r="G433" t="s">
        <v>41</v>
      </c>
      <c r="H433" t="s">
        <v>63</v>
      </c>
      <c r="I433" t="s">
        <v>64</v>
      </c>
      <c r="J433">
        <v>5</v>
      </c>
      <c r="K433">
        <v>156.19999999999999</v>
      </c>
      <c r="L433">
        <v>88.37</v>
      </c>
      <c r="M433">
        <v>749.76</v>
      </c>
      <c r="N433">
        <v>441.85</v>
      </c>
      <c r="O433">
        <v>307.91000000000003</v>
      </c>
      <c r="P433">
        <v>0.04</v>
      </c>
      <c r="Q433" t="s">
        <v>51</v>
      </c>
    </row>
    <row r="434" spans="1:17" x14ac:dyDescent="0.25">
      <c r="A434">
        <v>1432</v>
      </c>
      <c r="B434" s="1">
        <v>45553</v>
      </c>
      <c r="C434" t="s">
        <v>103</v>
      </c>
      <c r="D434" t="s">
        <v>17</v>
      </c>
      <c r="E434" t="s">
        <v>26</v>
      </c>
      <c r="F434" t="s">
        <v>19</v>
      </c>
      <c r="G434" t="s">
        <v>20</v>
      </c>
      <c r="H434" t="s">
        <v>113</v>
      </c>
      <c r="I434" t="s">
        <v>114</v>
      </c>
      <c r="J434">
        <v>6</v>
      </c>
      <c r="K434">
        <v>84.08</v>
      </c>
      <c r="L434">
        <v>64.989999999999995</v>
      </c>
      <c r="M434">
        <v>484.3</v>
      </c>
      <c r="N434">
        <v>389.94</v>
      </c>
      <c r="O434">
        <v>94.36</v>
      </c>
      <c r="P434">
        <v>0.04</v>
      </c>
      <c r="Q434" t="s">
        <v>125</v>
      </c>
    </row>
    <row r="435" spans="1:17" x14ac:dyDescent="0.25">
      <c r="A435">
        <v>1433</v>
      </c>
      <c r="B435" s="1">
        <v>45407</v>
      </c>
      <c r="C435" t="s">
        <v>248</v>
      </c>
      <c r="D435" t="s">
        <v>32</v>
      </c>
      <c r="E435" t="s">
        <v>26</v>
      </c>
      <c r="F435" t="s">
        <v>27</v>
      </c>
      <c r="G435" t="s">
        <v>35</v>
      </c>
      <c r="H435" t="s">
        <v>49</v>
      </c>
      <c r="I435" t="s">
        <v>66</v>
      </c>
      <c r="J435">
        <v>3</v>
      </c>
      <c r="K435">
        <v>197.29</v>
      </c>
      <c r="L435">
        <v>100.87</v>
      </c>
      <c r="M435">
        <v>455.74</v>
      </c>
      <c r="N435">
        <v>302.61</v>
      </c>
      <c r="O435">
        <v>153.13</v>
      </c>
      <c r="P435">
        <v>0.23</v>
      </c>
      <c r="Q435" t="s">
        <v>51</v>
      </c>
    </row>
    <row r="436" spans="1:17" x14ac:dyDescent="0.25">
      <c r="A436">
        <v>1434</v>
      </c>
      <c r="B436" s="1">
        <v>45203</v>
      </c>
      <c r="C436" t="s">
        <v>106</v>
      </c>
      <c r="D436" t="s">
        <v>17</v>
      </c>
      <c r="E436" t="s">
        <v>26</v>
      </c>
      <c r="F436" t="s">
        <v>19</v>
      </c>
      <c r="G436" t="s">
        <v>20</v>
      </c>
      <c r="H436" t="s">
        <v>21</v>
      </c>
      <c r="I436" t="s">
        <v>79</v>
      </c>
      <c r="J436">
        <v>10</v>
      </c>
      <c r="K436">
        <v>492.49</v>
      </c>
      <c r="L436">
        <v>302.25</v>
      </c>
      <c r="M436">
        <v>4235.41</v>
      </c>
      <c r="N436">
        <v>3022.5</v>
      </c>
      <c r="O436">
        <v>1212.9100000000001</v>
      </c>
      <c r="P436">
        <v>0.14000000000000001</v>
      </c>
      <c r="Q436" t="s">
        <v>23</v>
      </c>
    </row>
    <row r="437" spans="1:17" x14ac:dyDescent="0.25">
      <c r="A437">
        <v>1435</v>
      </c>
      <c r="B437" s="1">
        <v>45364</v>
      </c>
      <c r="C437" t="s">
        <v>170</v>
      </c>
      <c r="D437" t="s">
        <v>25</v>
      </c>
      <c r="E437" t="s">
        <v>53</v>
      </c>
      <c r="F437" t="s">
        <v>40</v>
      </c>
      <c r="G437" t="s">
        <v>35</v>
      </c>
      <c r="H437" t="s">
        <v>70</v>
      </c>
      <c r="I437" t="s">
        <v>84</v>
      </c>
      <c r="J437">
        <v>10</v>
      </c>
      <c r="K437">
        <v>595.84</v>
      </c>
      <c r="L437">
        <v>407.45</v>
      </c>
      <c r="M437">
        <v>4409.22</v>
      </c>
      <c r="N437">
        <v>4074.5</v>
      </c>
      <c r="O437">
        <v>334.72</v>
      </c>
      <c r="P437">
        <v>0.26</v>
      </c>
      <c r="Q437" t="s">
        <v>51</v>
      </c>
    </row>
    <row r="438" spans="1:17" x14ac:dyDescent="0.25">
      <c r="A438">
        <v>1436</v>
      </c>
      <c r="B438" s="1">
        <v>45460</v>
      </c>
      <c r="C438" t="s">
        <v>266</v>
      </c>
      <c r="D438" t="s">
        <v>32</v>
      </c>
      <c r="E438" t="s">
        <v>33</v>
      </c>
      <c r="F438" t="s">
        <v>19</v>
      </c>
      <c r="G438" t="s">
        <v>41</v>
      </c>
      <c r="H438" t="s">
        <v>63</v>
      </c>
      <c r="I438" t="s">
        <v>117</v>
      </c>
      <c r="J438">
        <v>1</v>
      </c>
      <c r="K438">
        <v>559.91</v>
      </c>
      <c r="L438">
        <v>381.1</v>
      </c>
      <c r="M438">
        <v>453.53</v>
      </c>
      <c r="N438">
        <v>381.1</v>
      </c>
      <c r="O438">
        <v>72.430000000000007</v>
      </c>
      <c r="P438">
        <v>0.19</v>
      </c>
      <c r="Q438" t="s">
        <v>51</v>
      </c>
    </row>
    <row r="439" spans="1:17" x14ac:dyDescent="0.25">
      <c r="A439">
        <v>1437</v>
      </c>
      <c r="B439" s="1">
        <v>45121</v>
      </c>
      <c r="C439" t="s">
        <v>76</v>
      </c>
      <c r="D439" t="s">
        <v>32</v>
      </c>
      <c r="E439" t="s">
        <v>18</v>
      </c>
      <c r="F439" t="s">
        <v>40</v>
      </c>
      <c r="G439" t="s">
        <v>35</v>
      </c>
      <c r="H439" t="s">
        <v>36</v>
      </c>
      <c r="I439" t="s">
        <v>37</v>
      </c>
      <c r="J439">
        <v>5</v>
      </c>
      <c r="K439">
        <v>615.07000000000005</v>
      </c>
      <c r="L439">
        <v>319.27999999999997</v>
      </c>
      <c r="M439">
        <v>2583.29</v>
      </c>
      <c r="N439">
        <v>1596.4</v>
      </c>
      <c r="O439">
        <v>986.89</v>
      </c>
      <c r="P439">
        <v>0.16</v>
      </c>
      <c r="Q439" t="s">
        <v>92</v>
      </c>
    </row>
    <row r="440" spans="1:17" x14ac:dyDescent="0.25">
      <c r="A440">
        <v>1438</v>
      </c>
      <c r="B440" s="1">
        <v>45401</v>
      </c>
      <c r="C440" t="s">
        <v>237</v>
      </c>
      <c r="D440" t="s">
        <v>32</v>
      </c>
      <c r="E440" t="s">
        <v>33</v>
      </c>
      <c r="F440" t="s">
        <v>34</v>
      </c>
      <c r="G440" t="s">
        <v>20</v>
      </c>
      <c r="H440" t="s">
        <v>113</v>
      </c>
      <c r="I440" t="s">
        <v>161</v>
      </c>
      <c r="J440">
        <v>9</v>
      </c>
      <c r="K440">
        <v>139.63</v>
      </c>
      <c r="L440">
        <v>90.03</v>
      </c>
      <c r="M440">
        <v>1080.74</v>
      </c>
      <c r="N440">
        <v>810.27</v>
      </c>
      <c r="O440">
        <v>270.47000000000003</v>
      </c>
      <c r="P440">
        <v>0.14000000000000001</v>
      </c>
      <c r="Q440" t="s">
        <v>92</v>
      </c>
    </row>
    <row r="441" spans="1:17" x14ac:dyDescent="0.25">
      <c r="A441">
        <v>1439</v>
      </c>
      <c r="B441" s="1">
        <v>45391</v>
      </c>
      <c r="C441" t="s">
        <v>193</v>
      </c>
      <c r="D441" t="s">
        <v>17</v>
      </c>
      <c r="E441" t="s">
        <v>26</v>
      </c>
      <c r="F441" t="s">
        <v>27</v>
      </c>
      <c r="G441" t="s">
        <v>20</v>
      </c>
      <c r="H441" t="s">
        <v>28</v>
      </c>
      <c r="I441" t="s">
        <v>29</v>
      </c>
      <c r="J441">
        <v>3</v>
      </c>
      <c r="K441">
        <v>719.78</v>
      </c>
      <c r="L441">
        <v>391.01</v>
      </c>
      <c r="M441">
        <v>2094.56</v>
      </c>
      <c r="N441">
        <v>1173.03</v>
      </c>
      <c r="O441">
        <v>921.53</v>
      </c>
      <c r="P441">
        <v>0.03</v>
      </c>
      <c r="Q441" t="s">
        <v>55</v>
      </c>
    </row>
    <row r="442" spans="1:17" x14ac:dyDescent="0.25">
      <c r="A442">
        <v>1440</v>
      </c>
      <c r="B442" s="1">
        <v>45576</v>
      </c>
      <c r="C442" t="s">
        <v>171</v>
      </c>
      <c r="D442" t="s">
        <v>17</v>
      </c>
      <c r="E442" t="s">
        <v>53</v>
      </c>
      <c r="F442" t="s">
        <v>19</v>
      </c>
      <c r="G442" t="s">
        <v>35</v>
      </c>
      <c r="H442" t="s">
        <v>70</v>
      </c>
      <c r="I442" t="s">
        <v>71</v>
      </c>
      <c r="J442">
        <v>1</v>
      </c>
      <c r="K442">
        <v>769.42</v>
      </c>
      <c r="L442">
        <v>630.38</v>
      </c>
      <c r="M442">
        <v>638.62</v>
      </c>
      <c r="N442">
        <v>630.38</v>
      </c>
      <c r="O442">
        <v>8.24</v>
      </c>
      <c r="P442">
        <v>0.17</v>
      </c>
      <c r="Q442" t="s">
        <v>92</v>
      </c>
    </row>
    <row r="443" spans="1:17" x14ac:dyDescent="0.25">
      <c r="A443">
        <v>1441</v>
      </c>
      <c r="B443" s="1">
        <v>45093</v>
      </c>
      <c r="C443" t="s">
        <v>270</v>
      </c>
      <c r="D443" t="s">
        <v>25</v>
      </c>
      <c r="E443" t="s">
        <v>33</v>
      </c>
      <c r="F443" t="s">
        <v>27</v>
      </c>
      <c r="G443" t="s">
        <v>35</v>
      </c>
      <c r="H443" t="s">
        <v>49</v>
      </c>
      <c r="I443" t="s">
        <v>59</v>
      </c>
      <c r="J443">
        <v>8</v>
      </c>
      <c r="K443">
        <v>292.33999999999997</v>
      </c>
      <c r="L443">
        <v>164.66</v>
      </c>
      <c r="M443">
        <v>1707.27</v>
      </c>
      <c r="N443">
        <v>1317.28</v>
      </c>
      <c r="O443">
        <v>389.99</v>
      </c>
      <c r="P443">
        <v>0.27</v>
      </c>
      <c r="Q443" t="s">
        <v>23</v>
      </c>
    </row>
    <row r="444" spans="1:17" x14ac:dyDescent="0.25">
      <c r="A444">
        <v>1442</v>
      </c>
      <c r="B444" s="1">
        <v>44930</v>
      </c>
      <c r="C444" t="s">
        <v>271</v>
      </c>
      <c r="D444" t="s">
        <v>32</v>
      </c>
      <c r="E444" t="s">
        <v>33</v>
      </c>
      <c r="F444" t="s">
        <v>27</v>
      </c>
      <c r="G444" t="s">
        <v>35</v>
      </c>
      <c r="H444" t="s">
        <v>49</v>
      </c>
      <c r="I444" t="s">
        <v>59</v>
      </c>
      <c r="J444">
        <v>1</v>
      </c>
      <c r="K444">
        <v>609.94000000000005</v>
      </c>
      <c r="L444">
        <v>410.31</v>
      </c>
      <c r="M444">
        <v>567.24</v>
      </c>
      <c r="N444">
        <v>410.31</v>
      </c>
      <c r="O444">
        <v>156.93</v>
      </c>
      <c r="P444">
        <v>7.0000000000000007E-2</v>
      </c>
      <c r="Q444" t="s">
        <v>55</v>
      </c>
    </row>
    <row r="445" spans="1:17" x14ac:dyDescent="0.25">
      <c r="A445">
        <v>1443</v>
      </c>
      <c r="B445" s="1">
        <v>45391</v>
      </c>
      <c r="C445" t="s">
        <v>78</v>
      </c>
      <c r="D445" t="s">
        <v>25</v>
      </c>
      <c r="E445" t="s">
        <v>33</v>
      </c>
      <c r="F445" t="s">
        <v>19</v>
      </c>
      <c r="G445" t="s">
        <v>41</v>
      </c>
      <c r="H445" t="s">
        <v>46</v>
      </c>
      <c r="I445" t="s">
        <v>102</v>
      </c>
      <c r="J445">
        <v>9</v>
      </c>
      <c r="K445">
        <v>821.02</v>
      </c>
      <c r="L445">
        <v>470.18</v>
      </c>
      <c r="M445">
        <v>6945.83</v>
      </c>
      <c r="N445">
        <v>4231.62</v>
      </c>
      <c r="O445">
        <v>2714.21</v>
      </c>
      <c r="P445">
        <v>0.06</v>
      </c>
      <c r="Q445" t="s">
        <v>51</v>
      </c>
    </row>
    <row r="446" spans="1:17" x14ac:dyDescent="0.25">
      <c r="A446">
        <v>1444</v>
      </c>
      <c r="B446" s="1">
        <v>45595</v>
      </c>
      <c r="C446" t="s">
        <v>252</v>
      </c>
      <c r="D446" t="s">
        <v>25</v>
      </c>
      <c r="E446" t="s">
        <v>33</v>
      </c>
      <c r="F446" t="s">
        <v>40</v>
      </c>
      <c r="G446" t="s">
        <v>35</v>
      </c>
      <c r="H446" t="s">
        <v>36</v>
      </c>
      <c r="I446" t="s">
        <v>87</v>
      </c>
      <c r="J446">
        <v>2</v>
      </c>
      <c r="K446">
        <v>419.87</v>
      </c>
      <c r="L446">
        <v>236.13</v>
      </c>
      <c r="M446">
        <v>671.79</v>
      </c>
      <c r="N446">
        <v>472.26</v>
      </c>
      <c r="O446">
        <v>199.53</v>
      </c>
      <c r="P446">
        <v>0.2</v>
      </c>
      <c r="Q446" t="s">
        <v>125</v>
      </c>
    </row>
    <row r="447" spans="1:17" x14ac:dyDescent="0.25">
      <c r="A447">
        <v>1445</v>
      </c>
      <c r="B447" s="1">
        <v>45603</v>
      </c>
      <c r="C447" t="s">
        <v>99</v>
      </c>
      <c r="D447" t="s">
        <v>17</v>
      </c>
      <c r="E447" t="s">
        <v>26</v>
      </c>
      <c r="F447" t="s">
        <v>27</v>
      </c>
      <c r="G447" t="s">
        <v>41</v>
      </c>
      <c r="H447" t="s">
        <v>63</v>
      </c>
      <c r="I447" t="s">
        <v>117</v>
      </c>
      <c r="J447">
        <v>1</v>
      </c>
      <c r="K447">
        <v>97.66</v>
      </c>
      <c r="L447">
        <v>59.06</v>
      </c>
      <c r="M447">
        <v>86.92</v>
      </c>
      <c r="N447">
        <v>59.06</v>
      </c>
      <c r="O447">
        <v>27.86</v>
      </c>
      <c r="P447">
        <v>0.11</v>
      </c>
      <c r="Q447" t="s">
        <v>75</v>
      </c>
    </row>
    <row r="448" spans="1:17" x14ac:dyDescent="0.25">
      <c r="A448">
        <v>1446</v>
      </c>
      <c r="B448" s="1">
        <v>44996</v>
      </c>
      <c r="C448" t="s">
        <v>272</v>
      </c>
      <c r="D448" t="s">
        <v>17</v>
      </c>
      <c r="E448" t="s">
        <v>33</v>
      </c>
      <c r="F448" t="s">
        <v>40</v>
      </c>
      <c r="G448" t="s">
        <v>35</v>
      </c>
      <c r="H448" t="s">
        <v>36</v>
      </c>
      <c r="I448" t="s">
        <v>87</v>
      </c>
      <c r="J448">
        <v>5</v>
      </c>
      <c r="K448">
        <v>332.56</v>
      </c>
      <c r="L448">
        <v>214.44</v>
      </c>
      <c r="M448">
        <v>1563.03</v>
      </c>
      <c r="N448">
        <v>1072.2</v>
      </c>
      <c r="O448">
        <v>490.83</v>
      </c>
      <c r="P448">
        <v>0.06</v>
      </c>
      <c r="Q448" t="s">
        <v>23</v>
      </c>
    </row>
    <row r="449" spans="1:17" x14ac:dyDescent="0.25">
      <c r="A449">
        <v>1447</v>
      </c>
      <c r="B449" s="1">
        <v>45553</v>
      </c>
      <c r="C449" t="s">
        <v>273</v>
      </c>
      <c r="D449" t="s">
        <v>17</v>
      </c>
      <c r="E449" t="s">
        <v>33</v>
      </c>
      <c r="F449" t="s">
        <v>27</v>
      </c>
      <c r="G449" t="s">
        <v>41</v>
      </c>
      <c r="H449" t="s">
        <v>63</v>
      </c>
      <c r="I449" t="s">
        <v>64</v>
      </c>
      <c r="J449">
        <v>5</v>
      </c>
      <c r="K449">
        <v>429.92</v>
      </c>
      <c r="L449">
        <v>342.53</v>
      </c>
      <c r="M449">
        <v>1977.63</v>
      </c>
      <c r="N449">
        <v>1712.65</v>
      </c>
      <c r="O449">
        <v>264.98</v>
      </c>
      <c r="P449">
        <v>0.08</v>
      </c>
      <c r="Q449" t="s">
        <v>125</v>
      </c>
    </row>
    <row r="450" spans="1:17" x14ac:dyDescent="0.25">
      <c r="A450">
        <v>1448</v>
      </c>
      <c r="B450" s="1">
        <v>45565</v>
      </c>
      <c r="C450" t="s">
        <v>274</v>
      </c>
      <c r="D450" t="s">
        <v>25</v>
      </c>
      <c r="E450" t="s">
        <v>53</v>
      </c>
      <c r="F450" t="s">
        <v>27</v>
      </c>
      <c r="G450" t="s">
        <v>35</v>
      </c>
      <c r="H450" t="s">
        <v>36</v>
      </c>
      <c r="I450" t="s">
        <v>100</v>
      </c>
      <c r="J450">
        <v>4</v>
      </c>
      <c r="K450">
        <v>710.04</v>
      </c>
      <c r="L450">
        <v>598.38</v>
      </c>
      <c r="M450">
        <v>2840.16</v>
      </c>
      <c r="N450">
        <v>2393.52</v>
      </c>
      <c r="O450">
        <v>446.64</v>
      </c>
      <c r="P450">
        <v>0</v>
      </c>
      <c r="Q450" t="s">
        <v>51</v>
      </c>
    </row>
    <row r="451" spans="1:17" x14ac:dyDescent="0.25">
      <c r="A451">
        <v>1449</v>
      </c>
      <c r="B451" s="1">
        <v>45403</v>
      </c>
      <c r="C451" t="s">
        <v>172</v>
      </c>
      <c r="D451" t="s">
        <v>25</v>
      </c>
      <c r="E451" t="s">
        <v>26</v>
      </c>
      <c r="F451" t="s">
        <v>27</v>
      </c>
      <c r="G451" t="s">
        <v>35</v>
      </c>
      <c r="H451" t="s">
        <v>36</v>
      </c>
      <c r="I451" t="s">
        <v>37</v>
      </c>
      <c r="J451">
        <v>6</v>
      </c>
      <c r="K451">
        <v>562.61</v>
      </c>
      <c r="L451">
        <v>406.84</v>
      </c>
      <c r="M451">
        <v>3375.66</v>
      </c>
      <c r="N451">
        <v>2441.04</v>
      </c>
      <c r="O451">
        <v>934.62</v>
      </c>
      <c r="P451">
        <v>0</v>
      </c>
      <c r="Q451" t="s">
        <v>23</v>
      </c>
    </row>
    <row r="452" spans="1:17" x14ac:dyDescent="0.25">
      <c r="A452">
        <v>1450</v>
      </c>
      <c r="B452" s="1">
        <v>45633</v>
      </c>
      <c r="C452" t="s">
        <v>231</v>
      </c>
      <c r="D452" t="s">
        <v>25</v>
      </c>
      <c r="E452" t="s">
        <v>18</v>
      </c>
      <c r="F452" t="s">
        <v>40</v>
      </c>
      <c r="G452" t="s">
        <v>41</v>
      </c>
      <c r="H452" t="s">
        <v>63</v>
      </c>
      <c r="I452" t="s">
        <v>117</v>
      </c>
      <c r="J452">
        <v>1</v>
      </c>
      <c r="K452">
        <v>118.27</v>
      </c>
      <c r="L452">
        <v>72.930000000000007</v>
      </c>
      <c r="M452">
        <v>104.08</v>
      </c>
      <c r="N452">
        <v>72.930000000000007</v>
      </c>
      <c r="O452">
        <v>31.15</v>
      </c>
      <c r="P452">
        <v>0.12</v>
      </c>
      <c r="Q452" t="s">
        <v>125</v>
      </c>
    </row>
    <row r="453" spans="1:17" x14ac:dyDescent="0.25">
      <c r="A453">
        <v>1451</v>
      </c>
      <c r="B453" s="1">
        <v>45557</v>
      </c>
      <c r="C453" t="s">
        <v>191</v>
      </c>
      <c r="D453" t="s">
        <v>25</v>
      </c>
      <c r="E453" t="s">
        <v>26</v>
      </c>
      <c r="F453" t="s">
        <v>40</v>
      </c>
      <c r="G453" t="s">
        <v>35</v>
      </c>
      <c r="H453" t="s">
        <v>70</v>
      </c>
      <c r="I453" t="s">
        <v>71</v>
      </c>
      <c r="J453">
        <v>8</v>
      </c>
      <c r="K453">
        <v>798.27</v>
      </c>
      <c r="L453">
        <v>579.53</v>
      </c>
      <c r="M453">
        <v>5492.1</v>
      </c>
      <c r="N453">
        <v>4636.24</v>
      </c>
      <c r="O453">
        <v>855.86</v>
      </c>
      <c r="P453">
        <v>0.14000000000000001</v>
      </c>
      <c r="Q453" t="s">
        <v>55</v>
      </c>
    </row>
    <row r="454" spans="1:17" x14ac:dyDescent="0.25">
      <c r="A454">
        <v>1452</v>
      </c>
      <c r="B454" s="1">
        <v>45476</v>
      </c>
      <c r="C454" t="s">
        <v>230</v>
      </c>
      <c r="D454" t="s">
        <v>32</v>
      </c>
      <c r="E454" t="s">
        <v>53</v>
      </c>
      <c r="F454" t="s">
        <v>34</v>
      </c>
      <c r="G454" t="s">
        <v>41</v>
      </c>
      <c r="H454" t="s">
        <v>46</v>
      </c>
      <c r="I454" t="s">
        <v>102</v>
      </c>
      <c r="J454">
        <v>6</v>
      </c>
      <c r="K454">
        <v>557.4</v>
      </c>
      <c r="L454">
        <v>282.35000000000002</v>
      </c>
      <c r="M454">
        <v>2775.85</v>
      </c>
      <c r="N454">
        <v>1694.1</v>
      </c>
      <c r="O454">
        <v>1081.75</v>
      </c>
      <c r="P454">
        <v>0.17</v>
      </c>
      <c r="Q454" t="s">
        <v>85</v>
      </c>
    </row>
    <row r="455" spans="1:17" x14ac:dyDescent="0.25">
      <c r="A455">
        <v>1453</v>
      </c>
      <c r="B455" s="1">
        <v>45289</v>
      </c>
      <c r="C455" t="s">
        <v>109</v>
      </c>
      <c r="D455" t="s">
        <v>32</v>
      </c>
      <c r="E455" t="s">
        <v>33</v>
      </c>
      <c r="F455" t="s">
        <v>40</v>
      </c>
      <c r="G455" t="s">
        <v>35</v>
      </c>
      <c r="H455" t="s">
        <v>70</v>
      </c>
      <c r="I455" t="s">
        <v>84</v>
      </c>
      <c r="J455">
        <v>3</v>
      </c>
      <c r="K455">
        <v>573.13</v>
      </c>
      <c r="L455">
        <v>364.71</v>
      </c>
      <c r="M455">
        <v>1409.9</v>
      </c>
      <c r="N455">
        <v>1094.1300000000001</v>
      </c>
      <c r="O455">
        <v>315.77</v>
      </c>
      <c r="P455">
        <v>0.18</v>
      </c>
      <c r="Q455" t="s">
        <v>30</v>
      </c>
    </row>
    <row r="456" spans="1:17" x14ac:dyDescent="0.25">
      <c r="A456">
        <v>1454</v>
      </c>
      <c r="B456" s="1">
        <v>45649</v>
      </c>
      <c r="C456" t="s">
        <v>265</v>
      </c>
      <c r="D456" t="s">
        <v>17</v>
      </c>
      <c r="E456" t="s">
        <v>33</v>
      </c>
      <c r="F456" t="s">
        <v>40</v>
      </c>
      <c r="G456" t="s">
        <v>35</v>
      </c>
      <c r="H456" t="s">
        <v>36</v>
      </c>
      <c r="I456" t="s">
        <v>37</v>
      </c>
      <c r="J456">
        <v>4</v>
      </c>
      <c r="K456">
        <v>374.73</v>
      </c>
      <c r="L456">
        <v>296.14999999999998</v>
      </c>
      <c r="M456">
        <v>1364.02</v>
      </c>
      <c r="N456">
        <v>1184.5999999999999</v>
      </c>
      <c r="O456">
        <v>179.42</v>
      </c>
      <c r="P456">
        <v>0.09</v>
      </c>
      <c r="Q456" t="s">
        <v>38</v>
      </c>
    </row>
    <row r="457" spans="1:17" x14ac:dyDescent="0.25">
      <c r="A457">
        <v>1455</v>
      </c>
      <c r="B457" s="1">
        <v>45236</v>
      </c>
      <c r="C457" t="s">
        <v>145</v>
      </c>
      <c r="D457" t="s">
        <v>32</v>
      </c>
      <c r="E457" t="s">
        <v>33</v>
      </c>
      <c r="F457" t="s">
        <v>19</v>
      </c>
      <c r="G457" t="s">
        <v>20</v>
      </c>
      <c r="H457" t="s">
        <v>28</v>
      </c>
      <c r="I457" t="s">
        <v>90</v>
      </c>
      <c r="J457">
        <v>8</v>
      </c>
      <c r="K457">
        <v>905.43</v>
      </c>
      <c r="L457">
        <v>501.54</v>
      </c>
      <c r="M457">
        <v>6519.1</v>
      </c>
      <c r="N457">
        <v>4012.32</v>
      </c>
      <c r="O457">
        <v>2506.7800000000002</v>
      </c>
      <c r="P457">
        <v>0.1</v>
      </c>
      <c r="Q457" t="s">
        <v>55</v>
      </c>
    </row>
    <row r="458" spans="1:17" x14ac:dyDescent="0.25">
      <c r="A458">
        <v>1456</v>
      </c>
      <c r="B458" s="1">
        <v>45463</v>
      </c>
      <c r="C458" t="s">
        <v>108</v>
      </c>
      <c r="D458" t="s">
        <v>32</v>
      </c>
      <c r="E458" t="s">
        <v>26</v>
      </c>
      <c r="F458" t="s">
        <v>34</v>
      </c>
      <c r="G458" t="s">
        <v>41</v>
      </c>
      <c r="H458" t="s">
        <v>63</v>
      </c>
      <c r="I458" t="s">
        <v>141</v>
      </c>
      <c r="J458">
        <v>4</v>
      </c>
      <c r="K458">
        <v>725.95</v>
      </c>
      <c r="L458">
        <v>479.69</v>
      </c>
      <c r="M458">
        <v>2294</v>
      </c>
      <c r="N458">
        <v>1918.76</v>
      </c>
      <c r="O458">
        <v>375.24</v>
      </c>
      <c r="P458">
        <v>0.21</v>
      </c>
      <c r="Q458" t="s">
        <v>38</v>
      </c>
    </row>
    <row r="459" spans="1:17" x14ac:dyDescent="0.25">
      <c r="A459">
        <v>1457</v>
      </c>
      <c r="B459" s="1">
        <v>45045</v>
      </c>
      <c r="C459" t="s">
        <v>219</v>
      </c>
      <c r="D459" t="s">
        <v>25</v>
      </c>
      <c r="E459" t="s">
        <v>33</v>
      </c>
      <c r="F459" t="s">
        <v>40</v>
      </c>
      <c r="G459" t="s">
        <v>35</v>
      </c>
      <c r="H459" t="s">
        <v>36</v>
      </c>
      <c r="I459" t="s">
        <v>87</v>
      </c>
      <c r="J459">
        <v>9</v>
      </c>
      <c r="K459">
        <v>767.35</v>
      </c>
      <c r="L459">
        <v>583.91</v>
      </c>
      <c r="M459">
        <v>6837.09</v>
      </c>
      <c r="N459">
        <v>5255.19</v>
      </c>
      <c r="O459">
        <v>1581.9</v>
      </c>
      <c r="P459">
        <v>0.01</v>
      </c>
      <c r="Q459" t="s">
        <v>30</v>
      </c>
    </row>
    <row r="460" spans="1:17" x14ac:dyDescent="0.25">
      <c r="A460">
        <v>1458</v>
      </c>
      <c r="B460" s="1">
        <v>45581</v>
      </c>
      <c r="C460" t="s">
        <v>199</v>
      </c>
      <c r="D460" t="s">
        <v>32</v>
      </c>
      <c r="E460" t="s">
        <v>26</v>
      </c>
      <c r="F460" t="s">
        <v>19</v>
      </c>
      <c r="G460" t="s">
        <v>35</v>
      </c>
      <c r="H460" t="s">
        <v>49</v>
      </c>
      <c r="I460" t="s">
        <v>59</v>
      </c>
      <c r="J460">
        <v>6</v>
      </c>
      <c r="K460">
        <v>773.92</v>
      </c>
      <c r="L460">
        <v>568.75</v>
      </c>
      <c r="M460">
        <v>4272.04</v>
      </c>
      <c r="N460">
        <v>3412.5</v>
      </c>
      <c r="O460">
        <v>859.54</v>
      </c>
      <c r="P460">
        <v>0.08</v>
      </c>
      <c r="Q460" t="s">
        <v>92</v>
      </c>
    </row>
    <row r="461" spans="1:17" x14ac:dyDescent="0.25">
      <c r="A461">
        <v>1459</v>
      </c>
      <c r="B461" s="1">
        <v>45207</v>
      </c>
      <c r="C461" t="s">
        <v>16</v>
      </c>
      <c r="D461" t="s">
        <v>17</v>
      </c>
      <c r="E461" t="s">
        <v>33</v>
      </c>
      <c r="F461" t="s">
        <v>19</v>
      </c>
      <c r="G461" t="s">
        <v>41</v>
      </c>
      <c r="H461" t="s">
        <v>46</v>
      </c>
      <c r="I461" t="s">
        <v>102</v>
      </c>
      <c r="J461">
        <v>6</v>
      </c>
      <c r="K461">
        <v>274.7</v>
      </c>
      <c r="L461">
        <v>228.04</v>
      </c>
      <c r="M461">
        <v>1252.6300000000001</v>
      </c>
      <c r="N461">
        <v>1368.24</v>
      </c>
      <c r="O461">
        <v>-115.61</v>
      </c>
      <c r="P461">
        <v>0.24</v>
      </c>
      <c r="Q461" t="s">
        <v>125</v>
      </c>
    </row>
    <row r="462" spans="1:17" x14ac:dyDescent="0.25">
      <c r="A462">
        <v>1460</v>
      </c>
      <c r="B462" s="1">
        <v>45177</v>
      </c>
      <c r="C462" t="s">
        <v>145</v>
      </c>
      <c r="D462" t="s">
        <v>32</v>
      </c>
      <c r="E462" t="s">
        <v>18</v>
      </c>
      <c r="F462" t="s">
        <v>27</v>
      </c>
      <c r="G462" t="s">
        <v>20</v>
      </c>
      <c r="H462" t="s">
        <v>21</v>
      </c>
      <c r="I462" t="s">
        <v>22</v>
      </c>
      <c r="J462">
        <v>8</v>
      </c>
      <c r="K462">
        <v>903.78</v>
      </c>
      <c r="L462">
        <v>467.85</v>
      </c>
      <c r="M462">
        <v>6362.61</v>
      </c>
      <c r="N462">
        <v>3742.8</v>
      </c>
      <c r="O462">
        <v>2619.81</v>
      </c>
      <c r="P462">
        <v>0.12</v>
      </c>
      <c r="Q462" t="s">
        <v>44</v>
      </c>
    </row>
    <row r="463" spans="1:17" x14ac:dyDescent="0.25">
      <c r="A463">
        <v>1461</v>
      </c>
      <c r="B463" s="1">
        <v>45363</v>
      </c>
      <c r="C463" t="s">
        <v>205</v>
      </c>
      <c r="D463" t="s">
        <v>17</v>
      </c>
      <c r="E463" t="s">
        <v>53</v>
      </c>
      <c r="F463" t="s">
        <v>40</v>
      </c>
      <c r="G463" t="s">
        <v>35</v>
      </c>
      <c r="H463" t="s">
        <v>49</v>
      </c>
      <c r="I463" t="s">
        <v>66</v>
      </c>
      <c r="J463">
        <v>9</v>
      </c>
      <c r="K463">
        <v>83.15</v>
      </c>
      <c r="L463">
        <v>68.430000000000007</v>
      </c>
      <c r="M463">
        <v>576.23</v>
      </c>
      <c r="N463">
        <v>615.87</v>
      </c>
      <c r="O463">
        <v>-39.64</v>
      </c>
      <c r="P463">
        <v>0.23</v>
      </c>
      <c r="Q463" t="s">
        <v>125</v>
      </c>
    </row>
    <row r="464" spans="1:17" x14ac:dyDescent="0.25">
      <c r="A464">
        <v>1462</v>
      </c>
      <c r="B464" s="1">
        <v>45061</v>
      </c>
      <c r="C464" t="s">
        <v>152</v>
      </c>
      <c r="D464" t="s">
        <v>17</v>
      </c>
      <c r="E464" t="s">
        <v>53</v>
      </c>
      <c r="F464" t="s">
        <v>34</v>
      </c>
      <c r="G464" t="s">
        <v>35</v>
      </c>
      <c r="H464" t="s">
        <v>49</v>
      </c>
      <c r="I464" t="s">
        <v>59</v>
      </c>
      <c r="J464">
        <v>8</v>
      </c>
      <c r="K464">
        <v>473.19</v>
      </c>
      <c r="L464">
        <v>393.51</v>
      </c>
      <c r="M464">
        <v>3634.1</v>
      </c>
      <c r="N464">
        <v>3148.08</v>
      </c>
      <c r="O464">
        <v>486.02</v>
      </c>
      <c r="P464">
        <v>0.04</v>
      </c>
      <c r="Q464" t="s">
        <v>125</v>
      </c>
    </row>
    <row r="465" spans="1:17" x14ac:dyDescent="0.25">
      <c r="A465">
        <v>1463</v>
      </c>
      <c r="B465" s="1">
        <v>45191</v>
      </c>
      <c r="C465" t="s">
        <v>230</v>
      </c>
      <c r="D465" t="s">
        <v>32</v>
      </c>
      <c r="E465" t="s">
        <v>26</v>
      </c>
      <c r="F465" t="s">
        <v>40</v>
      </c>
      <c r="G465" t="s">
        <v>35</v>
      </c>
      <c r="H465" t="s">
        <v>49</v>
      </c>
      <c r="I465" t="s">
        <v>50</v>
      </c>
      <c r="J465">
        <v>1</v>
      </c>
      <c r="K465">
        <v>70.040000000000006</v>
      </c>
      <c r="L465">
        <v>37.79</v>
      </c>
      <c r="M465">
        <v>60.23</v>
      </c>
      <c r="N465">
        <v>37.79</v>
      </c>
      <c r="O465">
        <v>22.44</v>
      </c>
      <c r="P465">
        <v>0.14000000000000001</v>
      </c>
      <c r="Q465" t="s">
        <v>92</v>
      </c>
    </row>
    <row r="466" spans="1:17" x14ac:dyDescent="0.25">
      <c r="A466">
        <v>1464</v>
      </c>
      <c r="B466" s="1">
        <v>45216</v>
      </c>
      <c r="C466" t="s">
        <v>259</v>
      </c>
      <c r="D466" t="s">
        <v>17</v>
      </c>
      <c r="E466" t="s">
        <v>26</v>
      </c>
      <c r="F466" t="s">
        <v>34</v>
      </c>
      <c r="G466" t="s">
        <v>35</v>
      </c>
      <c r="H466" t="s">
        <v>70</v>
      </c>
      <c r="I466" t="s">
        <v>98</v>
      </c>
      <c r="J466">
        <v>6</v>
      </c>
      <c r="K466">
        <v>558.37</v>
      </c>
      <c r="L466">
        <v>293.05</v>
      </c>
      <c r="M466">
        <v>3048.7</v>
      </c>
      <c r="N466">
        <v>1758.3</v>
      </c>
      <c r="O466">
        <v>1290.4000000000001</v>
      </c>
      <c r="P466">
        <v>0.09</v>
      </c>
      <c r="Q466" t="s">
        <v>55</v>
      </c>
    </row>
    <row r="467" spans="1:17" x14ac:dyDescent="0.25">
      <c r="A467">
        <v>1465</v>
      </c>
      <c r="B467" s="1">
        <v>45337</v>
      </c>
      <c r="C467" t="s">
        <v>165</v>
      </c>
      <c r="D467" t="s">
        <v>25</v>
      </c>
      <c r="E467" t="s">
        <v>26</v>
      </c>
      <c r="F467" t="s">
        <v>19</v>
      </c>
      <c r="G467" t="s">
        <v>35</v>
      </c>
      <c r="H467" t="s">
        <v>49</v>
      </c>
      <c r="I467" t="s">
        <v>66</v>
      </c>
      <c r="J467">
        <v>6</v>
      </c>
      <c r="K467">
        <v>212.2</v>
      </c>
      <c r="L467">
        <v>157.65</v>
      </c>
      <c r="M467">
        <v>1107.68</v>
      </c>
      <c r="N467">
        <v>945.9</v>
      </c>
      <c r="O467">
        <v>161.78</v>
      </c>
      <c r="P467">
        <v>0.13</v>
      </c>
      <c r="Q467" t="s">
        <v>75</v>
      </c>
    </row>
    <row r="468" spans="1:17" x14ac:dyDescent="0.25">
      <c r="A468">
        <v>1466</v>
      </c>
      <c r="B468" s="1">
        <v>45507</v>
      </c>
      <c r="C468" t="s">
        <v>259</v>
      </c>
      <c r="D468" t="s">
        <v>17</v>
      </c>
      <c r="E468" t="s">
        <v>26</v>
      </c>
      <c r="F468" t="s">
        <v>19</v>
      </c>
      <c r="G468" t="s">
        <v>41</v>
      </c>
      <c r="H468" t="s">
        <v>63</v>
      </c>
      <c r="I468" t="s">
        <v>141</v>
      </c>
      <c r="J468">
        <v>10</v>
      </c>
      <c r="K468">
        <v>837.56</v>
      </c>
      <c r="L468">
        <v>452.29</v>
      </c>
      <c r="M468">
        <v>6867.99</v>
      </c>
      <c r="N468">
        <v>4522.8999999999996</v>
      </c>
      <c r="O468">
        <v>2345.09</v>
      </c>
      <c r="P468">
        <v>0.18</v>
      </c>
      <c r="Q468" t="s">
        <v>85</v>
      </c>
    </row>
    <row r="469" spans="1:17" x14ac:dyDescent="0.25">
      <c r="A469">
        <v>1467</v>
      </c>
      <c r="B469" s="1">
        <v>45495</v>
      </c>
      <c r="C469" t="s">
        <v>152</v>
      </c>
      <c r="D469" t="s">
        <v>32</v>
      </c>
      <c r="E469" t="s">
        <v>26</v>
      </c>
      <c r="F469" t="s">
        <v>40</v>
      </c>
      <c r="G469" t="s">
        <v>35</v>
      </c>
      <c r="H469" t="s">
        <v>36</v>
      </c>
      <c r="I469" t="s">
        <v>100</v>
      </c>
      <c r="J469">
        <v>2</v>
      </c>
      <c r="K469">
        <v>687.08</v>
      </c>
      <c r="L469">
        <v>486.96</v>
      </c>
      <c r="M469">
        <v>1030.6199999999999</v>
      </c>
      <c r="N469">
        <v>973.92</v>
      </c>
      <c r="O469">
        <v>56.7</v>
      </c>
      <c r="P469">
        <v>0.25</v>
      </c>
      <c r="Q469" t="s">
        <v>85</v>
      </c>
    </row>
    <row r="470" spans="1:17" x14ac:dyDescent="0.25">
      <c r="A470">
        <v>1468</v>
      </c>
      <c r="B470" s="1">
        <v>45433</v>
      </c>
      <c r="C470" t="s">
        <v>74</v>
      </c>
      <c r="D470" t="s">
        <v>25</v>
      </c>
      <c r="E470" t="s">
        <v>33</v>
      </c>
      <c r="F470" t="s">
        <v>19</v>
      </c>
      <c r="G470" t="s">
        <v>20</v>
      </c>
      <c r="H470" t="s">
        <v>113</v>
      </c>
      <c r="I470" t="s">
        <v>161</v>
      </c>
      <c r="J470">
        <v>1</v>
      </c>
      <c r="K470">
        <v>758.29</v>
      </c>
      <c r="L470">
        <v>554.54</v>
      </c>
      <c r="M470">
        <v>652.13</v>
      </c>
      <c r="N470">
        <v>554.54</v>
      </c>
      <c r="O470">
        <v>97.59</v>
      </c>
      <c r="P470">
        <v>0.14000000000000001</v>
      </c>
      <c r="Q470" t="s">
        <v>30</v>
      </c>
    </row>
    <row r="471" spans="1:17" x14ac:dyDescent="0.25">
      <c r="A471">
        <v>1469</v>
      </c>
      <c r="B471" s="1">
        <v>45326</v>
      </c>
      <c r="C471" t="s">
        <v>204</v>
      </c>
      <c r="D471" t="s">
        <v>32</v>
      </c>
      <c r="E471" t="s">
        <v>26</v>
      </c>
      <c r="F471" t="s">
        <v>19</v>
      </c>
      <c r="G471" t="s">
        <v>41</v>
      </c>
      <c r="H471" t="s">
        <v>46</v>
      </c>
      <c r="I471" t="s">
        <v>57</v>
      </c>
      <c r="J471">
        <v>10</v>
      </c>
      <c r="K471">
        <v>795.37</v>
      </c>
      <c r="L471">
        <v>586.86</v>
      </c>
      <c r="M471">
        <v>5726.66</v>
      </c>
      <c r="N471">
        <v>5868.6</v>
      </c>
      <c r="O471">
        <v>-141.94</v>
      </c>
      <c r="P471">
        <v>0.28000000000000003</v>
      </c>
      <c r="Q471" t="s">
        <v>75</v>
      </c>
    </row>
    <row r="472" spans="1:17" x14ac:dyDescent="0.25">
      <c r="A472">
        <v>1470</v>
      </c>
      <c r="B472" s="1">
        <v>45279</v>
      </c>
      <c r="C472" t="s">
        <v>275</v>
      </c>
      <c r="D472" t="s">
        <v>25</v>
      </c>
      <c r="E472" t="s">
        <v>53</v>
      </c>
      <c r="F472" t="s">
        <v>19</v>
      </c>
      <c r="G472" t="s">
        <v>35</v>
      </c>
      <c r="H472" t="s">
        <v>36</v>
      </c>
      <c r="I472" t="s">
        <v>37</v>
      </c>
      <c r="J472">
        <v>9</v>
      </c>
      <c r="K472">
        <v>968.06</v>
      </c>
      <c r="L472">
        <v>484.32</v>
      </c>
      <c r="M472">
        <v>7231.41</v>
      </c>
      <c r="N472">
        <v>4358.88</v>
      </c>
      <c r="O472">
        <v>2872.53</v>
      </c>
      <c r="P472">
        <v>0.17</v>
      </c>
      <c r="Q472" t="s">
        <v>85</v>
      </c>
    </row>
    <row r="473" spans="1:17" x14ac:dyDescent="0.25">
      <c r="A473">
        <v>1471</v>
      </c>
      <c r="B473" s="1">
        <v>45039</v>
      </c>
      <c r="C473" t="s">
        <v>257</v>
      </c>
      <c r="D473" t="s">
        <v>25</v>
      </c>
      <c r="E473" t="s">
        <v>26</v>
      </c>
      <c r="F473" t="s">
        <v>27</v>
      </c>
      <c r="G473" t="s">
        <v>41</v>
      </c>
      <c r="H473" t="s">
        <v>63</v>
      </c>
      <c r="I473" t="s">
        <v>117</v>
      </c>
      <c r="J473">
        <v>6</v>
      </c>
      <c r="K473">
        <v>713.21</v>
      </c>
      <c r="L473">
        <v>457.96</v>
      </c>
      <c r="M473">
        <v>3722.96</v>
      </c>
      <c r="N473">
        <v>2747.76</v>
      </c>
      <c r="O473">
        <v>975.2</v>
      </c>
      <c r="P473">
        <v>0.13</v>
      </c>
      <c r="Q473" t="s">
        <v>23</v>
      </c>
    </row>
    <row r="474" spans="1:17" x14ac:dyDescent="0.25">
      <c r="A474">
        <v>1472</v>
      </c>
      <c r="B474" s="1">
        <v>45605</v>
      </c>
      <c r="C474" t="s">
        <v>217</v>
      </c>
      <c r="D474" t="s">
        <v>25</v>
      </c>
      <c r="E474" t="s">
        <v>26</v>
      </c>
      <c r="F474" t="s">
        <v>27</v>
      </c>
      <c r="G474" t="s">
        <v>35</v>
      </c>
      <c r="H474" t="s">
        <v>49</v>
      </c>
      <c r="I474" t="s">
        <v>66</v>
      </c>
      <c r="J474">
        <v>5</v>
      </c>
      <c r="K474">
        <v>997.47</v>
      </c>
      <c r="L474">
        <v>732.66</v>
      </c>
      <c r="M474">
        <v>4787.8599999999997</v>
      </c>
      <c r="N474">
        <v>3663.3</v>
      </c>
      <c r="O474">
        <v>1124.56</v>
      </c>
      <c r="P474">
        <v>0.04</v>
      </c>
      <c r="Q474" t="s">
        <v>44</v>
      </c>
    </row>
    <row r="475" spans="1:17" x14ac:dyDescent="0.25">
      <c r="A475">
        <v>1473</v>
      </c>
      <c r="B475" s="1">
        <v>45590</v>
      </c>
      <c r="C475" t="s">
        <v>276</v>
      </c>
      <c r="D475" t="s">
        <v>17</v>
      </c>
      <c r="E475" t="s">
        <v>53</v>
      </c>
      <c r="F475" t="s">
        <v>27</v>
      </c>
      <c r="G475" t="s">
        <v>20</v>
      </c>
      <c r="H475" t="s">
        <v>21</v>
      </c>
      <c r="I475" t="s">
        <v>132</v>
      </c>
      <c r="J475">
        <v>7</v>
      </c>
      <c r="K475">
        <v>860.85</v>
      </c>
      <c r="L475">
        <v>699.66</v>
      </c>
      <c r="M475">
        <v>4760.5</v>
      </c>
      <c r="N475">
        <v>4897.62</v>
      </c>
      <c r="O475">
        <v>-137.12</v>
      </c>
      <c r="P475">
        <v>0.21</v>
      </c>
      <c r="Q475" t="s">
        <v>75</v>
      </c>
    </row>
    <row r="476" spans="1:17" x14ac:dyDescent="0.25">
      <c r="A476">
        <v>1474</v>
      </c>
      <c r="B476" s="1">
        <v>45565</v>
      </c>
      <c r="C476" t="s">
        <v>217</v>
      </c>
      <c r="D476" t="s">
        <v>17</v>
      </c>
      <c r="E476" t="s">
        <v>53</v>
      </c>
      <c r="F476" t="s">
        <v>27</v>
      </c>
      <c r="G476" t="s">
        <v>35</v>
      </c>
      <c r="H476" t="s">
        <v>49</v>
      </c>
      <c r="I476" t="s">
        <v>66</v>
      </c>
      <c r="J476">
        <v>3</v>
      </c>
      <c r="K476">
        <v>427.65</v>
      </c>
      <c r="L476">
        <v>214.94</v>
      </c>
      <c r="M476">
        <v>1090.51</v>
      </c>
      <c r="N476">
        <v>644.82000000000005</v>
      </c>
      <c r="O476">
        <v>445.69</v>
      </c>
      <c r="P476">
        <v>0.15</v>
      </c>
      <c r="Q476" t="s">
        <v>23</v>
      </c>
    </row>
    <row r="477" spans="1:17" x14ac:dyDescent="0.25">
      <c r="A477">
        <v>1475</v>
      </c>
      <c r="B477" s="1">
        <v>45656</v>
      </c>
      <c r="C477" t="s">
        <v>88</v>
      </c>
      <c r="D477" t="s">
        <v>32</v>
      </c>
      <c r="E477" t="s">
        <v>18</v>
      </c>
      <c r="F477" t="s">
        <v>34</v>
      </c>
      <c r="G477" t="s">
        <v>20</v>
      </c>
      <c r="H477" t="s">
        <v>113</v>
      </c>
      <c r="I477" t="s">
        <v>153</v>
      </c>
      <c r="J477">
        <v>6</v>
      </c>
      <c r="K477">
        <v>117.6</v>
      </c>
      <c r="L477">
        <v>78.62</v>
      </c>
      <c r="M477">
        <v>557.41999999999996</v>
      </c>
      <c r="N477">
        <v>471.72</v>
      </c>
      <c r="O477">
        <v>85.7</v>
      </c>
      <c r="P477">
        <v>0.21</v>
      </c>
      <c r="Q477" t="s">
        <v>92</v>
      </c>
    </row>
    <row r="478" spans="1:17" x14ac:dyDescent="0.25">
      <c r="A478">
        <v>1476</v>
      </c>
      <c r="B478" s="1">
        <v>45466</v>
      </c>
      <c r="C478" t="s">
        <v>277</v>
      </c>
      <c r="D478" t="s">
        <v>32</v>
      </c>
      <c r="E478" t="s">
        <v>53</v>
      </c>
      <c r="F478" t="s">
        <v>34</v>
      </c>
      <c r="G478" t="s">
        <v>41</v>
      </c>
      <c r="H478" t="s">
        <v>63</v>
      </c>
      <c r="I478" t="s">
        <v>141</v>
      </c>
      <c r="J478">
        <v>4</v>
      </c>
      <c r="K478">
        <v>475.09</v>
      </c>
      <c r="L478">
        <v>360.87</v>
      </c>
      <c r="M478">
        <v>1349.26</v>
      </c>
      <c r="N478">
        <v>1443.48</v>
      </c>
      <c r="O478">
        <v>-94.22</v>
      </c>
      <c r="P478">
        <v>0.28999999999999998</v>
      </c>
      <c r="Q478" t="s">
        <v>44</v>
      </c>
    </row>
    <row r="479" spans="1:17" x14ac:dyDescent="0.25">
      <c r="A479">
        <v>1477</v>
      </c>
      <c r="B479" s="1">
        <v>45627</v>
      </c>
      <c r="C479" t="s">
        <v>256</v>
      </c>
      <c r="D479" t="s">
        <v>17</v>
      </c>
      <c r="E479" t="s">
        <v>18</v>
      </c>
      <c r="F479" t="s">
        <v>34</v>
      </c>
      <c r="G479" t="s">
        <v>35</v>
      </c>
      <c r="H479" t="s">
        <v>70</v>
      </c>
      <c r="I479" t="s">
        <v>98</v>
      </c>
      <c r="J479">
        <v>8</v>
      </c>
      <c r="K479">
        <v>456.76</v>
      </c>
      <c r="L479">
        <v>373.23</v>
      </c>
      <c r="M479">
        <v>3032.89</v>
      </c>
      <c r="N479">
        <v>2985.84</v>
      </c>
      <c r="O479">
        <v>47.05</v>
      </c>
      <c r="P479">
        <v>0.17</v>
      </c>
      <c r="Q479" t="s">
        <v>85</v>
      </c>
    </row>
    <row r="480" spans="1:17" x14ac:dyDescent="0.25">
      <c r="A480">
        <v>1478</v>
      </c>
      <c r="B480" s="1">
        <v>45358</v>
      </c>
      <c r="C480" t="s">
        <v>192</v>
      </c>
      <c r="D480" t="s">
        <v>32</v>
      </c>
      <c r="E480" t="s">
        <v>18</v>
      </c>
      <c r="F480" t="s">
        <v>19</v>
      </c>
      <c r="G480" t="s">
        <v>20</v>
      </c>
      <c r="H480" t="s">
        <v>113</v>
      </c>
      <c r="I480" t="s">
        <v>161</v>
      </c>
      <c r="J480">
        <v>5</v>
      </c>
      <c r="K480">
        <v>728.34</v>
      </c>
      <c r="L480">
        <v>507.87</v>
      </c>
      <c r="M480">
        <v>3568.87</v>
      </c>
      <c r="N480">
        <v>2539.35</v>
      </c>
      <c r="O480">
        <v>1029.52</v>
      </c>
      <c r="P480">
        <v>0.02</v>
      </c>
      <c r="Q480" t="s">
        <v>55</v>
      </c>
    </row>
    <row r="481" spans="1:17" x14ac:dyDescent="0.25">
      <c r="A481">
        <v>1479</v>
      </c>
      <c r="B481" s="1">
        <v>45519</v>
      </c>
      <c r="C481" t="s">
        <v>234</v>
      </c>
      <c r="D481" t="s">
        <v>25</v>
      </c>
      <c r="E481" t="s">
        <v>18</v>
      </c>
      <c r="F481" t="s">
        <v>34</v>
      </c>
      <c r="G481" t="s">
        <v>35</v>
      </c>
      <c r="H481" t="s">
        <v>49</v>
      </c>
      <c r="I481" t="s">
        <v>66</v>
      </c>
      <c r="J481">
        <v>3</v>
      </c>
      <c r="K481">
        <v>508.07</v>
      </c>
      <c r="L481">
        <v>405.44</v>
      </c>
      <c r="M481">
        <v>1402.27</v>
      </c>
      <c r="N481">
        <v>1216.32</v>
      </c>
      <c r="O481">
        <v>185.95</v>
      </c>
      <c r="P481">
        <v>0.08</v>
      </c>
      <c r="Q481" t="s">
        <v>92</v>
      </c>
    </row>
    <row r="482" spans="1:17" x14ac:dyDescent="0.25">
      <c r="A482">
        <v>1480</v>
      </c>
      <c r="B482" s="1">
        <v>45557</v>
      </c>
      <c r="C482" t="s">
        <v>231</v>
      </c>
      <c r="D482" t="s">
        <v>32</v>
      </c>
      <c r="E482" t="s">
        <v>33</v>
      </c>
      <c r="F482" t="s">
        <v>34</v>
      </c>
      <c r="G482" t="s">
        <v>41</v>
      </c>
      <c r="H482" t="s">
        <v>42</v>
      </c>
      <c r="I482" t="s">
        <v>43</v>
      </c>
      <c r="J482">
        <v>3</v>
      </c>
      <c r="K482">
        <v>660.86</v>
      </c>
      <c r="L482">
        <v>415.96</v>
      </c>
      <c r="M482">
        <v>1883.45</v>
      </c>
      <c r="N482">
        <v>1247.8800000000001</v>
      </c>
      <c r="O482">
        <v>635.57000000000005</v>
      </c>
      <c r="P482">
        <v>0.05</v>
      </c>
      <c r="Q482" t="s">
        <v>23</v>
      </c>
    </row>
    <row r="483" spans="1:17" x14ac:dyDescent="0.25">
      <c r="A483">
        <v>1481</v>
      </c>
      <c r="B483" s="1">
        <v>45423</v>
      </c>
      <c r="C483" t="s">
        <v>107</v>
      </c>
      <c r="D483" t="s">
        <v>17</v>
      </c>
      <c r="E483" t="s">
        <v>33</v>
      </c>
      <c r="F483" t="s">
        <v>40</v>
      </c>
      <c r="G483" t="s">
        <v>20</v>
      </c>
      <c r="H483" t="s">
        <v>21</v>
      </c>
      <c r="I483" t="s">
        <v>132</v>
      </c>
      <c r="J483">
        <v>8</v>
      </c>
      <c r="K483">
        <v>754</v>
      </c>
      <c r="L483">
        <v>485.98</v>
      </c>
      <c r="M483">
        <v>5368.48</v>
      </c>
      <c r="N483">
        <v>3887.84</v>
      </c>
      <c r="O483">
        <v>1480.64</v>
      </c>
      <c r="P483">
        <v>0.11</v>
      </c>
      <c r="Q483" t="s">
        <v>55</v>
      </c>
    </row>
    <row r="484" spans="1:17" x14ac:dyDescent="0.25">
      <c r="A484">
        <v>1482</v>
      </c>
      <c r="B484" s="1">
        <v>45579</v>
      </c>
      <c r="C484" t="s">
        <v>115</v>
      </c>
      <c r="D484" t="s">
        <v>17</v>
      </c>
      <c r="E484" t="s">
        <v>18</v>
      </c>
      <c r="F484" t="s">
        <v>34</v>
      </c>
      <c r="G484" t="s">
        <v>41</v>
      </c>
      <c r="H484" t="s">
        <v>46</v>
      </c>
      <c r="I484" t="s">
        <v>47</v>
      </c>
      <c r="J484">
        <v>1</v>
      </c>
      <c r="K484">
        <v>171.76</v>
      </c>
      <c r="L484">
        <v>109.85</v>
      </c>
      <c r="M484">
        <v>156.30000000000001</v>
      </c>
      <c r="N484">
        <v>109.85</v>
      </c>
      <c r="O484">
        <v>46.45</v>
      </c>
      <c r="P484">
        <v>0.09</v>
      </c>
      <c r="Q484" t="s">
        <v>38</v>
      </c>
    </row>
    <row r="485" spans="1:17" x14ac:dyDescent="0.25">
      <c r="A485">
        <v>1483</v>
      </c>
      <c r="B485" s="1">
        <v>45166</v>
      </c>
      <c r="C485" t="s">
        <v>156</v>
      </c>
      <c r="D485" t="s">
        <v>17</v>
      </c>
      <c r="E485" t="s">
        <v>53</v>
      </c>
      <c r="F485" t="s">
        <v>27</v>
      </c>
      <c r="G485" t="s">
        <v>35</v>
      </c>
      <c r="H485" t="s">
        <v>36</v>
      </c>
      <c r="I485" t="s">
        <v>100</v>
      </c>
      <c r="J485">
        <v>7</v>
      </c>
      <c r="K485">
        <v>16.8</v>
      </c>
      <c r="L485">
        <v>13.85</v>
      </c>
      <c r="M485">
        <v>102.31</v>
      </c>
      <c r="N485">
        <v>96.95</v>
      </c>
      <c r="O485">
        <v>5.36</v>
      </c>
      <c r="P485">
        <v>0.13</v>
      </c>
      <c r="Q485" t="s">
        <v>85</v>
      </c>
    </row>
    <row r="486" spans="1:17" x14ac:dyDescent="0.25">
      <c r="A486">
        <v>1484</v>
      </c>
      <c r="B486" s="1">
        <v>45469</v>
      </c>
      <c r="C486" t="s">
        <v>254</v>
      </c>
      <c r="D486" t="s">
        <v>25</v>
      </c>
      <c r="E486" t="s">
        <v>18</v>
      </c>
      <c r="F486" t="s">
        <v>27</v>
      </c>
      <c r="G486" t="s">
        <v>41</v>
      </c>
      <c r="H486" t="s">
        <v>63</v>
      </c>
      <c r="I486" t="s">
        <v>117</v>
      </c>
      <c r="J486">
        <v>6</v>
      </c>
      <c r="K486">
        <v>273.97000000000003</v>
      </c>
      <c r="L486">
        <v>213.92</v>
      </c>
      <c r="M486">
        <v>1512.31</v>
      </c>
      <c r="N486">
        <v>1283.52</v>
      </c>
      <c r="O486">
        <v>228.79</v>
      </c>
      <c r="P486">
        <v>0.08</v>
      </c>
      <c r="Q486" t="s">
        <v>125</v>
      </c>
    </row>
    <row r="487" spans="1:17" x14ac:dyDescent="0.25">
      <c r="A487">
        <v>1485</v>
      </c>
      <c r="B487" s="1">
        <v>45327</v>
      </c>
      <c r="C487" t="s">
        <v>104</v>
      </c>
      <c r="D487" t="s">
        <v>17</v>
      </c>
      <c r="E487" t="s">
        <v>26</v>
      </c>
      <c r="F487" t="s">
        <v>19</v>
      </c>
      <c r="G487" t="s">
        <v>41</v>
      </c>
      <c r="H487" t="s">
        <v>46</v>
      </c>
      <c r="I487" t="s">
        <v>102</v>
      </c>
      <c r="J487">
        <v>3</v>
      </c>
      <c r="K487">
        <v>316.7</v>
      </c>
      <c r="L487">
        <v>159.52000000000001</v>
      </c>
      <c r="M487">
        <v>950.1</v>
      </c>
      <c r="N487">
        <v>478.56</v>
      </c>
      <c r="O487">
        <v>471.54</v>
      </c>
      <c r="P487">
        <v>0</v>
      </c>
      <c r="Q487" t="s">
        <v>44</v>
      </c>
    </row>
    <row r="488" spans="1:17" x14ac:dyDescent="0.25">
      <c r="A488">
        <v>1486</v>
      </c>
      <c r="B488" s="1">
        <v>44939</v>
      </c>
      <c r="C488" t="s">
        <v>225</v>
      </c>
      <c r="D488" t="s">
        <v>17</v>
      </c>
      <c r="E488" t="s">
        <v>33</v>
      </c>
      <c r="F488" t="s">
        <v>27</v>
      </c>
      <c r="G488" t="s">
        <v>35</v>
      </c>
      <c r="H488" t="s">
        <v>36</v>
      </c>
      <c r="I488" t="s">
        <v>100</v>
      </c>
      <c r="J488">
        <v>5</v>
      </c>
      <c r="K488">
        <v>255.64</v>
      </c>
      <c r="L488">
        <v>130.87</v>
      </c>
      <c r="M488">
        <v>1035.3399999999999</v>
      </c>
      <c r="N488">
        <v>654.35</v>
      </c>
      <c r="O488">
        <v>380.99</v>
      </c>
      <c r="P488">
        <v>0.19</v>
      </c>
      <c r="Q488" t="s">
        <v>51</v>
      </c>
    </row>
    <row r="489" spans="1:17" x14ac:dyDescent="0.25">
      <c r="A489">
        <v>1487</v>
      </c>
      <c r="B489" s="1">
        <v>45535</v>
      </c>
      <c r="C489" t="s">
        <v>212</v>
      </c>
      <c r="D489" t="s">
        <v>25</v>
      </c>
      <c r="E489" t="s">
        <v>33</v>
      </c>
      <c r="F489" t="s">
        <v>34</v>
      </c>
      <c r="G489" t="s">
        <v>20</v>
      </c>
      <c r="H489" t="s">
        <v>113</v>
      </c>
      <c r="I489" t="s">
        <v>114</v>
      </c>
      <c r="J489">
        <v>7</v>
      </c>
      <c r="K489">
        <v>658.11</v>
      </c>
      <c r="L489">
        <v>536.34</v>
      </c>
      <c r="M489">
        <v>3823.62</v>
      </c>
      <c r="N489">
        <v>3754.38</v>
      </c>
      <c r="O489">
        <v>69.239999999999995</v>
      </c>
      <c r="P489">
        <v>0.17</v>
      </c>
      <c r="Q489" t="s">
        <v>92</v>
      </c>
    </row>
    <row r="490" spans="1:17" x14ac:dyDescent="0.25">
      <c r="A490">
        <v>1488</v>
      </c>
      <c r="B490" s="1">
        <v>45040</v>
      </c>
      <c r="C490" t="s">
        <v>137</v>
      </c>
      <c r="D490" t="s">
        <v>32</v>
      </c>
      <c r="E490" t="s">
        <v>18</v>
      </c>
      <c r="F490" t="s">
        <v>27</v>
      </c>
      <c r="G490" t="s">
        <v>41</v>
      </c>
      <c r="H490" t="s">
        <v>42</v>
      </c>
      <c r="I490" t="s">
        <v>43</v>
      </c>
      <c r="J490">
        <v>8</v>
      </c>
      <c r="K490">
        <v>923.08</v>
      </c>
      <c r="L490">
        <v>550.83000000000004</v>
      </c>
      <c r="M490">
        <v>6424.64</v>
      </c>
      <c r="N490">
        <v>4406.6400000000003</v>
      </c>
      <c r="O490">
        <v>2018</v>
      </c>
      <c r="P490">
        <v>0.13</v>
      </c>
      <c r="Q490" t="s">
        <v>85</v>
      </c>
    </row>
    <row r="491" spans="1:17" x14ac:dyDescent="0.25">
      <c r="A491">
        <v>1489</v>
      </c>
      <c r="B491" s="1">
        <v>45190</v>
      </c>
      <c r="C491" t="s">
        <v>107</v>
      </c>
      <c r="D491" t="s">
        <v>25</v>
      </c>
      <c r="E491" t="s">
        <v>18</v>
      </c>
      <c r="F491" t="s">
        <v>34</v>
      </c>
      <c r="G491" t="s">
        <v>35</v>
      </c>
      <c r="H491" t="s">
        <v>49</v>
      </c>
      <c r="I491" t="s">
        <v>50</v>
      </c>
      <c r="J491">
        <v>1</v>
      </c>
      <c r="K491">
        <v>261.95</v>
      </c>
      <c r="L491">
        <v>205.49</v>
      </c>
      <c r="M491">
        <v>248.85</v>
      </c>
      <c r="N491">
        <v>205.49</v>
      </c>
      <c r="O491">
        <v>43.36</v>
      </c>
      <c r="P491">
        <v>0.05</v>
      </c>
      <c r="Q491" t="s">
        <v>44</v>
      </c>
    </row>
    <row r="492" spans="1:17" x14ac:dyDescent="0.25">
      <c r="A492">
        <v>1490</v>
      </c>
      <c r="B492" s="1">
        <v>45430</v>
      </c>
      <c r="C492" t="s">
        <v>199</v>
      </c>
      <c r="D492" t="s">
        <v>17</v>
      </c>
      <c r="E492" t="s">
        <v>53</v>
      </c>
      <c r="F492" t="s">
        <v>19</v>
      </c>
      <c r="G492" t="s">
        <v>41</v>
      </c>
      <c r="H492" t="s">
        <v>46</v>
      </c>
      <c r="I492" t="s">
        <v>47</v>
      </c>
      <c r="J492">
        <v>3</v>
      </c>
      <c r="K492">
        <v>542.92999999999995</v>
      </c>
      <c r="L492">
        <v>353.41</v>
      </c>
      <c r="M492">
        <v>1335.61</v>
      </c>
      <c r="N492">
        <v>1060.23</v>
      </c>
      <c r="O492">
        <v>275.38</v>
      </c>
      <c r="P492">
        <v>0.18</v>
      </c>
      <c r="Q492" t="s">
        <v>44</v>
      </c>
    </row>
    <row r="493" spans="1:17" x14ac:dyDescent="0.25">
      <c r="A493">
        <v>1491</v>
      </c>
      <c r="B493" s="1">
        <v>45379</v>
      </c>
      <c r="C493" t="s">
        <v>138</v>
      </c>
      <c r="D493" t="s">
        <v>25</v>
      </c>
      <c r="E493" t="s">
        <v>33</v>
      </c>
      <c r="F493" t="s">
        <v>34</v>
      </c>
      <c r="G493" t="s">
        <v>20</v>
      </c>
      <c r="H493" t="s">
        <v>113</v>
      </c>
      <c r="I493" t="s">
        <v>161</v>
      </c>
      <c r="J493">
        <v>5</v>
      </c>
      <c r="K493">
        <v>778.35</v>
      </c>
      <c r="L493">
        <v>394.29</v>
      </c>
      <c r="M493">
        <v>3307.99</v>
      </c>
      <c r="N493">
        <v>1971.45</v>
      </c>
      <c r="O493">
        <v>1336.54</v>
      </c>
      <c r="P493">
        <v>0.15</v>
      </c>
      <c r="Q493" t="s">
        <v>51</v>
      </c>
    </row>
    <row r="494" spans="1:17" x14ac:dyDescent="0.25">
      <c r="A494">
        <v>1492</v>
      </c>
      <c r="B494" s="1">
        <v>44965</v>
      </c>
      <c r="C494" t="s">
        <v>160</v>
      </c>
      <c r="D494" t="s">
        <v>32</v>
      </c>
      <c r="E494" t="s">
        <v>26</v>
      </c>
      <c r="F494" t="s">
        <v>40</v>
      </c>
      <c r="G494" t="s">
        <v>35</v>
      </c>
      <c r="H494" t="s">
        <v>70</v>
      </c>
      <c r="I494" t="s">
        <v>98</v>
      </c>
      <c r="J494">
        <v>9</v>
      </c>
      <c r="K494">
        <v>709.07</v>
      </c>
      <c r="L494">
        <v>545.88</v>
      </c>
      <c r="M494">
        <v>5488.2</v>
      </c>
      <c r="N494">
        <v>4912.92</v>
      </c>
      <c r="O494">
        <v>575.28</v>
      </c>
      <c r="P494">
        <v>0.14000000000000001</v>
      </c>
      <c r="Q494" t="s">
        <v>75</v>
      </c>
    </row>
    <row r="495" spans="1:17" x14ac:dyDescent="0.25">
      <c r="A495">
        <v>1493</v>
      </c>
      <c r="B495" s="1">
        <v>44998</v>
      </c>
      <c r="C495" t="s">
        <v>121</v>
      </c>
      <c r="D495" t="s">
        <v>25</v>
      </c>
      <c r="E495" t="s">
        <v>53</v>
      </c>
      <c r="F495" t="s">
        <v>27</v>
      </c>
      <c r="G495" t="s">
        <v>20</v>
      </c>
      <c r="H495" t="s">
        <v>113</v>
      </c>
      <c r="I495" t="s">
        <v>161</v>
      </c>
      <c r="J495">
        <v>6</v>
      </c>
      <c r="K495">
        <v>336.77</v>
      </c>
      <c r="L495">
        <v>204.08</v>
      </c>
      <c r="M495">
        <v>1980.21</v>
      </c>
      <c r="N495">
        <v>1224.48</v>
      </c>
      <c r="O495">
        <v>755.73</v>
      </c>
      <c r="P495">
        <v>0.02</v>
      </c>
      <c r="Q495" t="s">
        <v>44</v>
      </c>
    </row>
    <row r="496" spans="1:17" x14ac:dyDescent="0.25">
      <c r="A496">
        <v>1494</v>
      </c>
      <c r="B496" s="1">
        <v>45301</v>
      </c>
      <c r="C496" t="s">
        <v>209</v>
      </c>
      <c r="D496" t="s">
        <v>32</v>
      </c>
      <c r="E496" t="s">
        <v>33</v>
      </c>
      <c r="F496" t="s">
        <v>27</v>
      </c>
      <c r="G496" t="s">
        <v>35</v>
      </c>
      <c r="H496" t="s">
        <v>70</v>
      </c>
      <c r="I496" t="s">
        <v>98</v>
      </c>
      <c r="J496">
        <v>3</v>
      </c>
      <c r="K496">
        <v>556.70000000000005</v>
      </c>
      <c r="L496">
        <v>466.87</v>
      </c>
      <c r="M496">
        <v>1336.08</v>
      </c>
      <c r="N496">
        <v>1400.61</v>
      </c>
      <c r="O496">
        <v>-64.53</v>
      </c>
      <c r="P496">
        <v>0.2</v>
      </c>
      <c r="Q496" t="s">
        <v>30</v>
      </c>
    </row>
    <row r="497" spans="1:17" x14ac:dyDescent="0.25">
      <c r="A497">
        <v>1495</v>
      </c>
      <c r="B497" s="1">
        <v>45639</v>
      </c>
      <c r="C497" t="s">
        <v>278</v>
      </c>
      <c r="D497" t="s">
        <v>25</v>
      </c>
      <c r="E497" t="s">
        <v>18</v>
      </c>
      <c r="F497" t="s">
        <v>27</v>
      </c>
      <c r="G497" t="s">
        <v>20</v>
      </c>
      <c r="H497" t="s">
        <v>113</v>
      </c>
      <c r="I497" t="s">
        <v>153</v>
      </c>
      <c r="J497">
        <v>4</v>
      </c>
      <c r="K497">
        <v>144.24</v>
      </c>
      <c r="L497">
        <v>81.87</v>
      </c>
      <c r="M497">
        <v>450.03</v>
      </c>
      <c r="N497">
        <v>327.48</v>
      </c>
      <c r="O497">
        <v>122.55</v>
      </c>
      <c r="P497">
        <v>0.22</v>
      </c>
      <c r="Q497" t="s">
        <v>125</v>
      </c>
    </row>
    <row r="498" spans="1:17" x14ac:dyDescent="0.25">
      <c r="A498">
        <v>1496</v>
      </c>
      <c r="B498" s="1">
        <v>45171</v>
      </c>
      <c r="C498" t="s">
        <v>119</v>
      </c>
      <c r="D498" t="s">
        <v>25</v>
      </c>
      <c r="E498" t="s">
        <v>18</v>
      </c>
      <c r="F498" t="s">
        <v>27</v>
      </c>
      <c r="G498" t="s">
        <v>41</v>
      </c>
      <c r="H498" t="s">
        <v>46</v>
      </c>
      <c r="I498" t="s">
        <v>47</v>
      </c>
      <c r="J498">
        <v>1</v>
      </c>
      <c r="K498">
        <v>342.59</v>
      </c>
      <c r="L498">
        <v>211.79</v>
      </c>
      <c r="M498">
        <v>267.22000000000003</v>
      </c>
      <c r="N498">
        <v>211.79</v>
      </c>
      <c r="O498">
        <v>55.43</v>
      </c>
      <c r="P498">
        <v>0.22</v>
      </c>
      <c r="Q498" t="s">
        <v>75</v>
      </c>
    </row>
    <row r="499" spans="1:17" x14ac:dyDescent="0.25">
      <c r="A499">
        <v>1497</v>
      </c>
      <c r="B499" s="1">
        <v>45048</v>
      </c>
      <c r="C499" t="s">
        <v>31</v>
      </c>
      <c r="D499" t="s">
        <v>17</v>
      </c>
      <c r="E499" t="s">
        <v>53</v>
      </c>
      <c r="F499" t="s">
        <v>19</v>
      </c>
      <c r="G499" t="s">
        <v>41</v>
      </c>
      <c r="H499" t="s">
        <v>63</v>
      </c>
      <c r="I499" t="s">
        <v>141</v>
      </c>
      <c r="J499">
        <v>2</v>
      </c>
      <c r="K499">
        <v>41.69</v>
      </c>
      <c r="L499">
        <v>22.91</v>
      </c>
      <c r="M499">
        <v>66.7</v>
      </c>
      <c r="N499">
        <v>45.82</v>
      </c>
      <c r="O499">
        <v>20.88</v>
      </c>
      <c r="P499">
        <v>0.2</v>
      </c>
      <c r="Q499" t="s">
        <v>55</v>
      </c>
    </row>
    <row r="500" spans="1:17" x14ac:dyDescent="0.25">
      <c r="A500">
        <v>1498</v>
      </c>
      <c r="B500" s="1">
        <v>45560</v>
      </c>
      <c r="C500" t="s">
        <v>258</v>
      </c>
      <c r="D500" t="s">
        <v>17</v>
      </c>
      <c r="E500" t="s">
        <v>26</v>
      </c>
      <c r="F500" t="s">
        <v>34</v>
      </c>
      <c r="G500" t="s">
        <v>20</v>
      </c>
      <c r="H500" t="s">
        <v>113</v>
      </c>
      <c r="I500" t="s">
        <v>114</v>
      </c>
      <c r="J500">
        <v>5</v>
      </c>
      <c r="K500">
        <v>821.64</v>
      </c>
      <c r="L500">
        <v>438.8</v>
      </c>
      <c r="M500">
        <v>3368.72</v>
      </c>
      <c r="N500">
        <v>2194</v>
      </c>
      <c r="O500">
        <v>1174.72</v>
      </c>
      <c r="P500">
        <v>0.18</v>
      </c>
      <c r="Q500" t="s">
        <v>125</v>
      </c>
    </row>
    <row r="501" spans="1:17" x14ac:dyDescent="0.25">
      <c r="A501">
        <v>1499</v>
      </c>
      <c r="B501" s="1">
        <v>44992</v>
      </c>
      <c r="C501" t="s">
        <v>142</v>
      </c>
      <c r="D501" t="s">
        <v>25</v>
      </c>
      <c r="E501" t="s">
        <v>33</v>
      </c>
      <c r="F501" t="s">
        <v>27</v>
      </c>
      <c r="G501" t="s">
        <v>41</v>
      </c>
      <c r="H501" t="s">
        <v>63</v>
      </c>
      <c r="I501" t="s">
        <v>141</v>
      </c>
      <c r="J501">
        <v>2</v>
      </c>
      <c r="K501">
        <v>805.43</v>
      </c>
      <c r="L501">
        <v>522.86</v>
      </c>
      <c r="M501">
        <v>1224.25</v>
      </c>
      <c r="N501">
        <v>1045.72</v>
      </c>
      <c r="O501">
        <v>178.53</v>
      </c>
      <c r="P501">
        <v>0.24</v>
      </c>
      <c r="Q501" t="s">
        <v>75</v>
      </c>
    </row>
    <row r="502" spans="1:17" x14ac:dyDescent="0.25">
      <c r="A502">
        <v>1500</v>
      </c>
      <c r="B502" s="1">
        <v>45259</v>
      </c>
      <c r="C502" t="s">
        <v>279</v>
      </c>
      <c r="D502" t="s">
        <v>17</v>
      </c>
      <c r="E502" t="s">
        <v>26</v>
      </c>
      <c r="F502" t="s">
        <v>40</v>
      </c>
      <c r="G502" t="s">
        <v>20</v>
      </c>
      <c r="H502" t="s">
        <v>21</v>
      </c>
      <c r="I502" t="s">
        <v>132</v>
      </c>
      <c r="J502">
        <v>6</v>
      </c>
      <c r="K502">
        <v>67.91</v>
      </c>
      <c r="L502">
        <v>40.47</v>
      </c>
      <c r="M502">
        <v>313.74</v>
      </c>
      <c r="N502">
        <v>242.82</v>
      </c>
      <c r="O502">
        <v>70.92</v>
      </c>
      <c r="P502">
        <v>0.23</v>
      </c>
      <c r="Q502" t="s">
        <v>92</v>
      </c>
    </row>
    <row r="503" spans="1:17" x14ac:dyDescent="0.25">
      <c r="A503">
        <v>1501</v>
      </c>
      <c r="B503" s="1">
        <v>45640</v>
      </c>
      <c r="C503" t="s">
        <v>154</v>
      </c>
      <c r="D503" t="s">
        <v>25</v>
      </c>
      <c r="E503" t="s">
        <v>53</v>
      </c>
      <c r="F503" t="s">
        <v>19</v>
      </c>
      <c r="G503" t="s">
        <v>41</v>
      </c>
      <c r="H503" t="s">
        <v>42</v>
      </c>
      <c r="I503" t="s">
        <v>77</v>
      </c>
      <c r="J503">
        <v>2</v>
      </c>
      <c r="K503">
        <v>792.1</v>
      </c>
      <c r="L503">
        <v>571.32000000000005</v>
      </c>
      <c r="M503">
        <v>1409.94</v>
      </c>
      <c r="N503">
        <v>1142.6400000000001</v>
      </c>
      <c r="O503">
        <v>267.3</v>
      </c>
      <c r="P503">
        <v>0.11</v>
      </c>
      <c r="Q503" t="s">
        <v>92</v>
      </c>
    </row>
    <row r="504" spans="1:17" x14ac:dyDescent="0.25">
      <c r="A504">
        <v>1502</v>
      </c>
      <c r="B504" s="1">
        <v>44943</v>
      </c>
      <c r="C504" t="s">
        <v>158</v>
      </c>
      <c r="D504" t="s">
        <v>25</v>
      </c>
      <c r="E504" t="s">
        <v>33</v>
      </c>
      <c r="F504" t="s">
        <v>34</v>
      </c>
      <c r="G504" t="s">
        <v>20</v>
      </c>
      <c r="H504" t="s">
        <v>21</v>
      </c>
      <c r="I504" t="s">
        <v>54</v>
      </c>
      <c r="J504">
        <v>7</v>
      </c>
      <c r="K504">
        <v>695.04</v>
      </c>
      <c r="L504">
        <v>540.24</v>
      </c>
      <c r="M504">
        <v>4184.1400000000003</v>
      </c>
      <c r="N504">
        <v>3781.68</v>
      </c>
      <c r="O504">
        <v>402.46</v>
      </c>
      <c r="P504">
        <v>0.14000000000000001</v>
      </c>
      <c r="Q504" t="s">
        <v>92</v>
      </c>
    </row>
    <row r="505" spans="1:17" x14ac:dyDescent="0.25">
      <c r="A505">
        <v>1503</v>
      </c>
      <c r="B505" s="1">
        <v>45138</v>
      </c>
      <c r="C505" t="s">
        <v>58</v>
      </c>
      <c r="D505" t="s">
        <v>32</v>
      </c>
      <c r="E505" t="s">
        <v>53</v>
      </c>
      <c r="F505" t="s">
        <v>27</v>
      </c>
      <c r="G505" t="s">
        <v>20</v>
      </c>
      <c r="H505" t="s">
        <v>21</v>
      </c>
      <c r="I505" t="s">
        <v>22</v>
      </c>
      <c r="J505">
        <v>10</v>
      </c>
      <c r="K505">
        <v>184.1</v>
      </c>
      <c r="L505">
        <v>124.26</v>
      </c>
      <c r="M505">
        <v>1307.1099999999999</v>
      </c>
      <c r="N505">
        <v>1242.5999999999999</v>
      </c>
      <c r="O505">
        <v>64.510000000000005</v>
      </c>
      <c r="P505">
        <v>0.28999999999999998</v>
      </c>
      <c r="Q505" t="s">
        <v>30</v>
      </c>
    </row>
    <row r="506" spans="1:17" x14ac:dyDescent="0.25">
      <c r="A506">
        <v>1504</v>
      </c>
      <c r="B506" s="1">
        <v>45283</v>
      </c>
      <c r="C506" t="s">
        <v>280</v>
      </c>
      <c r="D506" t="s">
        <v>17</v>
      </c>
      <c r="E506" t="s">
        <v>26</v>
      </c>
      <c r="F506" t="s">
        <v>19</v>
      </c>
      <c r="G506" t="s">
        <v>20</v>
      </c>
      <c r="H506" t="s">
        <v>113</v>
      </c>
      <c r="I506" t="s">
        <v>114</v>
      </c>
      <c r="J506">
        <v>10</v>
      </c>
      <c r="K506">
        <v>365.09</v>
      </c>
      <c r="L506">
        <v>279.8</v>
      </c>
      <c r="M506">
        <v>3066.76</v>
      </c>
      <c r="N506">
        <v>2798</v>
      </c>
      <c r="O506">
        <v>268.76</v>
      </c>
      <c r="P506">
        <v>0.16</v>
      </c>
      <c r="Q506" t="s">
        <v>23</v>
      </c>
    </row>
    <row r="507" spans="1:17" x14ac:dyDescent="0.25">
      <c r="A507">
        <v>1505</v>
      </c>
      <c r="B507" s="1">
        <v>45402</v>
      </c>
      <c r="C507" t="s">
        <v>202</v>
      </c>
      <c r="D507" t="s">
        <v>17</v>
      </c>
      <c r="E507" t="s">
        <v>26</v>
      </c>
      <c r="F507" t="s">
        <v>40</v>
      </c>
      <c r="G507" t="s">
        <v>20</v>
      </c>
      <c r="H507" t="s">
        <v>21</v>
      </c>
      <c r="I507" t="s">
        <v>22</v>
      </c>
      <c r="J507">
        <v>3</v>
      </c>
      <c r="K507">
        <v>686.82</v>
      </c>
      <c r="L507">
        <v>576.24</v>
      </c>
      <c r="M507">
        <v>1772</v>
      </c>
      <c r="N507">
        <v>1728.72</v>
      </c>
      <c r="O507">
        <v>43.28</v>
      </c>
      <c r="P507">
        <v>0.14000000000000001</v>
      </c>
      <c r="Q507" t="s">
        <v>92</v>
      </c>
    </row>
    <row r="508" spans="1:17" x14ac:dyDescent="0.25">
      <c r="A508">
        <v>1506</v>
      </c>
      <c r="B508" s="1">
        <v>45090</v>
      </c>
      <c r="C508" t="s">
        <v>212</v>
      </c>
      <c r="D508" t="s">
        <v>25</v>
      </c>
      <c r="E508" t="s">
        <v>33</v>
      </c>
      <c r="F508" t="s">
        <v>40</v>
      </c>
      <c r="G508" t="s">
        <v>35</v>
      </c>
      <c r="H508" t="s">
        <v>36</v>
      </c>
      <c r="I508" t="s">
        <v>37</v>
      </c>
      <c r="J508">
        <v>5</v>
      </c>
      <c r="K508">
        <v>337.62</v>
      </c>
      <c r="L508">
        <v>263.95</v>
      </c>
      <c r="M508">
        <v>1299.8399999999999</v>
      </c>
      <c r="N508">
        <v>1319.75</v>
      </c>
      <c r="O508">
        <v>-19.91</v>
      </c>
      <c r="P508">
        <v>0.23</v>
      </c>
      <c r="Q508" t="s">
        <v>51</v>
      </c>
    </row>
    <row r="509" spans="1:17" x14ac:dyDescent="0.25">
      <c r="A509">
        <v>1507</v>
      </c>
      <c r="B509" s="1">
        <v>45033</v>
      </c>
      <c r="C509" t="s">
        <v>203</v>
      </c>
      <c r="D509" t="s">
        <v>17</v>
      </c>
      <c r="E509" t="s">
        <v>26</v>
      </c>
      <c r="F509" t="s">
        <v>19</v>
      </c>
      <c r="G509" t="s">
        <v>20</v>
      </c>
      <c r="H509" t="s">
        <v>28</v>
      </c>
      <c r="I509" t="s">
        <v>90</v>
      </c>
      <c r="J509">
        <v>2</v>
      </c>
      <c r="K509">
        <v>895.6</v>
      </c>
      <c r="L509">
        <v>673.93</v>
      </c>
      <c r="M509">
        <v>1468.78</v>
      </c>
      <c r="N509">
        <v>1347.86</v>
      </c>
      <c r="O509">
        <v>120.92</v>
      </c>
      <c r="P509">
        <v>0.18</v>
      </c>
      <c r="Q509" t="s">
        <v>85</v>
      </c>
    </row>
    <row r="510" spans="1:17" x14ac:dyDescent="0.25">
      <c r="A510">
        <v>1508</v>
      </c>
      <c r="B510" s="1">
        <v>45356</v>
      </c>
      <c r="C510" t="s">
        <v>69</v>
      </c>
      <c r="D510" t="s">
        <v>17</v>
      </c>
      <c r="E510" t="s">
        <v>18</v>
      </c>
      <c r="F510" t="s">
        <v>19</v>
      </c>
      <c r="G510" t="s">
        <v>20</v>
      </c>
      <c r="H510" t="s">
        <v>28</v>
      </c>
      <c r="I510" t="s">
        <v>81</v>
      </c>
      <c r="J510">
        <v>2</v>
      </c>
      <c r="K510">
        <v>240.93</v>
      </c>
      <c r="L510">
        <v>155.26</v>
      </c>
      <c r="M510">
        <v>452.95</v>
      </c>
      <c r="N510">
        <v>310.52</v>
      </c>
      <c r="O510">
        <v>142.43</v>
      </c>
      <c r="P510">
        <v>0.06</v>
      </c>
      <c r="Q510" t="s">
        <v>23</v>
      </c>
    </row>
    <row r="511" spans="1:17" x14ac:dyDescent="0.25">
      <c r="A511">
        <v>1509</v>
      </c>
      <c r="B511" s="1">
        <v>45002</v>
      </c>
      <c r="C511" t="s">
        <v>184</v>
      </c>
      <c r="D511" t="s">
        <v>32</v>
      </c>
      <c r="E511" t="s">
        <v>33</v>
      </c>
      <c r="F511" t="s">
        <v>27</v>
      </c>
      <c r="G511" t="s">
        <v>20</v>
      </c>
      <c r="H511" t="s">
        <v>21</v>
      </c>
      <c r="I511" t="s">
        <v>79</v>
      </c>
      <c r="J511">
        <v>3</v>
      </c>
      <c r="K511">
        <v>390.39</v>
      </c>
      <c r="L511">
        <v>213.83</v>
      </c>
      <c r="M511">
        <v>913.51</v>
      </c>
      <c r="N511">
        <v>641.49</v>
      </c>
      <c r="O511">
        <v>272.02</v>
      </c>
      <c r="P511">
        <v>0.22</v>
      </c>
      <c r="Q511" t="s">
        <v>85</v>
      </c>
    </row>
    <row r="512" spans="1:17" x14ac:dyDescent="0.25">
      <c r="A512">
        <v>1510</v>
      </c>
      <c r="B512" s="1">
        <v>45203</v>
      </c>
      <c r="C512" t="s">
        <v>208</v>
      </c>
      <c r="D512" t="s">
        <v>25</v>
      </c>
      <c r="E512" t="s">
        <v>33</v>
      </c>
      <c r="F512" t="s">
        <v>34</v>
      </c>
      <c r="G512" t="s">
        <v>35</v>
      </c>
      <c r="H512" t="s">
        <v>36</v>
      </c>
      <c r="I512" t="s">
        <v>87</v>
      </c>
      <c r="J512">
        <v>8</v>
      </c>
      <c r="K512">
        <v>461.29</v>
      </c>
      <c r="L512">
        <v>258.29000000000002</v>
      </c>
      <c r="M512">
        <v>3321.29</v>
      </c>
      <c r="N512">
        <v>2066.3200000000002</v>
      </c>
      <c r="O512">
        <v>1254.97</v>
      </c>
      <c r="P512">
        <v>0.1</v>
      </c>
      <c r="Q512" t="s">
        <v>30</v>
      </c>
    </row>
    <row r="513" spans="1:17" x14ac:dyDescent="0.25">
      <c r="A513">
        <v>1511</v>
      </c>
      <c r="B513" s="1">
        <v>45545</v>
      </c>
      <c r="C513" t="s">
        <v>107</v>
      </c>
      <c r="D513" t="s">
        <v>17</v>
      </c>
      <c r="E513" t="s">
        <v>26</v>
      </c>
      <c r="F513" t="s">
        <v>19</v>
      </c>
      <c r="G513" t="s">
        <v>20</v>
      </c>
      <c r="H513" t="s">
        <v>28</v>
      </c>
      <c r="I513" t="s">
        <v>61</v>
      </c>
      <c r="J513">
        <v>4</v>
      </c>
      <c r="K513">
        <v>593.62</v>
      </c>
      <c r="L513">
        <v>470.71</v>
      </c>
      <c r="M513">
        <v>2184.52</v>
      </c>
      <c r="N513">
        <v>1882.84</v>
      </c>
      <c r="O513">
        <v>301.68</v>
      </c>
      <c r="P513">
        <v>0.08</v>
      </c>
      <c r="Q513" t="s">
        <v>75</v>
      </c>
    </row>
    <row r="514" spans="1:17" x14ac:dyDescent="0.25">
      <c r="A514">
        <v>1512</v>
      </c>
      <c r="B514" s="1">
        <v>45179</v>
      </c>
      <c r="C514" t="s">
        <v>208</v>
      </c>
      <c r="D514" t="s">
        <v>32</v>
      </c>
      <c r="E514" t="s">
        <v>26</v>
      </c>
      <c r="F514" t="s">
        <v>19</v>
      </c>
      <c r="G514" t="s">
        <v>41</v>
      </c>
      <c r="H514" t="s">
        <v>42</v>
      </c>
      <c r="I514" t="s">
        <v>68</v>
      </c>
      <c r="J514">
        <v>1</v>
      </c>
      <c r="K514">
        <v>44.86</v>
      </c>
      <c r="L514">
        <v>29.82</v>
      </c>
      <c r="M514">
        <v>34.54</v>
      </c>
      <c r="N514">
        <v>29.82</v>
      </c>
      <c r="O514">
        <v>4.72</v>
      </c>
      <c r="P514">
        <v>0.23</v>
      </c>
      <c r="Q514" t="s">
        <v>51</v>
      </c>
    </row>
    <row r="515" spans="1:17" x14ac:dyDescent="0.25">
      <c r="A515">
        <v>1513</v>
      </c>
      <c r="B515" s="1">
        <v>45362</v>
      </c>
      <c r="C515" t="s">
        <v>96</v>
      </c>
      <c r="D515" t="s">
        <v>32</v>
      </c>
      <c r="E515" t="s">
        <v>33</v>
      </c>
      <c r="F515" t="s">
        <v>27</v>
      </c>
      <c r="G515" t="s">
        <v>35</v>
      </c>
      <c r="H515" t="s">
        <v>36</v>
      </c>
      <c r="I515" t="s">
        <v>87</v>
      </c>
      <c r="J515">
        <v>9</v>
      </c>
      <c r="K515">
        <v>754.31</v>
      </c>
      <c r="L515">
        <v>560.16</v>
      </c>
      <c r="M515">
        <v>5974.14</v>
      </c>
      <c r="N515">
        <v>5041.4399999999996</v>
      </c>
      <c r="O515">
        <v>932.7</v>
      </c>
      <c r="P515">
        <v>0.12</v>
      </c>
      <c r="Q515" t="s">
        <v>23</v>
      </c>
    </row>
    <row r="516" spans="1:17" x14ac:dyDescent="0.25">
      <c r="A516">
        <v>1514</v>
      </c>
      <c r="B516" s="1">
        <v>45062</v>
      </c>
      <c r="C516" t="s">
        <v>281</v>
      </c>
      <c r="D516" t="s">
        <v>25</v>
      </c>
      <c r="E516" t="s">
        <v>33</v>
      </c>
      <c r="F516" t="s">
        <v>34</v>
      </c>
      <c r="G516" t="s">
        <v>35</v>
      </c>
      <c r="H516" t="s">
        <v>70</v>
      </c>
      <c r="I516" t="s">
        <v>71</v>
      </c>
      <c r="J516">
        <v>3</v>
      </c>
      <c r="K516">
        <v>704.79</v>
      </c>
      <c r="L516">
        <v>564.02</v>
      </c>
      <c r="M516">
        <v>1649.21</v>
      </c>
      <c r="N516">
        <v>1692.06</v>
      </c>
      <c r="O516">
        <v>-42.85</v>
      </c>
      <c r="P516">
        <v>0.22</v>
      </c>
      <c r="Q516" t="s">
        <v>51</v>
      </c>
    </row>
    <row r="517" spans="1:17" x14ac:dyDescent="0.25">
      <c r="A517">
        <v>1515</v>
      </c>
      <c r="B517" s="1">
        <v>45392</v>
      </c>
      <c r="C517" t="s">
        <v>104</v>
      </c>
      <c r="D517" t="s">
        <v>25</v>
      </c>
      <c r="E517" t="s">
        <v>53</v>
      </c>
      <c r="F517" t="s">
        <v>19</v>
      </c>
      <c r="G517" t="s">
        <v>35</v>
      </c>
      <c r="H517" t="s">
        <v>70</v>
      </c>
      <c r="I517" t="s">
        <v>71</v>
      </c>
      <c r="J517">
        <v>1</v>
      </c>
      <c r="K517">
        <v>861.08</v>
      </c>
      <c r="L517">
        <v>451.85</v>
      </c>
      <c r="M517">
        <v>628.59</v>
      </c>
      <c r="N517">
        <v>451.85</v>
      </c>
      <c r="O517">
        <v>176.74</v>
      </c>
      <c r="P517">
        <v>0.27</v>
      </c>
      <c r="Q517" t="s">
        <v>85</v>
      </c>
    </row>
    <row r="518" spans="1:17" x14ac:dyDescent="0.25">
      <c r="A518">
        <v>1516</v>
      </c>
      <c r="B518" s="1">
        <v>45470</v>
      </c>
      <c r="C518" t="s">
        <v>219</v>
      </c>
      <c r="D518" t="s">
        <v>32</v>
      </c>
      <c r="E518" t="s">
        <v>18</v>
      </c>
      <c r="F518" t="s">
        <v>19</v>
      </c>
      <c r="G518" t="s">
        <v>41</v>
      </c>
      <c r="H518" t="s">
        <v>42</v>
      </c>
      <c r="I518" t="s">
        <v>43</v>
      </c>
      <c r="J518">
        <v>6</v>
      </c>
      <c r="K518">
        <v>737.08</v>
      </c>
      <c r="L518">
        <v>382.68</v>
      </c>
      <c r="M518">
        <v>3184.19</v>
      </c>
      <c r="N518">
        <v>2296.08</v>
      </c>
      <c r="O518">
        <v>888.11</v>
      </c>
      <c r="P518">
        <v>0.28000000000000003</v>
      </c>
      <c r="Q518" t="s">
        <v>85</v>
      </c>
    </row>
    <row r="519" spans="1:17" x14ac:dyDescent="0.25">
      <c r="A519">
        <v>1517</v>
      </c>
      <c r="B519" s="1">
        <v>44979</v>
      </c>
      <c r="C519" t="s">
        <v>118</v>
      </c>
      <c r="D519" t="s">
        <v>32</v>
      </c>
      <c r="E519" t="s">
        <v>53</v>
      </c>
      <c r="F519" t="s">
        <v>34</v>
      </c>
      <c r="G519" t="s">
        <v>35</v>
      </c>
      <c r="H519" t="s">
        <v>49</v>
      </c>
      <c r="I519" t="s">
        <v>66</v>
      </c>
      <c r="J519">
        <v>9</v>
      </c>
      <c r="K519">
        <v>706.35</v>
      </c>
      <c r="L519">
        <v>491.81</v>
      </c>
      <c r="M519">
        <v>4895.01</v>
      </c>
      <c r="N519">
        <v>4426.29</v>
      </c>
      <c r="O519">
        <v>468.72</v>
      </c>
      <c r="P519">
        <v>0.23</v>
      </c>
      <c r="Q519" t="s">
        <v>92</v>
      </c>
    </row>
    <row r="520" spans="1:17" x14ac:dyDescent="0.25">
      <c r="A520">
        <v>1518</v>
      </c>
      <c r="B520" s="1">
        <v>45269</v>
      </c>
      <c r="C520" t="s">
        <v>229</v>
      </c>
      <c r="D520" t="s">
        <v>25</v>
      </c>
      <c r="E520" t="s">
        <v>53</v>
      </c>
      <c r="F520" t="s">
        <v>19</v>
      </c>
      <c r="G520" t="s">
        <v>41</v>
      </c>
      <c r="H520" t="s">
        <v>42</v>
      </c>
      <c r="I520" t="s">
        <v>68</v>
      </c>
      <c r="J520">
        <v>6</v>
      </c>
      <c r="K520">
        <v>898.44</v>
      </c>
      <c r="L520">
        <v>607.57000000000005</v>
      </c>
      <c r="M520">
        <v>4689.8599999999997</v>
      </c>
      <c r="N520">
        <v>3645.42</v>
      </c>
      <c r="O520">
        <v>1044.44</v>
      </c>
      <c r="P520">
        <v>0.13</v>
      </c>
      <c r="Q520" t="s">
        <v>51</v>
      </c>
    </row>
    <row r="521" spans="1:17" x14ac:dyDescent="0.25">
      <c r="A521">
        <v>1519</v>
      </c>
      <c r="B521" s="1">
        <v>44991</v>
      </c>
      <c r="C521" t="s">
        <v>134</v>
      </c>
      <c r="D521" t="s">
        <v>32</v>
      </c>
      <c r="E521" t="s">
        <v>53</v>
      </c>
      <c r="F521" t="s">
        <v>34</v>
      </c>
      <c r="G521" t="s">
        <v>35</v>
      </c>
      <c r="H521" t="s">
        <v>70</v>
      </c>
      <c r="I521" t="s">
        <v>84</v>
      </c>
      <c r="J521">
        <v>9</v>
      </c>
      <c r="K521">
        <v>899.95</v>
      </c>
      <c r="L521">
        <v>592.34</v>
      </c>
      <c r="M521">
        <v>7208.6</v>
      </c>
      <c r="N521">
        <v>5331.06</v>
      </c>
      <c r="O521">
        <v>1877.54</v>
      </c>
      <c r="P521">
        <v>0.11</v>
      </c>
      <c r="Q521" t="s">
        <v>44</v>
      </c>
    </row>
    <row r="522" spans="1:17" x14ac:dyDescent="0.25">
      <c r="A522">
        <v>1520</v>
      </c>
      <c r="B522" s="1">
        <v>45119</v>
      </c>
      <c r="C522" t="s">
        <v>197</v>
      </c>
      <c r="D522" t="s">
        <v>32</v>
      </c>
      <c r="E522" t="s">
        <v>33</v>
      </c>
      <c r="F522" t="s">
        <v>34</v>
      </c>
      <c r="G522" t="s">
        <v>35</v>
      </c>
      <c r="H522" t="s">
        <v>36</v>
      </c>
      <c r="I522" t="s">
        <v>37</v>
      </c>
      <c r="J522">
        <v>2</v>
      </c>
      <c r="K522">
        <v>113.82</v>
      </c>
      <c r="L522">
        <v>67.900000000000006</v>
      </c>
      <c r="M522">
        <v>179.84</v>
      </c>
      <c r="N522">
        <v>135.80000000000001</v>
      </c>
      <c r="O522">
        <v>44.04</v>
      </c>
      <c r="P522">
        <v>0.21</v>
      </c>
      <c r="Q522" t="s">
        <v>55</v>
      </c>
    </row>
    <row r="523" spans="1:17" x14ac:dyDescent="0.25">
      <c r="A523">
        <v>1521</v>
      </c>
      <c r="B523" s="1">
        <v>45081</v>
      </c>
      <c r="C523" t="s">
        <v>241</v>
      </c>
      <c r="D523" t="s">
        <v>17</v>
      </c>
      <c r="E523" t="s">
        <v>33</v>
      </c>
      <c r="F523" t="s">
        <v>40</v>
      </c>
      <c r="G523" t="s">
        <v>35</v>
      </c>
      <c r="H523" t="s">
        <v>70</v>
      </c>
      <c r="I523" t="s">
        <v>84</v>
      </c>
      <c r="J523">
        <v>3</v>
      </c>
      <c r="K523">
        <v>476.54</v>
      </c>
      <c r="L523">
        <v>308.33999999999997</v>
      </c>
      <c r="M523">
        <v>1115.0999999999999</v>
      </c>
      <c r="N523">
        <v>925.02</v>
      </c>
      <c r="O523">
        <v>190.08</v>
      </c>
      <c r="P523">
        <v>0.22</v>
      </c>
      <c r="Q523" t="s">
        <v>51</v>
      </c>
    </row>
    <row r="524" spans="1:17" x14ac:dyDescent="0.25">
      <c r="A524">
        <v>1522</v>
      </c>
      <c r="B524" s="1">
        <v>45225</v>
      </c>
      <c r="C524" t="s">
        <v>236</v>
      </c>
      <c r="D524" t="s">
        <v>25</v>
      </c>
      <c r="E524" t="s">
        <v>26</v>
      </c>
      <c r="F524" t="s">
        <v>40</v>
      </c>
      <c r="G524" t="s">
        <v>35</v>
      </c>
      <c r="H524" t="s">
        <v>70</v>
      </c>
      <c r="I524" t="s">
        <v>71</v>
      </c>
      <c r="J524">
        <v>6</v>
      </c>
      <c r="K524">
        <v>488.72</v>
      </c>
      <c r="L524">
        <v>358.26</v>
      </c>
      <c r="M524">
        <v>2463.15</v>
      </c>
      <c r="N524">
        <v>2149.56</v>
      </c>
      <c r="O524">
        <v>313.58999999999997</v>
      </c>
      <c r="P524">
        <v>0.16</v>
      </c>
      <c r="Q524" t="s">
        <v>38</v>
      </c>
    </row>
    <row r="525" spans="1:17" x14ac:dyDescent="0.25">
      <c r="A525">
        <v>1523</v>
      </c>
      <c r="B525" s="1">
        <v>45382</v>
      </c>
      <c r="C525" t="s">
        <v>195</v>
      </c>
      <c r="D525" t="s">
        <v>17</v>
      </c>
      <c r="E525" t="s">
        <v>26</v>
      </c>
      <c r="F525" t="s">
        <v>40</v>
      </c>
      <c r="G525" t="s">
        <v>20</v>
      </c>
      <c r="H525" t="s">
        <v>28</v>
      </c>
      <c r="I525" t="s">
        <v>81</v>
      </c>
      <c r="J525">
        <v>8</v>
      </c>
      <c r="K525">
        <v>375.04</v>
      </c>
      <c r="L525">
        <v>225.34</v>
      </c>
      <c r="M525">
        <v>2250.2399999999998</v>
      </c>
      <c r="N525">
        <v>1802.72</v>
      </c>
      <c r="O525">
        <v>447.52</v>
      </c>
      <c r="P525">
        <v>0.25</v>
      </c>
      <c r="Q525" t="s">
        <v>92</v>
      </c>
    </row>
    <row r="526" spans="1:17" x14ac:dyDescent="0.25">
      <c r="A526">
        <v>1524</v>
      </c>
      <c r="B526" s="1">
        <v>45288</v>
      </c>
      <c r="C526" t="s">
        <v>76</v>
      </c>
      <c r="D526" t="s">
        <v>25</v>
      </c>
      <c r="E526" t="s">
        <v>26</v>
      </c>
      <c r="F526" t="s">
        <v>40</v>
      </c>
      <c r="G526" t="s">
        <v>20</v>
      </c>
      <c r="H526" t="s">
        <v>21</v>
      </c>
      <c r="I526" t="s">
        <v>132</v>
      </c>
      <c r="J526">
        <v>3</v>
      </c>
      <c r="K526">
        <v>241.72</v>
      </c>
      <c r="L526">
        <v>124.34</v>
      </c>
      <c r="M526">
        <v>659.9</v>
      </c>
      <c r="N526">
        <v>373.02</v>
      </c>
      <c r="O526">
        <v>286.88</v>
      </c>
      <c r="P526">
        <v>0.09</v>
      </c>
      <c r="Q526" t="s">
        <v>92</v>
      </c>
    </row>
    <row r="527" spans="1:17" x14ac:dyDescent="0.25">
      <c r="A527">
        <v>1525</v>
      </c>
      <c r="B527" s="1">
        <v>45378</v>
      </c>
      <c r="C527" t="s">
        <v>255</v>
      </c>
      <c r="D527" t="s">
        <v>25</v>
      </c>
      <c r="E527" t="s">
        <v>26</v>
      </c>
      <c r="F527" t="s">
        <v>34</v>
      </c>
      <c r="G527" t="s">
        <v>41</v>
      </c>
      <c r="H527" t="s">
        <v>46</v>
      </c>
      <c r="I527" t="s">
        <v>57</v>
      </c>
      <c r="J527">
        <v>3</v>
      </c>
      <c r="K527">
        <v>376.05</v>
      </c>
      <c r="L527">
        <v>259.08</v>
      </c>
      <c r="M527">
        <v>1071.74</v>
      </c>
      <c r="N527">
        <v>777.24</v>
      </c>
      <c r="O527">
        <v>294.5</v>
      </c>
      <c r="P527">
        <v>0.05</v>
      </c>
      <c r="Q527" t="s">
        <v>30</v>
      </c>
    </row>
    <row r="528" spans="1:17" x14ac:dyDescent="0.25">
      <c r="A528">
        <v>1526</v>
      </c>
      <c r="B528" s="1">
        <v>45051</v>
      </c>
      <c r="C528" t="s">
        <v>227</v>
      </c>
      <c r="D528" t="s">
        <v>32</v>
      </c>
      <c r="E528" t="s">
        <v>53</v>
      </c>
      <c r="F528" t="s">
        <v>19</v>
      </c>
      <c r="G528" t="s">
        <v>35</v>
      </c>
      <c r="H528" t="s">
        <v>49</v>
      </c>
      <c r="I528" t="s">
        <v>66</v>
      </c>
      <c r="J528">
        <v>1</v>
      </c>
      <c r="K528">
        <v>970.3</v>
      </c>
      <c r="L528">
        <v>670.62</v>
      </c>
      <c r="M528">
        <v>824.75</v>
      </c>
      <c r="N528">
        <v>670.62</v>
      </c>
      <c r="O528">
        <v>154.13</v>
      </c>
      <c r="P528">
        <v>0.15</v>
      </c>
      <c r="Q528" t="s">
        <v>30</v>
      </c>
    </row>
    <row r="529" spans="1:17" x14ac:dyDescent="0.25">
      <c r="A529">
        <v>1527</v>
      </c>
      <c r="B529" s="1">
        <v>45412</v>
      </c>
      <c r="C529" t="s">
        <v>146</v>
      </c>
      <c r="D529" t="s">
        <v>17</v>
      </c>
      <c r="E529" t="s">
        <v>26</v>
      </c>
      <c r="F529" t="s">
        <v>27</v>
      </c>
      <c r="G529" t="s">
        <v>35</v>
      </c>
      <c r="H529" t="s">
        <v>70</v>
      </c>
      <c r="I529" t="s">
        <v>98</v>
      </c>
      <c r="J529">
        <v>8</v>
      </c>
      <c r="K529">
        <v>900.67</v>
      </c>
      <c r="L529">
        <v>494.29</v>
      </c>
      <c r="M529">
        <v>5980.45</v>
      </c>
      <c r="N529">
        <v>3954.32</v>
      </c>
      <c r="O529">
        <v>2026.13</v>
      </c>
      <c r="P529">
        <v>0.17</v>
      </c>
      <c r="Q529" t="s">
        <v>30</v>
      </c>
    </row>
    <row r="530" spans="1:17" x14ac:dyDescent="0.25">
      <c r="A530">
        <v>1528</v>
      </c>
      <c r="B530" s="1">
        <v>44952</v>
      </c>
      <c r="C530" t="s">
        <v>282</v>
      </c>
      <c r="D530" t="s">
        <v>25</v>
      </c>
      <c r="E530" t="s">
        <v>53</v>
      </c>
      <c r="F530" t="s">
        <v>40</v>
      </c>
      <c r="G530" t="s">
        <v>20</v>
      </c>
      <c r="H530" t="s">
        <v>28</v>
      </c>
      <c r="I530" t="s">
        <v>90</v>
      </c>
      <c r="J530">
        <v>10</v>
      </c>
      <c r="K530">
        <v>643.11</v>
      </c>
      <c r="L530">
        <v>452.88</v>
      </c>
      <c r="M530">
        <v>5980.92</v>
      </c>
      <c r="N530">
        <v>4528.8</v>
      </c>
      <c r="O530">
        <v>1452.12</v>
      </c>
      <c r="P530">
        <v>7.0000000000000007E-2</v>
      </c>
      <c r="Q530" t="s">
        <v>30</v>
      </c>
    </row>
    <row r="531" spans="1:17" x14ac:dyDescent="0.25">
      <c r="A531">
        <v>1529</v>
      </c>
      <c r="B531" s="1">
        <v>45127</v>
      </c>
      <c r="C531" t="s">
        <v>273</v>
      </c>
      <c r="D531" t="s">
        <v>17</v>
      </c>
      <c r="E531" t="s">
        <v>53</v>
      </c>
      <c r="F531" t="s">
        <v>34</v>
      </c>
      <c r="G531" t="s">
        <v>41</v>
      </c>
      <c r="H531" t="s">
        <v>46</v>
      </c>
      <c r="I531" t="s">
        <v>47</v>
      </c>
      <c r="J531">
        <v>8</v>
      </c>
      <c r="K531">
        <v>321.17</v>
      </c>
      <c r="L531">
        <v>228.6</v>
      </c>
      <c r="M531">
        <v>1849.94</v>
      </c>
      <c r="N531">
        <v>1828.8</v>
      </c>
      <c r="O531">
        <v>21.14</v>
      </c>
      <c r="P531">
        <v>0.28000000000000003</v>
      </c>
      <c r="Q531" t="s">
        <v>85</v>
      </c>
    </row>
    <row r="532" spans="1:17" x14ac:dyDescent="0.25">
      <c r="A532">
        <v>1530</v>
      </c>
      <c r="B532" s="1">
        <v>45334</v>
      </c>
      <c r="C532" t="s">
        <v>73</v>
      </c>
      <c r="D532" t="s">
        <v>32</v>
      </c>
      <c r="E532" t="s">
        <v>18</v>
      </c>
      <c r="F532" t="s">
        <v>27</v>
      </c>
      <c r="G532" t="s">
        <v>35</v>
      </c>
      <c r="H532" t="s">
        <v>36</v>
      </c>
      <c r="I532" t="s">
        <v>37</v>
      </c>
      <c r="J532">
        <v>6</v>
      </c>
      <c r="K532">
        <v>354.6</v>
      </c>
      <c r="L532">
        <v>298.62</v>
      </c>
      <c r="M532">
        <v>1574.42</v>
      </c>
      <c r="N532">
        <v>1791.72</v>
      </c>
      <c r="O532">
        <v>-217.3</v>
      </c>
      <c r="P532">
        <v>0.26</v>
      </c>
      <c r="Q532" t="s">
        <v>44</v>
      </c>
    </row>
    <row r="533" spans="1:17" x14ac:dyDescent="0.25">
      <c r="A533">
        <v>1531</v>
      </c>
      <c r="B533" s="1">
        <v>45147</v>
      </c>
      <c r="C533" t="s">
        <v>250</v>
      </c>
      <c r="D533" t="s">
        <v>32</v>
      </c>
      <c r="E533" t="s">
        <v>53</v>
      </c>
      <c r="F533" t="s">
        <v>27</v>
      </c>
      <c r="G533" t="s">
        <v>35</v>
      </c>
      <c r="H533" t="s">
        <v>36</v>
      </c>
      <c r="I533" t="s">
        <v>100</v>
      </c>
      <c r="J533">
        <v>7</v>
      </c>
      <c r="K533">
        <v>729.96</v>
      </c>
      <c r="L533">
        <v>470.8</v>
      </c>
      <c r="M533">
        <v>3832.29</v>
      </c>
      <c r="N533">
        <v>3295.6</v>
      </c>
      <c r="O533">
        <v>536.69000000000005</v>
      </c>
      <c r="P533">
        <v>0.25</v>
      </c>
      <c r="Q533" t="s">
        <v>125</v>
      </c>
    </row>
    <row r="534" spans="1:17" x14ac:dyDescent="0.25">
      <c r="A534">
        <v>1532</v>
      </c>
      <c r="B534" s="1">
        <v>45015</v>
      </c>
      <c r="C534" t="s">
        <v>115</v>
      </c>
      <c r="D534" t="s">
        <v>32</v>
      </c>
      <c r="E534" t="s">
        <v>53</v>
      </c>
      <c r="F534" t="s">
        <v>40</v>
      </c>
      <c r="G534" t="s">
        <v>20</v>
      </c>
      <c r="H534" t="s">
        <v>113</v>
      </c>
      <c r="I534" t="s">
        <v>153</v>
      </c>
      <c r="J534">
        <v>2</v>
      </c>
      <c r="K534">
        <v>11.59</v>
      </c>
      <c r="L534">
        <v>8.39</v>
      </c>
      <c r="M534">
        <v>21.33</v>
      </c>
      <c r="N534">
        <v>16.78</v>
      </c>
      <c r="O534">
        <v>4.55</v>
      </c>
      <c r="P534">
        <v>0.08</v>
      </c>
      <c r="Q534" t="s">
        <v>92</v>
      </c>
    </row>
    <row r="535" spans="1:17" x14ac:dyDescent="0.25">
      <c r="A535">
        <v>1533</v>
      </c>
      <c r="B535" s="1">
        <v>45496</v>
      </c>
      <c r="C535" t="s">
        <v>128</v>
      </c>
      <c r="D535" t="s">
        <v>17</v>
      </c>
      <c r="E535" t="s">
        <v>26</v>
      </c>
      <c r="F535" t="s">
        <v>19</v>
      </c>
      <c r="G535" t="s">
        <v>20</v>
      </c>
      <c r="H535" t="s">
        <v>28</v>
      </c>
      <c r="I535" t="s">
        <v>29</v>
      </c>
      <c r="J535">
        <v>9</v>
      </c>
      <c r="K535">
        <v>493.13</v>
      </c>
      <c r="L535">
        <v>388.58</v>
      </c>
      <c r="M535">
        <v>4038.73</v>
      </c>
      <c r="N535">
        <v>3497.22</v>
      </c>
      <c r="O535">
        <v>541.51</v>
      </c>
      <c r="P535">
        <v>0.09</v>
      </c>
      <c r="Q535" t="s">
        <v>125</v>
      </c>
    </row>
    <row r="536" spans="1:17" x14ac:dyDescent="0.25">
      <c r="A536">
        <v>1534</v>
      </c>
      <c r="B536" s="1">
        <v>45238</v>
      </c>
      <c r="C536" t="s">
        <v>207</v>
      </c>
      <c r="D536" t="s">
        <v>17</v>
      </c>
      <c r="E536" t="s">
        <v>53</v>
      </c>
      <c r="F536" t="s">
        <v>19</v>
      </c>
      <c r="G536" t="s">
        <v>20</v>
      </c>
      <c r="H536" t="s">
        <v>21</v>
      </c>
      <c r="I536" t="s">
        <v>132</v>
      </c>
      <c r="J536">
        <v>5</v>
      </c>
      <c r="K536">
        <v>303.67</v>
      </c>
      <c r="L536">
        <v>219.92</v>
      </c>
      <c r="M536">
        <v>1229.8599999999999</v>
      </c>
      <c r="N536">
        <v>1099.5999999999999</v>
      </c>
      <c r="O536">
        <v>130.26</v>
      </c>
      <c r="P536">
        <v>0.19</v>
      </c>
      <c r="Q536" t="s">
        <v>44</v>
      </c>
    </row>
    <row r="537" spans="1:17" x14ac:dyDescent="0.25">
      <c r="A537">
        <v>1535</v>
      </c>
      <c r="B537" s="1">
        <v>45596</v>
      </c>
      <c r="C537" t="s">
        <v>212</v>
      </c>
      <c r="D537" t="s">
        <v>32</v>
      </c>
      <c r="E537" t="s">
        <v>53</v>
      </c>
      <c r="F537" t="s">
        <v>19</v>
      </c>
      <c r="G537" t="s">
        <v>35</v>
      </c>
      <c r="H537" t="s">
        <v>70</v>
      </c>
      <c r="I537" t="s">
        <v>84</v>
      </c>
      <c r="J537">
        <v>4</v>
      </c>
      <c r="K537">
        <v>33.299999999999997</v>
      </c>
      <c r="L537">
        <v>25.56</v>
      </c>
      <c r="M537">
        <v>113.22</v>
      </c>
      <c r="N537">
        <v>102.24</v>
      </c>
      <c r="O537">
        <v>10.98</v>
      </c>
      <c r="P537">
        <v>0.15</v>
      </c>
      <c r="Q537" t="s">
        <v>44</v>
      </c>
    </row>
    <row r="538" spans="1:17" x14ac:dyDescent="0.25">
      <c r="A538">
        <v>1536</v>
      </c>
      <c r="B538" s="1">
        <v>45540</v>
      </c>
      <c r="C538" t="s">
        <v>157</v>
      </c>
      <c r="D538" t="s">
        <v>17</v>
      </c>
      <c r="E538" t="s">
        <v>53</v>
      </c>
      <c r="F538" t="s">
        <v>27</v>
      </c>
      <c r="G538" t="s">
        <v>35</v>
      </c>
      <c r="H538" t="s">
        <v>70</v>
      </c>
      <c r="I538" t="s">
        <v>84</v>
      </c>
      <c r="J538">
        <v>8</v>
      </c>
      <c r="K538">
        <v>974.39</v>
      </c>
      <c r="L538">
        <v>766.26</v>
      </c>
      <c r="M538">
        <v>6937.66</v>
      </c>
      <c r="N538">
        <v>6130.08</v>
      </c>
      <c r="O538">
        <v>807.58</v>
      </c>
      <c r="P538">
        <v>0.11</v>
      </c>
      <c r="Q538" t="s">
        <v>125</v>
      </c>
    </row>
    <row r="539" spans="1:17" x14ac:dyDescent="0.25">
      <c r="A539">
        <v>1537</v>
      </c>
      <c r="B539" s="1">
        <v>44944</v>
      </c>
      <c r="C539" t="s">
        <v>257</v>
      </c>
      <c r="D539" t="s">
        <v>25</v>
      </c>
      <c r="E539" t="s">
        <v>33</v>
      </c>
      <c r="F539" t="s">
        <v>19</v>
      </c>
      <c r="G539" t="s">
        <v>35</v>
      </c>
      <c r="H539" t="s">
        <v>49</v>
      </c>
      <c r="I539" t="s">
        <v>59</v>
      </c>
      <c r="J539">
        <v>3</v>
      </c>
      <c r="K539">
        <v>360.6</v>
      </c>
      <c r="L539">
        <v>186.98</v>
      </c>
      <c r="M539">
        <v>962.8</v>
      </c>
      <c r="N539">
        <v>560.94000000000005</v>
      </c>
      <c r="O539">
        <v>401.86</v>
      </c>
      <c r="P539">
        <v>0.11</v>
      </c>
      <c r="Q539" t="s">
        <v>85</v>
      </c>
    </row>
    <row r="540" spans="1:17" x14ac:dyDescent="0.25">
      <c r="A540">
        <v>1538</v>
      </c>
      <c r="B540" s="1">
        <v>44976</v>
      </c>
      <c r="C540" t="s">
        <v>231</v>
      </c>
      <c r="D540" t="s">
        <v>17</v>
      </c>
      <c r="E540" t="s">
        <v>33</v>
      </c>
      <c r="F540" t="s">
        <v>19</v>
      </c>
      <c r="G540" t="s">
        <v>41</v>
      </c>
      <c r="H540" t="s">
        <v>42</v>
      </c>
      <c r="I540" t="s">
        <v>77</v>
      </c>
      <c r="J540">
        <v>10</v>
      </c>
      <c r="K540">
        <v>753.87</v>
      </c>
      <c r="L540">
        <v>520.4</v>
      </c>
      <c r="M540">
        <v>5578.64</v>
      </c>
      <c r="N540">
        <v>5204</v>
      </c>
      <c r="O540">
        <v>374.64</v>
      </c>
      <c r="P540">
        <v>0.26</v>
      </c>
      <c r="Q540" t="s">
        <v>30</v>
      </c>
    </row>
    <row r="541" spans="1:17" x14ac:dyDescent="0.25">
      <c r="A541">
        <v>1539</v>
      </c>
      <c r="B541" s="1">
        <v>45204</v>
      </c>
      <c r="C541" t="s">
        <v>175</v>
      </c>
      <c r="D541" t="s">
        <v>17</v>
      </c>
      <c r="E541" t="s">
        <v>18</v>
      </c>
      <c r="F541" t="s">
        <v>34</v>
      </c>
      <c r="G541" t="s">
        <v>41</v>
      </c>
      <c r="H541" t="s">
        <v>63</v>
      </c>
      <c r="I541" t="s">
        <v>117</v>
      </c>
      <c r="J541">
        <v>3</v>
      </c>
      <c r="K541">
        <v>17.829999999999998</v>
      </c>
      <c r="L541">
        <v>12.15</v>
      </c>
      <c r="M541">
        <v>47.61</v>
      </c>
      <c r="N541">
        <v>36.450000000000003</v>
      </c>
      <c r="O541">
        <v>11.16</v>
      </c>
      <c r="P541">
        <v>0.11</v>
      </c>
      <c r="Q541" t="s">
        <v>55</v>
      </c>
    </row>
    <row r="542" spans="1:17" x14ac:dyDescent="0.25">
      <c r="A542">
        <v>1540</v>
      </c>
      <c r="B542" s="1">
        <v>45348</v>
      </c>
      <c r="C542" t="s">
        <v>274</v>
      </c>
      <c r="D542" t="s">
        <v>25</v>
      </c>
      <c r="E542" t="s">
        <v>33</v>
      </c>
      <c r="F542" t="s">
        <v>19</v>
      </c>
      <c r="G542" t="s">
        <v>20</v>
      </c>
      <c r="H542" t="s">
        <v>113</v>
      </c>
      <c r="I542" t="s">
        <v>114</v>
      </c>
      <c r="J542">
        <v>4</v>
      </c>
      <c r="K542">
        <v>796.13</v>
      </c>
      <c r="L542">
        <v>553.73</v>
      </c>
      <c r="M542">
        <v>2515.77</v>
      </c>
      <c r="N542">
        <v>2214.92</v>
      </c>
      <c r="O542">
        <v>300.85000000000002</v>
      </c>
      <c r="P542">
        <v>0.21</v>
      </c>
      <c r="Q542" t="s">
        <v>38</v>
      </c>
    </row>
    <row r="543" spans="1:17" x14ac:dyDescent="0.25">
      <c r="A543">
        <v>1541</v>
      </c>
      <c r="B543" s="1">
        <v>45471</v>
      </c>
      <c r="C543" t="s">
        <v>226</v>
      </c>
      <c r="D543" t="s">
        <v>17</v>
      </c>
      <c r="E543" t="s">
        <v>33</v>
      </c>
      <c r="F543" t="s">
        <v>27</v>
      </c>
      <c r="G543" t="s">
        <v>35</v>
      </c>
      <c r="H543" t="s">
        <v>36</v>
      </c>
      <c r="I543" t="s">
        <v>87</v>
      </c>
      <c r="J543">
        <v>3</v>
      </c>
      <c r="K543">
        <v>923.79</v>
      </c>
      <c r="L543">
        <v>616.94000000000005</v>
      </c>
      <c r="M543">
        <v>2521.9499999999998</v>
      </c>
      <c r="N543">
        <v>1850.82</v>
      </c>
      <c r="O543">
        <v>671.13</v>
      </c>
      <c r="P543">
        <v>0.09</v>
      </c>
      <c r="Q543" t="s">
        <v>85</v>
      </c>
    </row>
    <row r="544" spans="1:17" x14ac:dyDescent="0.25">
      <c r="A544">
        <v>1542</v>
      </c>
      <c r="B544" s="1">
        <v>45069</v>
      </c>
      <c r="C544" t="s">
        <v>111</v>
      </c>
      <c r="D544" t="s">
        <v>17</v>
      </c>
      <c r="E544" t="s">
        <v>18</v>
      </c>
      <c r="F544" t="s">
        <v>19</v>
      </c>
      <c r="G544" t="s">
        <v>41</v>
      </c>
      <c r="H544" t="s">
        <v>46</v>
      </c>
      <c r="I544" t="s">
        <v>47</v>
      </c>
      <c r="J544">
        <v>2</v>
      </c>
      <c r="K544">
        <v>226.25</v>
      </c>
      <c r="L544">
        <v>180.97</v>
      </c>
      <c r="M544">
        <v>434.4</v>
      </c>
      <c r="N544">
        <v>361.94</v>
      </c>
      <c r="O544">
        <v>72.459999999999994</v>
      </c>
      <c r="P544">
        <v>0.04</v>
      </c>
      <c r="Q544" t="s">
        <v>23</v>
      </c>
    </row>
    <row r="545" spans="1:17" x14ac:dyDescent="0.25">
      <c r="A545">
        <v>1543</v>
      </c>
      <c r="B545" s="1">
        <v>45241</v>
      </c>
      <c r="C545" t="s">
        <v>115</v>
      </c>
      <c r="D545" t="s">
        <v>25</v>
      </c>
      <c r="E545" t="s">
        <v>33</v>
      </c>
      <c r="F545" t="s">
        <v>27</v>
      </c>
      <c r="G545" t="s">
        <v>41</v>
      </c>
      <c r="H545" t="s">
        <v>42</v>
      </c>
      <c r="I545" t="s">
        <v>77</v>
      </c>
      <c r="J545">
        <v>1</v>
      </c>
      <c r="K545">
        <v>775.82</v>
      </c>
      <c r="L545">
        <v>593.54999999999995</v>
      </c>
      <c r="M545">
        <v>768.06</v>
      </c>
      <c r="N545">
        <v>593.54999999999995</v>
      </c>
      <c r="O545">
        <v>174.51</v>
      </c>
      <c r="P545">
        <v>0.01</v>
      </c>
      <c r="Q545" t="s">
        <v>44</v>
      </c>
    </row>
    <row r="546" spans="1:17" x14ac:dyDescent="0.25">
      <c r="A546">
        <v>1544</v>
      </c>
      <c r="B546" s="1">
        <v>44960</v>
      </c>
      <c r="C546" t="s">
        <v>202</v>
      </c>
      <c r="D546" t="s">
        <v>17</v>
      </c>
      <c r="E546" t="s">
        <v>33</v>
      </c>
      <c r="F546" t="s">
        <v>27</v>
      </c>
      <c r="G546" t="s">
        <v>20</v>
      </c>
      <c r="H546" t="s">
        <v>28</v>
      </c>
      <c r="I546" t="s">
        <v>90</v>
      </c>
      <c r="J546">
        <v>2</v>
      </c>
      <c r="K546">
        <v>305.14</v>
      </c>
      <c r="L546">
        <v>153.66999999999999</v>
      </c>
      <c r="M546">
        <v>591.97</v>
      </c>
      <c r="N546">
        <v>307.33999999999997</v>
      </c>
      <c r="O546">
        <v>284.63</v>
      </c>
      <c r="P546">
        <v>0.03</v>
      </c>
      <c r="Q546" t="s">
        <v>44</v>
      </c>
    </row>
    <row r="547" spans="1:17" x14ac:dyDescent="0.25">
      <c r="A547">
        <v>1545</v>
      </c>
      <c r="B547" s="1">
        <v>45543</v>
      </c>
      <c r="C547" t="s">
        <v>83</v>
      </c>
      <c r="D547" t="s">
        <v>25</v>
      </c>
      <c r="E547" t="s">
        <v>26</v>
      </c>
      <c r="F547" t="s">
        <v>40</v>
      </c>
      <c r="G547" t="s">
        <v>20</v>
      </c>
      <c r="H547" t="s">
        <v>21</v>
      </c>
      <c r="I547" t="s">
        <v>132</v>
      </c>
      <c r="J547">
        <v>5</v>
      </c>
      <c r="K547">
        <v>949.05</v>
      </c>
      <c r="L547">
        <v>590.05999999999995</v>
      </c>
      <c r="M547">
        <v>4507.99</v>
      </c>
      <c r="N547">
        <v>2950.3</v>
      </c>
      <c r="O547">
        <v>1557.69</v>
      </c>
      <c r="P547">
        <v>0.05</v>
      </c>
      <c r="Q547" t="s">
        <v>38</v>
      </c>
    </row>
    <row r="548" spans="1:17" x14ac:dyDescent="0.25">
      <c r="A548">
        <v>1546</v>
      </c>
      <c r="B548" s="1">
        <v>45554</v>
      </c>
      <c r="C548" t="s">
        <v>229</v>
      </c>
      <c r="D548" t="s">
        <v>17</v>
      </c>
      <c r="E548" t="s">
        <v>33</v>
      </c>
      <c r="F548" t="s">
        <v>34</v>
      </c>
      <c r="G548" t="s">
        <v>41</v>
      </c>
      <c r="H548" t="s">
        <v>42</v>
      </c>
      <c r="I548" t="s">
        <v>43</v>
      </c>
      <c r="J548">
        <v>4</v>
      </c>
      <c r="K548">
        <v>717.23</v>
      </c>
      <c r="L548">
        <v>600.66999999999996</v>
      </c>
      <c r="M548">
        <v>2725.47</v>
      </c>
      <c r="N548">
        <v>2402.6799999999998</v>
      </c>
      <c r="O548">
        <v>322.79000000000002</v>
      </c>
      <c r="P548">
        <v>0.05</v>
      </c>
      <c r="Q548" t="s">
        <v>38</v>
      </c>
    </row>
    <row r="549" spans="1:17" x14ac:dyDescent="0.25">
      <c r="A549">
        <v>1547</v>
      </c>
      <c r="B549" s="1">
        <v>44931</v>
      </c>
      <c r="C549" t="s">
        <v>60</v>
      </c>
      <c r="D549" t="s">
        <v>25</v>
      </c>
      <c r="E549" t="s">
        <v>53</v>
      </c>
      <c r="F549" t="s">
        <v>40</v>
      </c>
      <c r="G549" t="s">
        <v>41</v>
      </c>
      <c r="H549" t="s">
        <v>63</v>
      </c>
      <c r="I549" t="s">
        <v>141</v>
      </c>
      <c r="J549">
        <v>8</v>
      </c>
      <c r="K549">
        <v>675.16</v>
      </c>
      <c r="L549">
        <v>362.94</v>
      </c>
      <c r="M549">
        <v>4050.96</v>
      </c>
      <c r="N549">
        <v>2903.52</v>
      </c>
      <c r="O549">
        <v>1147.44</v>
      </c>
      <c r="P549">
        <v>0.25</v>
      </c>
      <c r="Q549" t="s">
        <v>75</v>
      </c>
    </row>
    <row r="550" spans="1:17" x14ac:dyDescent="0.25">
      <c r="A550">
        <v>1548</v>
      </c>
      <c r="B550" s="1">
        <v>45361</v>
      </c>
      <c r="C550" t="s">
        <v>229</v>
      </c>
      <c r="D550" t="s">
        <v>25</v>
      </c>
      <c r="E550" t="s">
        <v>53</v>
      </c>
      <c r="F550" t="s">
        <v>34</v>
      </c>
      <c r="G550" t="s">
        <v>35</v>
      </c>
      <c r="H550" t="s">
        <v>36</v>
      </c>
      <c r="I550" t="s">
        <v>37</v>
      </c>
      <c r="J550">
        <v>2</v>
      </c>
      <c r="K550">
        <v>522.13</v>
      </c>
      <c r="L550">
        <v>351.67</v>
      </c>
      <c r="M550">
        <v>929.39</v>
      </c>
      <c r="N550">
        <v>703.34</v>
      </c>
      <c r="O550">
        <v>226.05</v>
      </c>
      <c r="P550">
        <v>0.11</v>
      </c>
      <c r="Q550" t="s">
        <v>30</v>
      </c>
    </row>
    <row r="551" spans="1:17" x14ac:dyDescent="0.25">
      <c r="A551">
        <v>1549</v>
      </c>
      <c r="B551" s="1">
        <v>45497</v>
      </c>
      <c r="C551" t="s">
        <v>203</v>
      </c>
      <c r="D551" t="s">
        <v>25</v>
      </c>
      <c r="E551" t="s">
        <v>18</v>
      </c>
      <c r="F551" t="s">
        <v>27</v>
      </c>
      <c r="G551" t="s">
        <v>20</v>
      </c>
      <c r="H551" t="s">
        <v>28</v>
      </c>
      <c r="I551" t="s">
        <v>29</v>
      </c>
      <c r="J551">
        <v>8</v>
      </c>
      <c r="K551">
        <v>602.39</v>
      </c>
      <c r="L551">
        <v>366.98</v>
      </c>
      <c r="M551">
        <v>3421.58</v>
      </c>
      <c r="N551">
        <v>2935.84</v>
      </c>
      <c r="O551">
        <v>485.74</v>
      </c>
      <c r="P551">
        <v>0.28999999999999998</v>
      </c>
      <c r="Q551" t="s">
        <v>55</v>
      </c>
    </row>
    <row r="552" spans="1:17" x14ac:dyDescent="0.25">
      <c r="A552">
        <v>1550</v>
      </c>
      <c r="B552" s="1">
        <v>45158</v>
      </c>
      <c r="C552" t="s">
        <v>96</v>
      </c>
      <c r="D552" t="s">
        <v>32</v>
      </c>
      <c r="E552" t="s">
        <v>53</v>
      </c>
      <c r="F552" t="s">
        <v>19</v>
      </c>
      <c r="G552" t="s">
        <v>20</v>
      </c>
      <c r="H552" t="s">
        <v>28</v>
      </c>
      <c r="I552" t="s">
        <v>29</v>
      </c>
      <c r="J552">
        <v>3</v>
      </c>
      <c r="K552">
        <v>17.72</v>
      </c>
      <c r="L552">
        <v>13.04</v>
      </c>
      <c r="M552">
        <v>42.53</v>
      </c>
      <c r="N552">
        <v>39.119999999999997</v>
      </c>
      <c r="O552">
        <v>3.41</v>
      </c>
      <c r="P552">
        <v>0.2</v>
      </c>
      <c r="Q552" t="s">
        <v>75</v>
      </c>
    </row>
    <row r="553" spans="1:17" x14ac:dyDescent="0.25">
      <c r="A553">
        <v>1551</v>
      </c>
      <c r="B553" s="1">
        <v>45375</v>
      </c>
      <c r="C553" t="s">
        <v>247</v>
      </c>
      <c r="D553" t="s">
        <v>17</v>
      </c>
      <c r="E553" t="s">
        <v>33</v>
      </c>
      <c r="F553" t="s">
        <v>34</v>
      </c>
      <c r="G553" t="s">
        <v>20</v>
      </c>
      <c r="H553" t="s">
        <v>28</v>
      </c>
      <c r="I553" t="s">
        <v>61</v>
      </c>
      <c r="J553">
        <v>10</v>
      </c>
      <c r="K553">
        <v>977.68</v>
      </c>
      <c r="L553">
        <v>742.55</v>
      </c>
      <c r="M553">
        <v>7137.06</v>
      </c>
      <c r="N553">
        <v>7425.5</v>
      </c>
      <c r="O553">
        <v>-288.44</v>
      </c>
      <c r="P553">
        <v>0.27</v>
      </c>
      <c r="Q553" t="s">
        <v>92</v>
      </c>
    </row>
    <row r="554" spans="1:17" x14ac:dyDescent="0.25">
      <c r="A554">
        <v>1552</v>
      </c>
      <c r="B554" s="1">
        <v>44993</v>
      </c>
      <c r="C554" t="s">
        <v>180</v>
      </c>
      <c r="D554" t="s">
        <v>32</v>
      </c>
      <c r="E554" t="s">
        <v>26</v>
      </c>
      <c r="F554" t="s">
        <v>27</v>
      </c>
      <c r="G554" t="s">
        <v>20</v>
      </c>
      <c r="H554" t="s">
        <v>21</v>
      </c>
      <c r="I554" t="s">
        <v>79</v>
      </c>
      <c r="J554">
        <v>8</v>
      </c>
      <c r="K554">
        <v>282.13</v>
      </c>
      <c r="L554">
        <v>211.52</v>
      </c>
      <c r="M554">
        <v>1873.34</v>
      </c>
      <c r="N554">
        <v>1692.16</v>
      </c>
      <c r="O554">
        <v>181.18</v>
      </c>
      <c r="P554">
        <v>0.17</v>
      </c>
      <c r="Q554" t="s">
        <v>30</v>
      </c>
    </row>
    <row r="555" spans="1:17" x14ac:dyDescent="0.25">
      <c r="A555">
        <v>1553</v>
      </c>
      <c r="B555" s="1">
        <v>45586</v>
      </c>
      <c r="C555" t="s">
        <v>213</v>
      </c>
      <c r="D555" t="s">
        <v>32</v>
      </c>
      <c r="E555" t="s">
        <v>53</v>
      </c>
      <c r="F555" t="s">
        <v>27</v>
      </c>
      <c r="G555" t="s">
        <v>41</v>
      </c>
      <c r="H555" t="s">
        <v>46</v>
      </c>
      <c r="I555" t="s">
        <v>47</v>
      </c>
      <c r="J555">
        <v>8</v>
      </c>
      <c r="K555">
        <v>112.5</v>
      </c>
      <c r="L555">
        <v>66.12</v>
      </c>
      <c r="M555">
        <v>765</v>
      </c>
      <c r="N555">
        <v>528.96</v>
      </c>
      <c r="O555">
        <v>236.04</v>
      </c>
      <c r="P555">
        <v>0.15</v>
      </c>
      <c r="Q555" t="s">
        <v>92</v>
      </c>
    </row>
    <row r="556" spans="1:17" x14ac:dyDescent="0.25">
      <c r="A556">
        <v>1554</v>
      </c>
      <c r="B556" s="1">
        <v>44957</v>
      </c>
      <c r="C556" t="s">
        <v>283</v>
      </c>
      <c r="D556" t="s">
        <v>25</v>
      </c>
      <c r="E556" t="s">
        <v>33</v>
      </c>
      <c r="F556" t="s">
        <v>27</v>
      </c>
      <c r="G556" t="s">
        <v>41</v>
      </c>
      <c r="H556" t="s">
        <v>42</v>
      </c>
      <c r="I556" t="s">
        <v>77</v>
      </c>
      <c r="J556">
        <v>7</v>
      </c>
      <c r="K556">
        <v>606.55999999999995</v>
      </c>
      <c r="L556">
        <v>372.69</v>
      </c>
      <c r="M556">
        <v>3863.79</v>
      </c>
      <c r="N556">
        <v>2608.83</v>
      </c>
      <c r="O556">
        <v>1254.96</v>
      </c>
      <c r="P556">
        <v>0.09</v>
      </c>
      <c r="Q556" t="s">
        <v>125</v>
      </c>
    </row>
    <row r="557" spans="1:17" x14ac:dyDescent="0.25">
      <c r="A557">
        <v>1555</v>
      </c>
      <c r="B557" s="1">
        <v>45025</v>
      </c>
      <c r="C557" t="s">
        <v>183</v>
      </c>
      <c r="D557" t="s">
        <v>17</v>
      </c>
      <c r="E557" t="s">
        <v>53</v>
      </c>
      <c r="F557" t="s">
        <v>27</v>
      </c>
      <c r="G557" t="s">
        <v>20</v>
      </c>
      <c r="H557" t="s">
        <v>28</v>
      </c>
      <c r="I557" t="s">
        <v>61</v>
      </c>
      <c r="J557">
        <v>8</v>
      </c>
      <c r="K557">
        <v>507.27</v>
      </c>
      <c r="L557">
        <v>349.94</v>
      </c>
      <c r="M557">
        <v>3084.2</v>
      </c>
      <c r="N557">
        <v>2799.52</v>
      </c>
      <c r="O557">
        <v>284.68</v>
      </c>
      <c r="P557">
        <v>0.24</v>
      </c>
      <c r="Q557" t="s">
        <v>38</v>
      </c>
    </row>
    <row r="558" spans="1:17" x14ac:dyDescent="0.25">
      <c r="A558">
        <v>1556</v>
      </c>
      <c r="B558" s="1">
        <v>45486</v>
      </c>
      <c r="C558" t="s">
        <v>133</v>
      </c>
      <c r="D558" t="s">
        <v>25</v>
      </c>
      <c r="E558" t="s">
        <v>53</v>
      </c>
      <c r="F558" t="s">
        <v>34</v>
      </c>
      <c r="G558" t="s">
        <v>35</v>
      </c>
      <c r="H558" t="s">
        <v>49</v>
      </c>
      <c r="I558" t="s">
        <v>50</v>
      </c>
      <c r="J558">
        <v>7</v>
      </c>
      <c r="K558">
        <v>445.34</v>
      </c>
      <c r="L558">
        <v>228.28</v>
      </c>
      <c r="M558">
        <v>2961.51</v>
      </c>
      <c r="N558">
        <v>1597.96</v>
      </c>
      <c r="O558">
        <v>1363.55</v>
      </c>
      <c r="P558">
        <v>0.05</v>
      </c>
      <c r="Q558" t="s">
        <v>30</v>
      </c>
    </row>
    <row r="559" spans="1:17" x14ac:dyDescent="0.25">
      <c r="A559">
        <v>1557</v>
      </c>
      <c r="B559" s="1">
        <v>45650</v>
      </c>
      <c r="C559" t="s">
        <v>217</v>
      </c>
      <c r="D559" t="s">
        <v>32</v>
      </c>
      <c r="E559" t="s">
        <v>26</v>
      </c>
      <c r="F559" t="s">
        <v>40</v>
      </c>
      <c r="G559" t="s">
        <v>41</v>
      </c>
      <c r="H559" t="s">
        <v>46</v>
      </c>
      <c r="I559" t="s">
        <v>57</v>
      </c>
      <c r="J559">
        <v>2</v>
      </c>
      <c r="K559">
        <v>571.01</v>
      </c>
      <c r="L559">
        <v>383.54</v>
      </c>
      <c r="M559">
        <v>947.88</v>
      </c>
      <c r="N559">
        <v>767.08</v>
      </c>
      <c r="O559">
        <v>180.8</v>
      </c>
      <c r="P559">
        <v>0.17</v>
      </c>
      <c r="Q559" t="s">
        <v>38</v>
      </c>
    </row>
    <row r="560" spans="1:17" x14ac:dyDescent="0.25">
      <c r="A560">
        <v>1558</v>
      </c>
      <c r="B560" s="1">
        <v>45512</v>
      </c>
      <c r="C560" t="s">
        <v>188</v>
      </c>
      <c r="D560" t="s">
        <v>17</v>
      </c>
      <c r="E560" t="s">
        <v>26</v>
      </c>
      <c r="F560" t="s">
        <v>34</v>
      </c>
      <c r="G560" t="s">
        <v>35</v>
      </c>
      <c r="H560" t="s">
        <v>49</v>
      </c>
      <c r="I560" t="s">
        <v>50</v>
      </c>
      <c r="J560">
        <v>10</v>
      </c>
      <c r="K560">
        <v>971.02</v>
      </c>
      <c r="L560">
        <v>695.18</v>
      </c>
      <c r="M560">
        <v>8642.08</v>
      </c>
      <c r="N560">
        <v>6951.8</v>
      </c>
      <c r="O560">
        <v>1690.28</v>
      </c>
      <c r="P560">
        <v>0.11</v>
      </c>
      <c r="Q560" t="s">
        <v>30</v>
      </c>
    </row>
    <row r="561" spans="1:17" x14ac:dyDescent="0.25">
      <c r="A561">
        <v>1559</v>
      </c>
      <c r="B561" s="1">
        <v>45255</v>
      </c>
      <c r="C561" t="s">
        <v>124</v>
      </c>
      <c r="D561" t="s">
        <v>17</v>
      </c>
      <c r="E561" t="s">
        <v>33</v>
      </c>
      <c r="F561" t="s">
        <v>19</v>
      </c>
      <c r="G561" t="s">
        <v>35</v>
      </c>
      <c r="H561" t="s">
        <v>49</v>
      </c>
      <c r="I561" t="s">
        <v>59</v>
      </c>
      <c r="J561">
        <v>10</v>
      </c>
      <c r="K561">
        <v>31.77</v>
      </c>
      <c r="L561">
        <v>25.8</v>
      </c>
      <c r="M561">
        <v>285.93</v>
      </c>
      <c r="N561">
        <v>258</v>
      </c>
      <c r="O561">
        <v>27.93</v>
      </c>
      <c r="P561">
        <v>0.1</v>
      </c>
      <c r="Q561" t="s">
        <v>44</v>
      </c>
    </row>
    <row r="562" spans="1:17" x14ac:dyDescent="0.25">
      <c r="A562">
        <v>1560</v>
      </c>
      <c r="B562" s="1">
        <v>45365</v>
      </c>
      <c r="C562" t="s">
        <v>134</v>
      </c>
      <c r="D562" t="s">
        <v>32</v>
      </c>
      <c r="E562" t="s">
        <v>18</v>
      </c>
      <c r="F562" t="s">
        <v>34</v>
      </c>
      <c r="G562" t="s">
        <v>41</v>
      </c>
      <c r="H562" t="s">
        <v>42</v>
      </c>
      <c r="I562" t="s">
        <v>77</v>
      </c>
      <c r="J562">
        <v>4</v>
      </c>
      <c r="K562">
        <v>649.84</v>
      </c>
      <c r="L562">
        <v>459.69</v>
      </c>
      <c r="M562">
        <v>1897.53</v>
      </c>
      <c r="N562">
        <v>1838.76</v>
      </c>
      <c r="O562">
        <v>58.77</v>
      </c>
      <c r="P562">
        <v>0.27</v>
      </c>
      <c r="Q562" t="s">
        <v>44</v>
      </c>
    </row>
    <row r="563" spans="1:17" x14ac:dyDescent="0.25">
      <c r="A563">
        <v>1561</v>
      </c>
      <c r="B563" s="1">
        <v>45239</v>
      </c>
      <c r="C563" t="s">
        <v>210</v>
      </c>
      <c r="D563" t="s">
        <v>25</v>
      </c>
      <c r="E563" t="s">
        <v>33</v>
      </c>
      <c r="F563" t="s">
        <v>40</v>
      </c>
      <c r="G563" t="s">
        <v>20</v>
      </c>
      <c r="H563" t="s">
        <v>28</v>
      </c>
      <c r="I563" t="s">
        <v>61</v>
      </c>
      <c r="J563">
        <v>10</v>
      </c>
      <c r="K563">
        <v>517.19000000000005</v>
      </c>
      <c r="L563">
        <v>334.83</v>
      </c>
      <c r="M563">
        <v>5120.18</v>
      </c>
      <c r="N563">
        <v>3348.3</v>
      </c>
      <c r="O563">
        <v>1771.88</v>
      </c>
      <c r="P563">
        <v>0.01</v>
      </c>
      <c r="Q563" t="s">
        <v>55</v>
      </c>
    </row>
    <row r="564" spans="1:17" x14ac:dyDescent="0.25">
      <c r="A564">
        <v>1562</v>
      </c>
      <c r="B564" s="1">
        <v>45529</v>
      </c>
      <c r="C564" t="s">
        <v>268</v>
      </c>
      <c r="D564" t="s">
        <v>32</v>
      </c>
      <c r="E564" t="s">
        <v>53</v>
      </c>
      <c r="F564" t="s">
        <v>40</v>
      </c>
      <c r="G564" t="s">
        <v>41</v>
      </c>
      <c r="H564" t="s">
        <v>42</v>
      </c>
      <c r="I564" t="s">
        <v>68</v>
      </c>
      <c r="J564">
        <v>2</v>
      </c>
      <c r="K564">
        <v>692.41</v>
      </c>
      <c r="L564">
        <v>396.11</v>
      </c>
      <c r="M564">
        <v>1177.0999999999999</v>
      </c>
      <c r="N564">
        <v>792.22</v>
      </c>
      <c r="O564">
        <v>384.88</v>
      </c>
      <c r="P564">
        <v>0.15</v>
      </c>
      <c r="Q564" t="s">
        <v>85</v>
      </c>
    </row>
    <row r="565" spans="1:17" x14ac:dyDescent="0.25">
      <c r="A565">
        <v>1563</v>
      </c>
      <c r="B565" s="1">
        <v>45097</v>
      </c>
      <c r="C565" t="s">
        <v>103</v>
      </c>
      <c r="D565" t="s">
        <v>32</v>
      </c>
      <c r="E565" t="s">
        <v>53</v>
      </c>
      <c r="F565" t="s">
        <v>19</v>
      </c>
      <c r="G565" t="s">
        <v>35</v>
      </c>
      <c r="H565" t="s">
        <v>70</v>
      </c>
      <c r="I565" t="s">
        <v>98</v>
      </c>
      <c r="J565">
        <v>9</v>
      </c>
      <c r="K565">
        <v>218.01</v>
      </c>
      <c r="L565">
        <v>129.24</v>
      </c>
      <c r="M565">
        <v>1785.5</v>
      </c>
      <c r="N565">
        <v>1163.1600000000001</v>
      </c>
      <c r="O565">
        <v>622.34</v>
      </c>
      <c r="P565">
        <v>0.09</v>
      </c>
      <c r="Q565" t="s">
        <v>125</v>
      </c>
    </row>
    <row r="566" spans="1:17" x14ac:dyDescent="0.25">
      <c r="A566">
        <v>1564</v>
      </c>
      <c r="B566" s="1">
        <v>45338</v>
      </c>
      <c r="C566" t="s">
        <v>105</v>
      </c>
      <c r="D566" t="s">
        <v>17</v>
      </c>
      <c r="E566" t="s">
        <v>33</v>
      </c>
      <c r="F566" t="s">
        <v>34</v>
      </c>
      <c r="G566" t="s">
        <v>41</v>
      </c>
      <c r="H566" t="s">
        <v>46</v>
      </c>
      <c r="I566" t="s">
        <v>57</v>
      </c>
      <c r="J566">
        <v>2</v>
      </c>
      <c r="K566">
        <v>568.6</v>
      </c>
      <c r="L566">
        <v>389.99</v>
      </c>
      <c r="M566">
        <v>989.36</v>
      </c>
      <c r="N566">
        <v>779.98</v>
      </c>
      <c r="O566">
        <v>209.38</v>
      </c>
      <c r="P566">
        <v>0.13</v>
      </c>
      <c r="Q566" t="s">
        <v>85</v>
      </c>
    </row>
    <row r="567" spans="1:17" x14ac:dyDescent="0.25">
      <c r="A567">
        <v>1565</v>
      </c>
      <c r="B567" s="1">
        <v>45005</v>
      </c>
      <c r="C567" t="s">
        <v>89</v>
      </c>
      <c r="D567" t="s">
        <v>32</v>
      </c>
      <c r="E567" t="s">
        <v>18</v>
      </c>
      <c r="F567" t="s">
        <v>27</v>
      </c>
      <c r="G567" t="s">
        <v>41</v>
      </c>
      <c r="H567" t="s">
        <v>63</v>
      </c>
      <c r="I567" t="s">
        <v>117</v>
      </c>
      <c r="J567">
        <v>4</v>
      </c>
      <c r="K567">
        <v>417.24</v>
      </c>
      <c r="L567">
        <v>245.31</v>
      </c>
      <c r="M567">
        <v>1418.62</v>
      </c>
      <c r="N567">
        <v>981.24</v>
      </c>
      <c r="O567">
        <v>437.38</v>
      </c>
      <c r="P567">
        <v>0.15</v>
      </c>
      <c r="Q567" t="s">
        <v>38</v>
      </c>
    </row>
    <row r="568" spans="1:17" x14ac:dyDescent="0.25">
      <c r="A568">
        <v>1566</v>
      </c>
      <c r="B568" s="1">
        <v>45111</v>
      </c>
      <c r="C568" t="s">
        <v>227</v>
      </c>
      <c r="D568" t="s">
        <v>17</v>
      </c>
      <c r="E568" t="s">
        <v>26</v>
      </c>
      <c r="F568" t="s">
        <v>27</v>
      </c>
      <c r="G568" t="s">
        <v>20</v>
      </c>
      <c r="H568" t="s">
        <v>113</v>
      </c>
      <c r="I568" t="s">
        <v>161</v>
      </c>
      <c r="J568">
        <v>8</v>
      </c>
      <c r="K568">
        <v>271.60000000000002</v>
      </c>
      <c r="L568">
        <v>196.44</v>
      </c>
      <c r="M568">
        <v>1651.33</v>
      </c>
      <c r="N568">
        <v>1571.52</v>
      </c>
      <c r="O568">
        <v>79.81</v>
      </c>
      <c r="P568">
        <v>0.24</v>
      </c>
      <c r="Q568" t="s">
        <v>75</v>
      </c>
    </row>
    <row r="569" spans="1:17" x14ac:dyDescent="0.25">
      <c r="A569">
        <v>1567</v>
      </c>
      <c r="B569" s="1">
        <v>45506</v>
      </c>
      <c r="C569" t="s">
        <v>248</v>
      </c>
      <c r="D569" t="s">
        <v>25</v>
      </c>
      <c r="E569" t="s">
        <v>26</v>
      </c>
      <c r="F569" t="s">
        <v>40</v>
      </c>
      <c r="G569" t="s">
        <v>35</v>
      </c>
      <c r="H569" t="s">
        <v>36</v>
      </c>
      <c r="I569" t="s">
        <v>87</v>
      </c>
      <c r="J569">
        <v>3</v>
      </c>
      <c r="K569">
        <v>747.7</v>
      </c>
      <c r="L569">
        <v>574.19000000000005</v>
      </c>
      <c r="M569">
        <v>1682.33</v>
      </c>
      <c r="N569">
        <v>1722.57</v>
      </c>
      <c r="O569">
        <v>-40.24</v>
      </c>
      <c r="P569">
        <v>0.25</v>
      </c>
      <c r="Q569" t="s">
        <v>75</v>
      </c>
    </row>
    <row r="570" spans="1:17" x14ac:dyDescent="0.25">
      <c r="A570">
        <v>1568</v>
      </c>
      <c r="B570" s="1">
        <v>45253</v>
      </c>
      <c r="C570" t="s">
        <v>142</v>
      </c>
      <c r="D570" t="s">
        <v>25</v>
      </c>
      <c r="E570" t="s">
        <v>26</v>
      </c>
      <c r="F570" t="s">
        <v>27</v>
      </c>
      <c r="G570" t="s">
        <v>35</v>
      </c>
      <c r="H570" t="s">
        <v>49</v>
      </c>
      <c r="I570" t="s">
        <v>59</v>
      </c>
      <c r="J570">
        <v>3</v>
      </c>
      <c r="K570">
        <v>260.16000000000003</v>
      </c>
      <c r="L570">
        <v>184.83</v>
      </c>
      <c r="M570">
        <v>686.82</v>
      </c>
      <c r="N570">
        <v>554.49</v>
      </c>
      <c r="O570">
        <v>132.33000000000001</v>
      </c>
      <c r="P570">
        <v>0.12</v>
      </c>
      <c r="Q570" t="s">
        <v>44</v>
      </c>
    </row>
    <row r="571" spans="1:17" x14ac:dyDescent="0.25">
      <c r="A571">
        <v>1569</v>
      </c>
      <c r="B571" s="1">
        <v>45080</v>
      </c>
      <c r="C571" t="s">
        <v>178</v>
      </c>
      <c r="D571" t="s">
        <v>25</v>
      </c>
      <c r="E571" t="s">
        <v>18</v>
      </c>
      <c r="F571" t="s">
        <v>27</v>
      </c>
      <c r="G571" t="s">
        <v>35</v>
      </c>
      <c r="H571" t="s">
        <v>70</v>
      </c>
      <c r="I571" t="s">
        <v>71</v>
      </c>
      <c r="J571">
        <v>7</v>
      </c>
      <c r="K571">
        <v>648.69000000000005</v>
      </c>
      <c r="L571">
        <v>332.75</v>
      </c>
      <c r="M571">
        <v>4313.79</v>
      </c>
      <c r="N571">
        <v>2329.25</v>
      </c>
      <c r="O571">
        <v>1984.54</v>
      </c>
      <c r="P571">
        <v>0.05</v>
      </c>
      <c r="Q571" t="s">
        <v>92</v>
      </c>
    </row>
    <row r="572" spans="1:17" x14ac:dyDescent="0.25">
      <c r="A572">
        <v>1570</v>
      </c>
      <c r="B572" s="1">
        <v>44956</v>
      </c>
      <c r="C572" t="s">
        <v>108</v>
      </c>
      <c r="D572" t="s">
        <v>32</v>
      </c>
      <c r="E572" t="s">
        <v>26</v>
      </c>
      <c r="F572" t="s">
        <v>34</v>
      </c>
      <c r="G572" t="s">
        <v>41</v>
      </c>
      <c r="H572" t="s">
        <v>46</v>
      </c>
      <c r="I572" t="s">
        <v>47</v>
      </c>
      <c r="J572">
        <v>1</v>
      </c>
      <c r="K572">
        <v>860.29</v>
      </c>
      <c r="L572">
        <v>455.42</v>
      </c>
      <c r="M572">
        <v>705.44</v>
      </c>
      <c r="N572">
        <v>455.42</v>
      </c>
      <c r="O572">
        <v>250.02</v>
      </c>
      <c r="P572">
        <v>0.18</v>
      </c>
      <c r="Q572" t="s">
        <v>44</v>
      </c>
    </row>
    <row r="573" spans="1:17" x14ac:dyDescent="0.25">
      <c r="A573">
        <v>1571</v>
      </c>
      <c r="B573" s="1">
        <v>45343</v>
      </c>
      <c r="C573" t="s">
        <v>230</v>
      </c>
      <c r="D573" t="s">
        <v>17</v>
      </c>
      <c r="E573" t="s">
        <v>33</v>
      </c>
      <c r="F573" t="s">
        <v>27</v>
      </c>
      <c r="G573" t="s">
        <v>41</v>
      </c>
      <c r="H573" t="s">
        <v>42</v>
      </c>
      <c r="I573" t="s">
        <v>77</v>
      </c>
      <c r="J573">
        <v>2</v>
      </c>
      <c r="K573">
        <v>573.12</v>
      </c>
      <c r="L573">
        <v>386.91</v>
      </c>
      <c r="M573">
        <v>1100.3900000000001</v>
      </c>
      <c r="N573">
        <v>773.82</v>
      </c>
      <c r="O573">
        <v>326.57</v>
      </c>
      <c r="P573">
        <v>0.04</v>
      </c>
      <c r="Q573" t="s">
        <v>125</v>
      </c>
    </row>
    <row r="574" spans="1:17" x14ac:dyDescent="0.25">
      <c r="A574">
        <v>1572</v>
      </c>
      <c r="B574" s="1">
        <v>45464</v>
      </c>
      <c r="C574" t="s">
        <v>76</v>
      </c>
      <c r="D574" t="s">
        <v>25</v>
      </c>
      <c r="E574" t="s">
        <v>26</v>
      </c>
      <c r="F574" t="s">
        <v>34</v>
      </c>
      <c r="G574" t="s">
        <v>35</v>
      </c>
      <c r="H574" t="s">
        <v>49</v>
      </c>
      <c r="I574" t="s">
        <v>59</v>
      </c>
      <c r="J574">
        <v>7</v>
      </c>
      <c r="K574">
        <v>806.81</v>
      </c>
      <c r="L574">
        <v>613.49</v>
      </c>
      <c r="M574">
        <v>4066.32</v>
      </c>
      <c r="N574">
        <v>4294.43</v>
      </c>
      <c r="O574">
        <v>-228.11</v>
      </c>
      <c r="P574">
        <v>0.28000000000000003</v>
      </c>
      <c r="Q574" t="s">
        <v>23</v>
      </c>
    </row>
    <row r="575" spans="1:17" x14ac:dyDescent="0.25">
      <c r="A575">
        <v>1573</v>
      </c>
      <c r="B575" s="1">
        <v>45074</v>
      </c>
      <c r="C575" t="s">
        <v>109</v>
      </c>
      <c r="D575" t="s">
        <v>25</v>
      </c>
      <c r="E575" t="s">
        <v>18</v>
      </c>
      <c r="F575" t="s">
        <v>27</v>
      </c>
      <c r="G575" t="s">
        <v>35</v>
      </c>
      <c r="H575" t="s">
        <v>49</v>
      </c>
      <c r="I575" t="s">
        <v>59</v>
      </c>
      <c r="J575">
        <v>1</v>
      </c>
      <c r="K575">
        <v>492.91</v>
      </c>
      <c r="L575">
        <v>311.10000000000002</v>
      </c>
      <c r="M575">
        <v>354.9</v>
      </c>
      <c r="N575">
        <v>311.10000000000002</v>
      </c>
      <c r="O575">
        <v>43.8</v>
      </c>
      <c r="P575">
        <v>0.28000000000000003</v>
      </c>
      <c r="Q575" t="s">
        <v>85</v>
      </c>
    </row>
    <row r="576" spans="1:17" x14ac:dyDescent="0.25">
      <c r="A576">
        <v>1574</v>
      </c>
      <c r="B576" s="1">
        <v>45485</v>
      </c>
      <c r="C576" t="s">
        <v>78</v>
      </c>
      <c r="D576" t="s">
        <v>17</v>
      </c>
      <c r="E576" t="s">
        <v>26</v>
      </c>
      <c r="F576" t="s">
        <v>40</v>
      </c>
      <c r="G576" t="s">
        <v>20</v>
      </c>
      <c r="H576" t="s">
        <v>28</v>
      </c>
      <c r="I576" t="s">
        <v>61</v>
      </c>
      <c r="J576">
        <v>6</v>
      </c>
      <c r="K576">
        <v>822.26</v>
      </c>
      <c r="L576">
        <v>417.19</v>
      </c>
      <c r="M576">
        <v>3502.83</v>
      </c>
      <c r="N576">
        <v>2503.14</v>
      </c>
      <c r="O576">
        <v>999.69</v>
      </c>
      <c r="P576">
        <v>0.28999999999999998</v>
      </c>
      <c r="Q576" t="s">
        <v>125</v>
      </c>
    </row>
    <row r="577" spans="1:17" x14ac:dyDescent="0.25">
      <c r="A577">
        <v>1575</v>
      </c>
      <c r="B577" s="1">
        <v>44962</v>
      </c>
      <c r="C577" t="s">
        <v>94</v>
      </c>
      <c r="D577" t="s">
        <v>17</v>
      </c>
      <c r="E577" t="s">
        <v>33</v>
      </c>
      <c r="F577" t="s">
        <v>19</v>
      </c>
      <c r="G577" t="s">
        <v>35</v>
      </c>
      <c r="H577" t="s">
        <v>70</v>
      </c>
      <c r="I577" t="s">
        <v>71</v>
      </c>
      <c r="J577">
        <v>5</v>
      </c>
      <c r="K577">
        <v>640.75</v>
      </c>
      <c r="L577">
        <v>477.5</v>
      </c>
      <c r="M577">
        <v>2338.7399999999998</v>
      </c>
      <c r="N577">
        <v>2387.5</v>
      </c>
      <c r="O577">
        <v>-48.76</v>
      </c>
      <c r="P577">
        <v>0.27</v>
      </c>
      <c r="Q577" t="s">
        <v>44</v>
      </c>
    </row>
    <row r="578" spans="1:17" x14ac:dyDescent="0.25">
      <c r="A578">
        <v>1576</v>
      </c>
      <c r="B578" s="1">
        <v>45474</v>
      </c>
      <c r="C578" t="s">
        <v>241</v>
      </c>
      <c r="D578" t="s">
        <v>32</v>
      </c>
      <c r="E578" t="s">
        <v>53</v>
      </c>
      <c r="F578" t="s">
        <v>34</v>
      </c>
      <c r="G578" t="s">
        <v>35</v>
      </c>
      <c r="H578" t="s">
        <v>49</v>
      </c>
      <c r="I578" t="s">
        <v>50</v>
      </c>
      <c r="J578">
        <v>2</v>
      </c>
      <c r="K578">
        <v>936.64</v>
      </c>
      <c r="L578">
        <v>716.37</v>
      </c>
      <c r="M578">
        <v>1704.68</v>
      </c>
      <c r="N578">
        <v>1432.74</v>
      </c>
      <c r="O578">
        <v>271.94</v>
      </c>
      <c r="P578">
        <v>0.09</v>
      </c>
      <c r="Q578" t="s">
        <v>92</v>
      </c>
    </row>
    <row r="579" spans="1:17" x14ac:dyDescent="0.25">
      <c r="A579">
        <v>1577</v>
      </c>
      <c r="B579" s="1">
        <v>45376</v>
      </c>
      <c r="C579" t="s">
        <v>174</v>
      </c>
      <c r="D579" t="s">
        <v>17</v>
      </c>
      <c r="E579" t="s">
        <v>53</v>
      </c>
      <c r="F579" t="s">
        <v>34</v>
      </c>
      <c r="G579" t="s">
        <v>35</v>
      </c>
      <c r="H579" t="s">
        <v>36</v>
      </c>
      <c r="I579" t="s">
        <v>37</v>
      </c>
      <c r="J579">
        <v>8</v>
      </c>
      <c r="K579">
        <v>738.26</v>
      </c>
      <c r="L579">
        <v>608.53</v>
      </c>
      <c r="M579">
        <v>5315.47</v>
      </c>
      <c r="N579">
        <v>4868.24</v>
      </c>
      <c r="O579">
        <v>447.23</v>
      </c>
      <c r="P579">
        <v>0.1</v>
      </c>
      <c r="Q579" t="s">
        <v>75</v>
      </c>
    </row>
    <row r="580" spans="1:17" x14ac:dyDescent="0.25">
      <c r="A580">
        <v>1578</v>
      </c>
      <c r="B580" s="1">
        <v>45029</v>
      </c>
      <c r="C580" t="s">
        <v>270</v>
      </c>
      <c r="D580" t="s">
        <v>17</v>
      </c>
      <c r="E580" t="s">
        <v>18</v>
      </c>
      <c r="F580" t="s">
        <v>34</v>
      </c>
      <c r="G580" t="s">
        <v>35</v>
      </c>
      <c r="H580" t="s">
        <v>49</v>
      </c>
      <c r="I580" t="s">
        <v>59</v>
      </c>
      <c r="J580">
        <v>9</v>
      </c>
      <c r="K580">
        <v>739.1</v>
      </c>
      <c r="L580">
        <v>486.8</v>
      </c>
      <c r="M580">
        <v>6585.38</v>
      </c>
      <c r="N580">
        <v>4381.2</v>
      </c>
      <c r="O580">
        <v>2204.1799999999998</v>
      </c>
      <c r="P580">
        <v>0.01</v>
      </c>
      <c r="Q580" t="s">
        <v>51</v>
      </c>
    </row>
    <row r="581" spans="1:17" x14ac:dyDescent="0.25">
      <c r="A581">
        <v>1579</v>
      </c>
      <c r="B581" s="1">
        <v>45583</v>
      </c>
      <c r="C581" t="s">
        <v>48</v>
      </c>
      <c r="D581" t="s">
        <v>17</v>
      </c>
      <c r="E581" t="s">
        <v>53</v>
      </c>
      <c r="F581" t="s">
        <v>19</v>
      </c>
      <c r="G581" t="s">
        <v>20</v>
      </c>
      <c r="H581" t="s">
        <v>28</v>
      </c>
      <c r="I581" t="s">
        <v>81</v>
      </c>
      <c r="J581">
        <v>5</v>
      </c>
      <c r="K581">
        <v>317.14999999999998</v>
      </c>
      <c r="L581">
        <v>167.7</v>
      </c>
      <c r="M581">
        <v>1506.46</v>
      </c>
      <c r="N581">
        <v>838.5</v>
      </c>
      <c r="O581">
        <v>667.96</v>
      </c>
      <c r="P581">
        <v>0.05</v>
      </c>
      <c r="Q581" t="s">
        <v>38</v>
      </c>
    </row>
    <row r="582" spans="1:17" x14ac:dyDescent="0.25">
      <c r="A582">
        <v>1580</v>
      </c>
      <c r="B582" s="1">
        <v>45657</v>
      </c>
      <c r="C582" t="s">
        <v>221</v>
      </c>
      <c r="D582" t="s">
        <v>17</v>
      </c>
      <c r="E582" t="s">
        <v>26</v>
      </c>
      <c r="F582" t="s">
        <v>27</v>
      </c>
      <c r="G582" t="s">
        <v>35</v>
      </c>
      <c r="H582" t="s">
        <v>49</v>
      </c>
      <c r="I582" t="s">
        <v>50</v>
      </c>
      <c r="J582">
        <v>3</v>
      </c>
      <c r="K582">
        <v>264.38</v>
      </c>
      <c r="L582">
        <v>195.8</v>
      </c>
      <c r="M582">
        <v>594.86</v>
      </c>
      <c r="N582">
        <v>587.4</v>
      </c>
      <c r="O582">
        <v>7.46</v>
      </c>
      <c r="P582">
        <v>0.25</v>
      </c>
      <c r="Q582" t="s">
        <v>30</v>
      </c>
    </row>
    <row r="583" spans="1:17" x14ac:dyDescent="0.25">
      <c r="A583">
        <v>1581</v>
      </c>
      <c r="B583" s="1">
        <v>45130</v>
      </c>
      <c r="C583" t="s">
        <v>118</v>
      </c>
      <c r="D583" t="s">
        <v>32</v>
      </c>
      <c r="E583" t="s">
        <v>26</v>
      </c>
      <c r="F583" t="s">
        <v>27</v>
      </c>
      <c r="G583" t="s">
        <v>35</v>
      </c>
      <c r="H583" t="s">
        <v>70</v>
      </c>
      <c r="I583" t="s">
        <v>98</v>
      </c>
      <c r="J583">
        <v>1</v>
      </c>
      <c r="K583">
        <v>948.37</v>
      </c>
      <c r="L583">
        <v>780.59</v>
      </c>
      <c r="M583">
        <v>768.18</v>
      </c>
      <c r="N583">
        <v>780.59</v>
      </c>
      <c r="O583">
        <v>-12.41</v>
      </c>
      <c r="P583">
        <v>0.19</v>
      </c>
      <c r="Q583" t="s">
        <v>23</v>
      </c>
    </row>
    <row r="584" spans="1:17" x14ac:dyDescent="0.25">
      <c r="A584">
        <v>1582</v>
      </c>
      <c r="B584" s="1">
        <v>45018</v>
      </c>
      <c r="C584" t="s">
        <v>264</v>
      </c>
      <c r="D584" t="s">
        <v>32</v>
      </c>
      <c r="E584" t="s">
        <v>26</v>
      </c>
      <c r="F584" t="s">
        <v>34</v>
      </c>
      <c r="G584" t="s">
        <v>35</v>
      </c>
      <c r="H584" t="s">
        <v>70</v>
      </c>
      <c r="I584" t="s">
        <v>71</v>
      </c>
      <c r="J584">
        <v>10</v>
      </c>
      <c r="K584">
        <v>263.86</v>
      </c>
      <c r="L584">
        <v>140.15</v>
      </c>
      <c r="M584">
        <v>2348.35</v>
      </c>
      <c r="N584">
        <v>1401.5</v>
      </c>
      <c r="O584">
        <v>946.85</v>
      </c>
      <c r="P584">
        <v>0.11</v>
      </c>
      <c r="Q584" t="s">
        <v>125</v>
      </c>
    </row>
    <row r="585" spans="1:17" x14ac:dyDescent="0.25">
      <c r="A585">
        <v>1583</v>
      </c>
      <c r="B585" s="1">
        <v>45047</v>
      </c>
      <c r="C585" t="s">
        <v>112</v>
      </c>
      <c r="D585" t="s">
        <v>17</v>
      </c>
      <c r="E585" t="s">
        <v>53</v>
      </c>
      <c r="F585" t="s">
        <v>27</v>
      </c>
      <c r="G585" t="s">
        <v>41</v>
      </c>
      <c r="H585" t="s">
        <v>46</v>
      </c>
      <c r="I585" t="s">
        <v>47</v>
      </c>
      <c r="J585">
        <v>4</v>
      </c>
      <c r="K585">
        <v>715</v>
      </c>
      <c r="L585">
        <v>405.18</v>
      </c>
      <c r="M585">
        <v>2116.4</v>
      </c>
      <c r="N585">
        <v>1620.72</v>
      </c>
      <c r="O585">
        <v>495.68</v>
      </c>
      <c r="P585">
        <v>0.26</v>
      </c>
      <c r="Q585" t="s">
        <v>30</v>
      </c>
    </row>
    <row r="586" spans="1:17" x14ac:dyDescent="0.25">
      <c r="A586">
        <v>1584</v>
      </c>
      <c r="B586" s="1">
        <v>45221</v>
      </c>
      <c r="C586" t="s">
        <v>140</v>
      </c>
      <c r="D586" t="s">
        <v>32</v>
      </c>
      <c r="E586" t="s">
        <v>26</v>
      </c>
      <c r="F586" t="s">
        <v>27</v>
      </c>
      <c r="G586" t="s">
        <v>20</v>
      </c>
      <c r="H586" t="s">
        <v>113</v>
      </c>
      <c r="I586" t="s">
        <v>114</v>
      </c>
      <c r="J586">
        <v>5</v>
      </c>
      <c r="K586">
        <v>728.07</v>
      </c>
      <c r="L586">
        <v>412.29</v>
      </c>
      <c r="M586">
        <v>3458.33</v>
      </c>
      <c r="N586">
        <v>2061.4499999999998</v>
      </c>
      <c r="O586">
        <v>1396.88</v>
      </c>
      <c r="P586">
        <v>0.05</v>
      </c>
      <c r="Q586" t="s">
        <v>92</v>
      </c>
    </row>
    <row r="587" spans="1:17" x14ac:dyDescent="0.25">
      <c r="A587">
        <v>1585</v>
      </c>
      <c r="B587" s="1">
        <v>44956</v>
      </c>
      <c r="C587" t="s">
        <v>231</v>
      </c>
      <c r="D587" t="s">
        <v>25</v>
      </c>
      <c r="E587" t="s">
        <v>53</v>
      </c>
      <c r="F587" t="s">
        <v>19</v>
      </c>
      <c r="G587" t="s">
        <v>35</v>
      </c>
      <c r="H587" t="s">
        <v>70</v>
      </c>
      <c r="I587" t="s">
        <v>84</v>
      </c>
      <c r="J587">
        <v>8</v>
      </c>
      <c r="K587">
        <v>90.31</v>
      </c>
      <c r="L587">
        <v>59.98</v>
      </c>
      <c r="M587">
        <v>534.64</v>
      </c>
      <c r="N587">
        <v>479.84</v>
      </c>
      <c r="O587">
        <v>54.8</v>
      </c>
      <c r="P587">
        <v>0.26</v>
      </c>
      <c r="Q587" t="s">
        <v>75</v>
      </c>
    </row>
    <row r="588" spans="1:17" x14ac:dyDescent="0.25">
      <c r="A588">
        <v>1586</v>
      </c>
      <c r="B588" s="1">
        <v>45630</v>
      </c>
      <c r="C588" t="s">
        <v>69</v>
      </c>
      <c r="D588" t="s">
        <v>32</v>
      </c>
      <c r="E588" t="s">
        <v>53</v>
      </c>
      <c r="F588" t="s">
        <v>40</v>
      </c>
      <c r="G588" t="s">
        <v>20</v>
      </c>
      <c r="H588" t="s">
        <v>21</v>
      </c>
      <c r="I588" t="s">
        <v>22</v>
      </c>
      <c r="J588">
        <v>1</v>
      </c>
      <c r="K588">
        <v>336.2</v>
      </c>
      <c r="L588">
        <v>195.73</v>
      </c>
      <c r="M588">
        <v>245.43</v>
      </c>
      <c r="N588">
        <v>195.73</v>
      </c>
      <c r="O588">
        <v>49.7</v>
      </c>
      <c r="P588">
        <v>0.27</v>
      </c>
      <c r="Q588" t="s">
        <v>125</v>
      </c>
    </row>
    <row r="589" spans="1:17" x14ac:dyDescent="0.25">
      <c r="A589">
        <v>1587</v>
      </c>
      <c r="B589" s="1">
        <v>45613</v>
      </c>
      <c r="C589" t="s">
        <v>162</v>
      </c>
      <c r="D589" t="s">
        <v>17</v>
      </c>
      <c r="E589" t="s">
        <v>33</v>
      </c>
      <c r="F589" t="s">
        <v>34</v>
      </c>
      <c r="G589" t="s">
        <v>35</v>
      </c>
      <c r="H589" t="s">
        <v>70</v>
      </c>
      <c r="I589" t="s">
        <v>84</v>
      </c>
      <c r="J589">
        <v>7</v>
      </c>
      <c r="K589">
        <v>305.99</v>
      </c>
      <c r="L589">
        <v>195.27</v>
      </c>
      <c r="M589">
        <v>1906.32</v>
      </c>
      <c r="N589">
        <v>1366.89</v>
      </c>
      <c r="O589">
        <v>539.42999999999995</v>
      </c>
      <c r="P589">
        <v>0.11</v>
      </c>
      <c r="Q589" t="s">
        <v>38</v>
      </c>
    </row>
    <row r="590" spans="1:17" x14ac:dyDescent="0.25">
      <c r="A590">
        <v>1588</v>
      </c>
      <c r="B590" s="1">
        <v>44969</v>
      </c>
      <c r="C590" t="s">
        <v>185</v>
      </c>
      <c r="D590" t="s">
        <v>32</v>
      </c>
      <c r="E590" t="s">
        <v>26</v>
      </c>
      <c r="F590" t="s">
        <v>27</v>
      </c>
      <c r="G590" t="s">
        <v>35</v>
      </c>
      <c r="H590" t="s">
        <v>49</v>
      </c>
      <c r="I590" t="s">
        <v>66</v>
      </c>
      <c r="J590">
        <v>2</v>
      </c>
      <c r="K590">
        <v>320.73</v>
      </c>
      <c r="L590">
        <v>219.91</v>
      </c>
      <c r="M590">
        <v>615.79999999999995</v>
      </c>
      <c r="N590">
        <v>439.82</v>
      </c>
      <c r="O590">
        <v>175.98</v>
      </c>
      <c r="P590">
        <v>0.04</v>
      </c>
      <c r="Q590" t="s">
        <v>44</v>
      </c>
    </row>
    <row r="591" spans="1:17" x14ac:dyDescent="0.25">
      <c r="A591">
        <v>1589</v>
      </c>
      <c r="B591" s="1">
        <v>45247</v>
      </c>
      <c r="C591" t="s">
        <v>276</v>
      </c>
      <c r="D591" t="s">
        <v>32</v>
      </c>
      <c r="E591" t="s">
        <v>18</v>
      </c>
      <c r="F591" t="s">
        <v>40</v>
      </c>
      <c r="G591" t="s">
        <v>35</v>
      </c>
      <c r="H591" t="s">
        <v>49</v>
      </c>
      <c r="I591" t="s">
        <v>50</v>
      </c>
      <c r="J591">
        <v>10</v>
      </c>
      <c r="K591">
        <v>830.44</v>
      </c>
      <c r="L591">
        <v>684.57</v>
      </c>
      <c r="M591">
        <v>6975.7</v>
      </c>
      <c r="N591">
        <v>6845.7</v>
      </c>
      <c r="O591">
        <v>130</v>
      </c>
      <c r="P591">
        <v>0.16</v>
      </c>
      <c r="Q591" t="s">
        <v>75</v>
      </c>
    </row>
    <row r="592" spans="1:17" x14ac:dyDescent="0.25">
      <c r="A592">
        <v>1590</v>
      </c>
      <c r="B592" s="1">
        <v>45095</v>
      </c>
      <c r="C592" t="s">
        <v>123</v>
      </c>
      <c r="D592" t="s">
        <v>32</v>
      </c>
      <c r="E592" t="s">
        <v>26</v>
      </c>
      <c r="F592" t="s">
        <v>27</v>
      </c>
      <c r="G592" t="s">
        <v>20</v>
      </c>
      <c r="H592" t="s">
        <v>21</v>
      </c>
      <c r="I592" t="s">
        <v>132</v>
      </c>
      <c r="J592">
        <v>1</v>
      </c>
      <c r="K592">
        <v>233.71</v>
      </c>
      <c r="L592">
        <v>119.79</v>
      </c>
      <c r="M592">
        <v>215.01</v>
      </c>
      <c r="N592">
        <v>119.79</v>
      </c>
      <c r="O592">
        <v>95.22</v>
      </c>
      <c r="P592">
        <v>0.08</v>
      </c>
      <c r="Q592" t="s">
        <v>55</v>
      </c>
    </row>
    <row r="593" spans="1:17" x14ac:dyDescent="0.25">
      <c r="A593">
        <v>1591</v>
      </c>
      <c r="B593" s="1">
        <v>45373</v>
      </c>
      <c r="C593" t="s">
        <v>148</v>
      </c>
      <c r="D593" t="s">
        <v>32</v>
      </c>
      <c r="E593" t="s">
        <v>33</v>
      </c>
      <c r="F593" t="s">
        <v>27</v>
      </c>
      <c r="G593" t="s">
        <v>35</v>
      </c>
      <c r="H593" t="s">
        <v>70</v>
      </c>
      <c r="I593" t="s">
        <v>84</v>
      </c>
      <c r="J593">
        <v>8</v>
      </c>
      <c r="K593">
        <v>460.47</v>
      </c>
      <c r="L593">
        <v>248.36</v>
      </c>
      <c r="M593">
        <v>2873.33</v>
      </c>
      <c r="N593">
        <v>1986.88</v>
      </c>
      <c r="O593">
        <v>886.45</v>
      </c>
      <c r="P593">
        <v>0.22</v>
      </c>
      <c r="Q593" t="s">
        <v>92</v>
      </c>
    </row>
    <row r="594" spans="1:17" x14ac:dyDescent="0.25">
      <c r="A594">
        <v>1592</v>
      </c>
      <c r="B594" s="1">
        <v>45053</v>
      </c>
      <c r="C594" t="s">
        <v>171</v>
      </c>
      <c r="D594" t="s">
        <v>25</v>
      </c>
      <c r="E594" t="s">
        <v>18</v>
      </c>
      <c r="F594" t="s">
        <v>19</v>
      </c>
      <c r="G594" t="s">
        <v>20</v>
      </c>
      <c r="H594" t="s">
        <v>113</v>
      </c>
      <c r="I594" t="s">
        <v>161</v>
      </c>
      <c r="J594">
        <v>5</v>
      </c>
      <c r="K594">
        <v>565.42999999999995</v>
      </c>
      <c r="L594">
        <v>413.95</v>
      </c>
      <c r="M594">
        <v>2657.52</v>
      </c>
      <c r="N594">
        <v>2069.75</v>
      </c>
      <c r="O594">
        <v>587.77</v>
      </c>
      <c r="P594">
        <v>0.06</v>
      </c>
      <c r="Q594" t="s">
        <v>51</v>
      </c>
    </row>
    <row r="595" spans="1:17" x14ac:dyDescent="0.25">
      <c r="A595">
        <v>1593</v>
      </c>
      <c r="B595" s="1">
        <v>45465</v>
      </c>
      <c r="C595" t="s">
        <v>162</v>
      </c>
      <c r="D595" t="s">
        <v>25</v>
      </c>
      <c r="E595" t="s">
        <v>53</v>
      </c>
      <c r="F595" t="s">
        <v>34</v>
      </c>
      <c r="G595" t="s">
        <v>20</v>
      </c>
      <c r="H595" t="s">
        <v>28</v>
      </c>
      <c r="I595" t="s">
        <v>90</v>
      </c>
      <c r="J595">
        <v>6</v>
      </c>
      <c r="K595">
        <v>30.83</v>
      </c>
      <c r="L595">
        <v>22.77</v>
      </c>
      <c r="M595">
        <v>147.97999999999999</v>
      </c>
      <c r="N595">
        <v>136.62</v>
      </c>
      <c r="O595">
        <v>11.36</v>
      </c>
      <c r="P595">
        <v>0.2</v>
      </c>
      <c r="Q595" t="s">
        <v>75</v>
      </c>
    </row>
    <row r="596" spans="1:17" x14ac:dyDescent="0.25">
      <c r="A596">
        <v>1594</v>
      </c>
      <c r="B596" s="1">
        <v>45309</v>
      </c>
      <c r="C596" t="s">
        <v>193</v>
      </c>
      <c r="D596" t="s">
        <v>25</v>
      </c>
      <c r="E596" t="s">
        <v>18</v>
      </c>
      <c r="F596" t="s">
        <v>19</v>
      </c>
      <c r="G596" t="s">
        <v>20</v>
      </c>
      <c r="H596" t="s">
        <v>21</v>
      </c>
      <c r="I596" t="s">
        <v>79</v>
      </c>
      <c r="J596">
        <v>8</v>
      </c>
      <c r="K596">
        <v>456.79</v>
      </c>
      <c r="L596">
        <v>381.11</v>
      </c>
      <c r="M596">
        <v>2996.54</v>
      </c>
      <c r="N596">
        <v>3048.88</v>
      </c>
      <c r="O596">
        <v>-52.34</v>
      </c>
      <c r="P596">
        <v>0.18</v>
      </c>
      <c r="Q596" t="s">
        <v>51</v>
      </c>
    </row>
    <row r="597" spans="1:17" x14ac:dyDescent="0.25">
      <c r="A597">
        <v>1595</v>
      </c>
      <c r="B597" s="1">
        <v>45264</v>
      </c>
      <c r="C597" t="s">
        <v>176</v>
      </c>
      <c r="D597" t="s">
        <v>17</v>
      </c>
      <c r="E597" t="s">
        <v>53</v>
      </c>
      <c r="F597" t="s">
        <v>40</v>
      </c>
      <c r="G597" t="s">
        <v>41</v>
      </c>
      <c r="H597" t="s">
        <v>63</v>
      </c>
      <c r="I597" t="s">
        <v>64</v>
      </c>
      <c r="J597">
        <v>3</v>
      </c>
      <c r="K597">
        <v>215.31</v>
      </c>
      <c r="L597">
        <v>111.32</v>
      </c>
      <c r="M597">
        <v>523.20000000000005</v>
      </c>
      <c r="N597">
        <v>333.96</v>
      </c>
      <c r="O597">
        <v>189.24</v>
      </c>
      <c r="P597">
        <v>0.19</v>
      </c>
      <c r="Q597" t="s">
        <v>85</v>
      </c>
    </row>
    <row r="598" spans="1:17" x14ac:dyDescent="0.25">
      <c r="A598">
        <v>1596</v>
      </c>
      <c r="B598" s="1">
        <v>44983</v>
      </c>
      <c r="C598" t="s">
        <v>60</v>
      </c>
      <c r="D598" t="s">
        <v>17</v>
      </c>
      <c r="E598" t="s">
        <v>53</v>
      </c>
      <c r="F598" t="s">
        <v>34</v>
      </c>
      <c r="G598" t="s">
        <v>35</v>
      </c>
      <c r="H598" t="s">
        <v>49</v>
      </c>
      <c r="I598" t="s">
        <v>66</v>
      </c>
      <c r="J598">
        <v>4</v>
      </c>
      <c r="K598">
        <v>965.22</v>
      </c>
      <c r="L598">
        <v>775</v>
      </c>
      <c r="M598">
        <v>3745.05</v>
      </c>
      <c r="N598">
        <v>3100</v>
      </c>
      <c r="O598">
        <v>645.04999999999995</v>
      </c>
      <c r="P598">
        <v>0.03</v>
      </c>
      <c r="Q598" t="s">
        <v>23</v>
      </c>
    </row>
    <row r="599" spans="1:17" x14ac:dyDescent="0.25">
      <c r="A599">
        <v>1597</v>
      </c>
      <c r="B599" s="1">
        <v>45093</v>
      </c>
      <c r="C599" t="s">
        <v>170</v>
      </c>
      <c r="D599" t="s">
        <v>32</v>
      </c>
      <c r="E599" t="s">
        <v>18</v>
      </c>
      <c r="F599" t="s">
        <v>19</v>
      </c>
      <c r="G599" t="s">
        <v>20</v>
      </c>
      <c r="H599" t="s">
        <v>28</v>
      </c>
      <c r="I599" t="s">
        <v>61</v>
      </c>
      <c r="J599">
        <v>7</v>
      </c>
      <c r="K599">
        <v>737.21</v>
      </c>
      <c r="L599">
        <v>606.42999999999995</v>
      </c>
      <c r="M599">
        <v>3767.14</v>
      </c>
      <c r="N599">
        <v>4245.01</v>
      </c>
      <c r="O599">
        <v>-477.87</v>
      </c>
      <c r="P599">
        <v>0.27</v>
      </c>
      <c r="Q599" t="s">
        <v>125</v>
      </c>
    </row>
    <row r="600" spans="1:17" x14ac:dyDescent="0.25">
      <c r="A600">
        <v>1598</v>
      </c>
      <c r="B600" s="1">
        <v>45061</v>
      </c>
      <c r="C600" t="s">
        <v>159</v>
      </c>
      <c r="D600" t="s">
        <v>25</v>
      </c>
      <c r="E600" t="s">
        <v>18</v>
      </c>
      <c r="F600" t="s">
        <v>19</v>
      </c>
      <c r="G600" t="s">
        <v>35</v>
      </c>
      <c r="H600" t="s">
        <v>49</v>
      </c>
      <c r="I600" t="s">
        <v>50</v>
      </c>
      <c r="J600">
        <v>8</v>
      </c>
      <c r="K600">
        <v>272.14</v>
      </c>
      <c r="L600">
        <v>193.25</v>
      </c>
      <c r="M600">
        <v>2111.81</v>
      </c>
      <c r="N600">
        <v>1546</v>
      </c>
      <c r="O600">
        <v>565.80999999999995</v>
      </c>
      <c r="P600">
        <v>0.03</v>
      </c>
      <c r="Q600" t="s">
        <v>75</v>
      </c>
    </row>
    <row r="601" spans="1:17" x14ac:dyDescent="0.25">
      <c r="A601">
        <v>1599</v>
      </c>
      <c r="B601" s="1">
        <v>45304</v>
      </c>
      <c r="C601" t="s">
        <v>185</v>
      </c>
      <c r="D601" t="s">
        <v>32</v>
      </c>
      <c r="E601" t="s">
        <v>53</v>
      </c>
      <c r="F601" t="s">
        <v>34</v>
      </c>
      <c r="G601" t="s">
        <v>20</v>
      </c>
      <c r="H601" t="s">
        <v>113</v>
      </c>
      <c r="I601" t="s">
        <v>153</v>
      </c>
      <c r="J601">
        <v>8</v>
      </c>
      <c r="K601">
        <v>678.06</v>
      </c>
      <c r="L601">
        <v>492.72</v>
      </c>
      <c r="M601">
        <v>4285.34</v>
      </c>
      <c r="N601">
        <v>3941.76</v>
      </c>
      <c r="O601">
        <v>343.58</v>
      </c>
      <c r="P601">
        <v>0.21</v>
      </c>
      <c r="Q601" t="s">
        <v>55</v>
      </c>
    </row>
    <row r="602" spans="1:17" x14ac:dyDescent="0.25">
      <c r="A602">
        <v>1600</v>
      </c>
      <c r="B602" s="1">
        <v>45466</v>
      </c>
      <c r="C602" t="s">
        <v>74</v>
      </c>
      <c r="D602" t="s">
        <v>17</v>
      </c>
      <c r="E602" t="s">
        <v>33</v>
      </c>
      <c r="F602" t="s">
        <v>40</v>
      </c>
      <c r="G602" t="s">
        <v>35</v>
      </c>
      <c r="H602" t="s">
        <v>49</v>
      </c>
      <c r="I602" t="s">
        <v>66</v>
      </c>
      <c r="J602">
        <v>8</v>
      </c>
      <c r="K602">
        <v>303.89</v>
      </c>
      <c r="L602">
        <v>256.62</v>
      </c>
      <c r="M602">
        <v>1920.58</v>
      </c>
      <c r="N602">
        <v>2052.96</v>
      </c>
      <c r="O602">
        <v>-132.38</v>
      </c>
      <c r="P602">
        <v>0.21</v>
      </c>
      <c r="Q602" t="s">
        <v>30</v>
      </c>
    </row>
    <row r="603" spans="1:17" x14ac:dyDescent="0.25">
      <c r="A603">
        <v>1601</v>
      </c>
      <c r="B603" s="1">
        <v>45181</v>
      </c>
      <c r="C603" t="s">
        <v>96</v>
      </c>
      <c r="D603" t="s">
        <v>32</v>
      </c>
      <c r="E603" t="s">
        <v>33</v>
      </c>
      <c r="F603" t="s">
        <v>34</v>
      </c>
      <c r="G603" t="s">
        <v>20</v>
      </c>
      <c r="H603" t="s">
        <v>113</v>
      </c>
      <c r="I603" t="s">
        <v>114</v>
      </c>
      <c r="J603">
        <v>9</v>
      </c>
      <c r="K603">
        <v>427.79</v>
      </c>
      <c r="L603">
        <v>228.04</v>
      </c>
      <c r="M603">
        <v>3080.09</v>
      </c>
      <c r="N603">
        <v>2052.36</v>
      </c>
      <c r="O603">
        <v>1027.73</v>
      </c>
      <c r="P603">
        <v>0.2</v>
      </c>
      <c r="Q603" t="s">
        <v>125</v>
      </c>
    </row>
    <row r="604" spans="1:17" x14ac:dyDescent="0.25">
      <c r="A604">
        <v>1602</v>
      </c>
      <c r="B604" s="1">
        <v>45186</v>
      </c>
      <c r="C604" t="s">
        <v>281</v>
      </c>
      <c r="D604" t="s">
        <v>17</v>
      </c>
      <c r="E604" t="s">
        <v>33</v>
      </c>
      <c r="F604" t="s">
        <v>34</v>
      </c>
      <c r="G604" t="s">
        <v>20</v>
      </c>
      <c r="H604" t="s">
        <v>113</v>
      </c>
      <c r="I604" t="s">
        <v>161</v>
      </c>
      <c r="J604">
        <v>8</v>
      </c>
      <c r="K604">
        <v>183.65</v>
      </c>
      <c r="L604">
        <v>103.54</v>
      </c>
      <c r="M604">
        <v>1292.9000000000001</v>
      </c>
      <c r="N604">
        <v>828.32</v>
      </c>
      <c r="O604">
        <v>464.58</v>
      </c>
      <c r="P604">
        <v>0.12</v>
      </c>
      <c r="Q604" t="s">
        <v>44</v>
      </c>
    </row>
    <row r="605" spans="1:17" x14ac:dyDescent="0.25">
      <c r="A605">
        <v>1603</v>
      </c>
      <c r="B605" s="1">
        <v>45353</v>
      </c>
      <c r="C605" t="s">
        <v>284</v>
      </c>
      <c r="D605" t="s">
        <v>32</v>
      </c>
      <c r="E605" t="s">
        <v>18</v>
      </c>
      <c r="F605" t="s">
        <v>27</v>
      </c>
      <c r="G605" t="s">
        <v>41</v>
      </c>
      <c r="H605" t="s">
        <v>46</v>
      </c>
      <c r="I605" t="s">
        <v>102</v>
      </c>
      <c r="J605">
        <v>5</v>
      </c>
      <c r="K605">
        <v>344.63</v>
      </c>
      <c r="L605">
        <v>283.06</v>
      </c>
      <c r="M605">
        <v>1309.5899999999999</v>
      </c>
      <c r="N605">
        <v>1415.3</v>
      </c>
      <c r="O605">
        <v>-105.71</v>
      </c>
      <c r="P605">
        <v>0.24</v>
      </c>
      <c r="Q605" t="s">
        <v>23</v>
      </c>
    </row>
    <row r="606" spans="1:17" x14ac:dyDescent="0.25">
      <c r="A606">
        <v>1604</v>
      </c>
      <c r="B606" s="1">
        <v>45116</v>
      </c>
      <c r="C606" t="s">
        <v>283</v>
      </c>
      <c r="D606" t="s">
        <v>17</v>
      </c>
      <c r="E606" t="s">
        <v>18</v>
      </c>
      <c r="F606" t="s">
        <v>34</v>
      </c>
      <c r="G606" t="s">
        <v>35</v>
      </c>
      <c r="H606" t="s">
        <v>70</v>
      </c>
      <c r="I606" t="s">
        <v>98</v>
      </c>
      <c r="J606">
        <v>1</v>
      </c>
      <c r="K606">
        <v>397.96</v>
      </c>
      <c r="L606">
        <v>200.83</v>
      </c>
      <c r="M606">
        <v>318.37</v>
      </c>
      <c r="N606">
        <v>200.83</v>
      </c>
      <c r="O606">
        <v>117.54</v>
      </c>
      <c r="P606">
        <v>0.2</v>
      </c>
      <c r="Q606" t="s">
        <v>55</v>
      </c>
    </row>
    <row r="607" spans="1:17" x14ac:dyDescent="0.25">
      <c r="A607">
        <v>1605</v>
      </c>
      <c r="B607" s="1">
        <v>45635</v>
      </c>
      <c r="C607" t="s">
        <v>147</v>
      </c>
      <c r="D607" t="s">
        <v>17</v>
      </c>
      <c r="E607" t="s">
        <v>53</v>
      </c>
      <c r="F607" t="s">
        <v>40</v>
      </c>
      <c r="G607" t="s">
        <v>41</v>
      </c>
      <c r="H607" t="s">
        <v>63</v>
      </c>
      <c r="I607" t="s">
        <v>117</v>
      </c>
      <c r="J607">
        <v>7</v>
      </c>
      <c r="K607">
        <v>805.62</v>
      </c>
      <c r="L607">
        <v>427.52</v>
      </c>
      <c r="M607">
        <v>5413.77</v>
      </c>
      <c r="N607">
        <v>2992.64</v>
      </c>
      <c r="O607">
        <v>2421.13</v>
      </c>
      <c r="P607">
        <v>0.04</v>
      </c>
      <c r="Q607" t="s">
        <v>23</v>
      </c>
    </row>
    <row r="608" spans="1:17" x14ac:dyDescent="0.25">
      <c r="A608">
        <v>1606</v>
      </c>
      <c r="B608" s="1">
        <v>45041</v>
      </c>
      <c r="C608" t="s">
        <v>52</v>
      </c>
      <c r="D608" t="s">
        <v>17</v>
      </c>
      <c r="E608" t="s">
        <v>26</v>
      </c>
      <c r="F608" t="s">
        <v>34</v>
      </c>
      <c r="G608" t="s">
        <v>20</v>
      </c>
      <c r="H608" t="s">
        <v>28</v>
      </c>
      <c r="I608" t="s">
        <v>81</v>
      </c>
      <c r="J608">
        <v>4</v>
      </c>
      <c r="K608">
        <v>438.61</v>
      </c>
      <c r="L608">
        <v>315.41000000000003</v>
      </c>
      <c r="M608">
        <v>1333.37</v>
      </c>
      <c r="N608">
        <v>1261.6400000000001</v>
      </c>
      <c r="O608">
        <v>71.73</v>
      </c>
      <c r="P608">
        <v>0.24</v>
      </c>
      <c r="Q608" t="s">
        <v>23</v>
      </c>
    </row>
    <row r="609" spans="1:17" x14ac:dyDescent="0.25">
      <c r="A609">
        <v>1607</v>
      </c>
      <c r="B609" s="1">
        <v>45015</v>
      </c>
      <c r="C609" t="s">
        <v>108</v>
      </c>
      <c r="D609" t="s">
        <v>32</v>
      </c>
      <c r="E609" t="s">
        <v>26</v>
      </c>
      <c r="F609" t="s">
        <v>27</v>
      </c>
      <c r="G609" t="s">
        <v>35</v>
      </c>
      <c r="H609" t="s">
        <v>36</v>
      </c>
      <c r="I609" t="s">
        <v>87</v>
      </c>
      <c r="J609">
        <v>3</v>
      </c>
      <c r="K609">
        <v>902.9</v>
      </c>
      <c r="L609">
        <v>684.92</v>
      </c>
      <c r="M609">
        <v>2356.5700000000002</v>
      </c>
      <c r="N609">
        <v>2054.7600000000002</v>
      </c>
      <c r="O609">
        <v>301.81</v>
      </c>
      <c r="P609">
        <v>0.13</v>
      </c>
      <c r="Q609" t="s">
        <v>55</v>
      </c>
    </row>
    <row r="610" spans="1:17" x14ac:dyDescent="0.25">
      <c r="A610">
        <v>1608</v>
      </c>
      <c r="B610" s="1">
        <v>45409</v>
      </c>
      <c r="C610" t="s">
        <v>191</v>
      </c>
      <c r="D610" t="s">
        <v>32</v>
      </c>
      <c r="E610" t="s">
        <v>26</v>
      </c>
      <c r="F610" t="s">
        <v>19</v>
      </c>
      <c r="G610" t="s">
        <v>35</v>
      </c>
      <c r="H610" t="s">
        <v>70</v>
      </c>
      <c r="I610" t="s">
        <v>71</v>
      </c>
      <c r="J610">
        <v>1</v>
      </c>
      <c r="K610">
        <v>337.18</v>
      </c>
      <c r="L610">
        <v>180.71</v>
      </c>
      <c r="M610">
        <v>252.88</v>
      </c>
      <c r="N610">
        <v>180.71</v>
      </c>
      <c r="O610">
        <v>72.17</v>
      </c>
      <c r="P610">
        <v>0.25</v>
      </c>
      <c r="Q610" t="s">
        <v>75</v>
      </c>
    </row>
    <row r="611" spans="1:17" x14ac:dyDescent="0.25">
      <c r="A611">
        <v>1609</v>
      </c>
      <c r="B611" s="1">
        <v>45352</v>
      </c>
      <c r="C611" t="s">
        <v>111</v>
      </c>
      <c r="D611" t="s">
        <v>17</v>
      </c>
      <c r="E611" t="s">
        <v>18</v>
      </c>
      <c r="F611" t="s">
        <v>34</v>
      </c>
      <c r="G611" t="s">
        <v>35</v>
      </c>
      <c r="H611" t="s">
        <v>49</v>
      </c>
      <c r="I611" t="s">
        <v>50</v>
      </c>
      <c r="J611">
        <v>9</v>
      </c>
      <c r="K611">
        <v>593.08000000000004</v>
      </c>
      <c r="L611">
        <v>423.47</v>
      </c>
      <c r="M611">
        <v>4270.18</v>
      </c>
      <c r="N611">
        <v>3811.23</v>
      </c>
      <c r="O611">
        <v>458.95</v>
      </c>
      <c r="P611">
        <v>0.2</v>
      </c>
      <c r="Q611" t="s">
        <v>55</v>
      </c>
    </row>
    <row r="612" spans="1:17" x14ac:dyDescent="0.25">
      <c r="A612">
        <v>1610</v>
      </c>
      <c r="B612" s="1">
        <v>45164</v>
      </c>
      <c r="C612" t="s">
        <v>203</v>
      </c>
      <c r="D612" t="s">
        <v>17</v>
      </c>
      <c r="E612" t="s">
        <v>33</v>
      </c>
      <c r="F612" t="s">
        <v>27</v>
      </c>
      <c r="G612" t="s">
        <v>41</v>
      </c>
      <c r="H612" t="s">
        <v>46</v>
      </c>
      <c r="I612" t="s">
        <v>102</v>
      </c>
      <c r="J612">
        <v>2</v>
      </c>
      <c r="K612">
        <v>271.51</v>
      </c>
      <c r="L612">
        <v>197.36</v>
      </c>
      <c r="M612">
        <v>396.4</v>
      </c>
      <c r="N612">
        <v>394.72</v>
      </c>
      <c r="O612">
        <v>1.68</v>
      </c>
      <c r="P612">
        <v>0.27</v>
      </c>
      <c r="Q612" t="s">
        <v>44</v>
      </c>
    </row>
    <row r="613" spans="1:17" x14ac:dyDescent="0.25">
      <c r="A613">
        <v>1611</v>
      </c>
      <c r="B613" s="1">
        <v>45433</v>
      </c>
      <c r="C613" t="s">
        <v>129</v>
      </c>
      <c r="D613" t="s">
        <v>32</v>
      </c>
      <c r="E613" t="s">
        <v>53</v>
      </c>
      <c r="F613" t="s">
        <v>27</v>
      </c>
      <c r="G613" t="s">
        <v>20</v>
      </c>
      <c r="H613" t="s">
        <v>21</v>
      </c>
      <c r="I613" t="s">
        <v>54</v>
      </c>
      <c r="J613">
        <v>4</v>
      </c>
      <c r="K613">
        <v>471.89</v>
      </c>
      <c r="L613">
        <v>308.3</v>
      </c>
      <c r="M613">
        <v>1604.43</v>
      </c>
      <c r="N613">
        <v>1233.2</v>
      </c>
      <c r="O613">
        <v>371.23</v>
      </c>
      <c r="P613">
        <v>0.15</v>
      </c>
      <c r="Q613" t="s">
        <v>125</v>
      </c>
    </row>
    <row r="614" spans="1:17" x14ac:dyDescent="0.25">
      <c r="A614">
        <v>1612</v>
      </c>
      <c r="B614" s="1">
        <v>45628</v>
      </c>
      <c r="C614" t="s">
        <v>274</v>
      </c>
      <c r="D614" t="s">
        <v>17</v>
      </c>
      <c r="E614" t="s">
        <v>53</v>
      </c>
      <c r="F614" t="s">
        <v>19</v>
      </c>
      <c r="G614" t="s">
        <v>35</v>
      </c>
      <c r="H614" t="s">
        <v>70</v>
      </c>
      <c r="I614" t="s">
        <v>84</v>
      </c>
      <c r="J614">
        <v>7</v>
      </c>
      <c r="K614">
        <v>960</v>
      </c>
      <c r="L614">
        <v>759.92</v>
      </c>
      <c r="M614">
        <v>5376</v>
      </c>
      <c r="N614">
        <v>5319.44</v>
      </c>
      <c r="O614">
        <v>56.56</v>
      </c>
      <c r="P614">
        <v>0.2</v>
      </c>
      <c r="Q614" t="s">
        <v>85</v>
      </c>
    </row>
    <row r="615" spans="1:17" x14ac:dyDescent="0.25">
      <c r="A615">
        <v>1613</v>
      </c>
      <c r="B615" s="1">
        <v>45410</v>
      </c>
      <c r="C615" t="s">
        <v>221</v>
      </c>
      <c r="D615" t="s">
        <v>25</v>
      </c>
      <c r="E615" t="s">
        <v>26</v>
      </c>
      <c r="F615" t="s">
        <v>40</v>
      </c>
      <c r="G615" t="s">
        <v>41</v>
      </c>
      <c r="H615" t="s">
        <v>63</v>
      </c>
      <c r="I615" t="s">
        <v>141</v>
      </c>
      <c r="J615">
        <v>8</v>
      </c>
      <c r="K615">
        <v>133.44999999999999</v>
      </c>
      <c r="L615">
        <v>76.040000000000006</v>
      </c>
      <c r="M615">
        <v>875.43</v>
      </c>
      <c r="N615">
        <v>608.32000000000005</v>
      </c>
      <c r="O615">
        <v>267.11</v>
      </c>
      <c r="P615">
        <v>0.18</v>
      </c>
      <c r="Q615" t="s">
        <v>44</v>
      </c>
    </row>
    <row r="616" spans="1:17" x14ac:dyDescent="0.25">
      <c r="A616">
        <v>1614</v>
      </c>
      <c r="B616" s="1">
        <v>45352</v>
      </c>
      <c r="C616" t="s">
        <v>195</v>
      </c>
      <c r="D616" t="s">
        <v>25</v>
      </c>
      <c r="E616" t="s">
        <v>26</v>
      </c>
      <c r="F616" t="s">
        <v>34</v>
      </c>
      <c r="G616" t="s">
        <v>20</v>
      </c>
      <c r="H616" t="s">
        <v>28</v>
      </c>
      <c r="I616" t="s">
        <v>29</v>
      </c>
      <c r="J616">
        <v>6</v>
      </c>
      <c r="K616">
        <v>678.54</v>
      </c>
      <c r="L616">
        <v>380.76</v>
      </c>
      <c r="M616">
        <v>3012.72</v>
      </c>
      <c r="N616">
        <v>2284.56</v>
      </c>
      <c r="O616">
        <v>728.16</v>
      </c>
      <c r="P616">
        <v>0.26</v>
      </c>
      <c r="Q616" t="s">
        <v>38</v>
      </c>
    </row>
    <row r="617" spans="1:17" x14ac:dyDescent="0.25">
      <c r="A617">
        <v>1615</v>
      </c>
      <c r="B617" s="1">
        <v>44959</v>
      </c>
      <c r="C617" t="s">
        <v>183</v>
      </c>
      <c r="D617" t="s">
        <v>32</v>
      </c>
      <c r="E617" t="s">
        <v>53</v>
      </c>
      <c r="F617" t="s">
        <v>34</v>
      </c>
      <c r="G617" t="s">
        <v>41</v>
      </c>
      <c r="H617" t="s">
        <v>42</v>
      </c>
      <c r="I617" t="s">
        <v>77</v>
      </c>
      <c r="J617">
        <v>9</v>
      </c>
      <c r="K617">
        <v>227.98</v>
      </c>
      <c r="L617">
        <v>134.56</v>
      </c>
      <c r="M617">
        <v>1846.64</v>
      </c>
      <c r="N617">
        <v>1211.04</v>
      </c>
      <c r="O617">
        <v>635.6</v>
      </c>
      <c r="P617">
        <v>0.1</v>
      </c>
      <c r="Q617" t="s">
        <v>85</v>
      </c>
    </row>
    <row r="618" spans="1:17" x14ac:dyDescent="0.25">
      <c r="A618">
        <v>1616</v>
      </c>
      <c r="B618" s="1">
        <v>44974</v>
      </c>
      <c r="C618" t="s">
        <v>169</v>
      </c>
      <c r="D618" t="s">
        <v>17</v>
      </c>
      <c r="E618" t="s">
        <v>18</v>
      </c>
      <c r="F618" t="s">
        <v>19</v>
      </c>
      <c r="G618" t="s">
        <v>41</v>
      </c>
      <c r="H618" t="s">
        <v>63</v>
      </c>
      <c r="I618" t="s">
        <v>64</v>
      </c>
      <c r="J618">
        <v>2</v>
      </c>
      <c r="K618">
        <v>707.87</v>
      </c>
      <c r="L618">
        <v>583.51</v>
      </c>
      <c r="M618">
        <v>1231.69</v>
      </c>
      <c r="N618">
        <v>1167.02</v>
      </c>
      <c r="O618">
        <v>64.67</v>
      </c>
      <c r="P618">
        <v>0.13</v>
      </c>
      <c r="Q618" t="s">
        <v>55</v>
      </c>
    </row>
    <row r="619" spans="1:17" x14ac:dyDescent="0.25">
      <c r="A619">
        <v>1617</v>
      </c>
      <c r="B619" s="1">
        <v>45040</v>
      </c>
      <c r="C619" t="s">
        <v>182</v>
      </c>
      <c r="D619" t="s">
        <v>17</v>
      </c>
      <c r="E619" t="s">
        <v>33</v>
      </c>
      <c r="F619" t="s">
        <v>34</v>
      </c>
      <c r="G619" t="s">
        <v>41</v>
      </c>
      <c r="H619" t="s">
        <v>42</v>
      </c>
      <c r="I619" t="s">
        <v>77</v>
      </c>
      <c r="J619">
        <v>2</v>
      </c>
      <c r="K619">
        <v>871.52</v>
      </c>
      <c r="L619">
        <v>713.64</v>
      </c>
      <c r="M619">
        <v>1655.89</v>
      </c>
      <c r="N619">
        <v>1427.28</v>
      </c>
      <c r="O619">
        <v>228.61</v>
      </c>
      <c r="P619">
        <v>0.05</v>
      </c>
      <c r="Q619" t="s">
        <v>30</v>
      </c>
    </row>
    <row r="620" spans="1:17" x14ac:dyDescent="0.25">
      <c r="A620">
        <v>1618</v>
      </c>
      <c r="B620" s="1">
        <v>45652</v>
      </c>
      <c r="C620" t="s">
        <v>104</v>
      </c>
      <c r="D620" t="s">
        <v>17</v>
      </c>
      <c r="E620" t="s">
        <v>53</v>
      </c>
      <c r="F620" t="s">
        <v>34</v>
      </c>
      <c r="G620" t="s">
        <v>20</v>
      </c>
      <c r="H620" t="s">
        <v>113</v>
      </c>
      <c r="I620" t="s">
        <v>153</v>
      </c>
      <c r="J620">
        <v>6</v>
      </c>
      <c r="K620">
        <v>820.06</v>
      </c>
      <c r="L620">
        <v>445.33</v>
      </c>
      <c r="M620">
        <v>4625.1400000000003</v>
      </c>
      <c r="N620">
        <v>2671.98</v>
      </c>
      <c r="O620">
        <v>1953.16</v>
      </c>
      <c r="P620">
        <v>0.06</v>
      </c>
      <c r="Q620" t="s">
        <v>75</v>
      </c>
    </row>
    <row r="621" spans="1:17" x14ac:dyDescent="0.25">
      <c r="A621">
        <v>1619</v>
      </c>
      <c r="B621" s="1">
        <v>44933</v>
      </c>
      <c r="C621" t="s">
        <v>110</v>
      </c>
      <c r="D621" t="s">
        <v>32</v>
      </c>
      <c r="E621" t="s">
        <v>18</v>
      </c>
      <c r="F621" t="s">
        <v>40</v>
      </c>
      <c r="G621" t="s">
        <v>41</v>
      </c>
      <c r="H621" t="s">
        <v>42</v>
      </c>
      <c r="I621" t="s">
        <v>77</v>
      </c>
      <c r="J621">
        <v>5</v>
      </c>
      <c r="K621">
        <v>375.57</v>
      </c>
      <c r="L621">
        <v>287.01</v>
      </c>
      <c r="M621">
        <v>1671.29</v>
      </c>
      <c r="N621">
        <v>1435.05</v>
      </c>
      <c r="O621">
        <v>236.24</v>
      </c>
      <c r="P621">
        <v>0.11</v>
      </c>
      <c r="Q621" t="s">
        <v>23</v>
      </c>
    </row>
    <row r="622" spans="1:17" x14ac:dyDescent="0.25">
      <c r="A622">
        <v>1620</v>
      </c>
      <c r="B622" s="1">
        <v>45082</v>
      </c>
      <c r="C622" t="s">
        <v>167</v>
      </c>
      <c r="D622" t="s">
        <v>17</v>
      </c>
      <c r="E622" t="s">
        <v>53</v>
      </c>
      <c r="F622" t="s">
        <v>19</v>
      </c>
      <c r="G622" t="s">
        <v>20</v>
      </c>
      <c r="H622" t="s">
        <v>28</v>
      </c>
      <c r="I622" t="s">
        <v>61</v>
      </c>
      <c r="J622">
        <v>7</v>
      </c>
      <c r="K622">
        <v>898.57</v>
      </c>
      <c r="L622">
        <v>748.64</v>
      </c>
      <c r="M622">
        <v>5346.49</v>
      </c>
      <c r="N622">
        <v>5240.4799999999996</v>
      </c>
      <c r="O622">
        <v>106.01</v>
      </c>
      <c r="P622">
        <v>0.15</v>
      </c>
      <c r="Q622" t="s">
        <v>85</v>
      </c>
    </row>
    <row r="623" spans="1:17" x14ac:dyDescent="0.25">
      <c r="A623">
        <v>1621</v>
      </c>
      <c r="B623" s="1">
        <v>44957</v>
      </c>
      <c r="C623" t="s">
        <v>246</v>
      </c>
      <c r="D623" t="s">
        <v>25</v>
      </c>
      <c r="E623" t="s">
        <v>33</v>
      </c>
      <c r="F623" t="s">
        <v>34</v>
      </c>
      <c r="G623" t="s">
        <v>35</v>
      </c>
      <c r="H623" t="s">
        <v>49</v>
      </c>
      <c r="I623" t="s">
        <v>50</v>
      </c>
      <c r="J623">
        <v>3</v>
      </c>
      <c r="K623">
        <v>436.9</v>
      </c>
      <c r="L623">
        <v>278.58999999999997</v>
      </c>
      <c r="M623">
        <v>1297.5899999999999</v>
      </c>
      <c r="N623">
        <v>835.77</v>
      </c>
      <c r="O623">
        <v>461.82</v>
      </c>
      <c r="P623">
        <v>0.01</v>
      </c>
      <c r="Q623" t="s">
        <v>92</v>
      </c>
    </row>
    <row r="624" spans="1:17" x14ac:dyDescent="0.25">
      <c r="A624">
        <v>1622</v>
      </c>
      <c r="B624" s="1">
        <v>45515</v>
      </c>
      <c r="C624" t="s">
        <v>176</v>
      </c>
      <c r="D624" t="s">
        <v>17</v>
      </c>
      <c r="E624" t="s">
        <v>18</v>
      </c>
      <c r="F624" t="s">
        <v>27</v>
      </c>
      <c r="G624" t="s">
        <v>35</v>
      </c>
      <c r="H624" t="s">
        <v>70</v>
      </c>
      <c r="I624" t="s">
        <v>84</v>
      </c>
      <c r="J624">
        <v>9</v>
      </c>
      <c r="K624">
        <v>874.18</v>
      </c>
      <c r="L624">
        <v>657.86</v>
      </c>
      <c r="M624">
        <v>7159.53</v>
      </c>
      <c r="N624">
        <v>5920.74</v>
      </c>
      <c r="O624">
        <v>1238.79</v>
      </c>
      <c r="P624">
        <v>0.09</v>
      </c>
      <c r="Q624" t="s">
        <v>85</v>
      </c>
    </row>
    <row r="625" spans="1:17" x14ac:dyDescent="0.25">
      <c r="A625">
        <v>1623</v>
      </c>
      <c r="B625" s="1">
        <v>44935</v>
      </c>
      <c r="C625" t="s">
        <v>257</v>
      </c>
      <c r="D625" t="s">
        <v>17</v>
      </c>
      <c r="E625" t="s">
        <v>26</v>
      </c>
      <c r="F625" t="s">
        <v>27</v>
      </c>
      <c r="G625" t="s">
        <v>35</v>
      </c>
      <c r="H625" t="s">
        <v>70</v>
      </c>
      <c r="I625" t="s">
        <v>98</v>
      </c>
      <c r="J625">
        <v>9</v>
      </c>
      <c r="K625">
        <v>626.24</v>
      </c>
      <c r="L625">
        <v>448.62</v>
      </c>
      <c r="M625">
        <v>4903.46</v>
      </c>
      <c r="N625">
        <v>4037.58</v>
      </c>
      <c r="O625">
        <v>865.88</v>
      </c>
      <c r="P625">
        <v>0.13</v>
      </c>
      <c r="Q625" t="s">
        <v>85</v>
      </c>
    </row>
    <row r="626" spans="1:17" x14ac:dyDescent="0.25">
      <c r="A626">
        <v>1624</v>
      </c>
      <c r="B626" s="1">
        <v>45591</v>
      </c>
      <c r="C626" t="s">
        <v>170</v>
      </c>
      <c r="D626" t="s">
        <v>25</v>
      </c>
      <c r="E626" t="s">
        <v>18</v>
      </c>
      <c r="F626" t="s">
        <v>34</v>
      </c>
      <c r="G626" t="s">
        <v>20</v>
      </c>
      <c r="H626" t="s">
        <v>113</v>
      </c>
      <c r="I626" t="s">
        <v>153</v>
      </c>
      <c r="J626">
        <v>7</v>
      </c>
      <c r="K626">
        <v>726.47</v>
      </c>
      <c r="L626">
        <v>551.4</v>
      </c>
      <c r="M626">
        <v>4881.88</v>
      </c>
      <c r="N626">
        <v>3859.8</v>
      </c>
      <c r="O626">
        <v>1022.08</v>
      </c>
      <c r="P626">
        <v>0.04</v>
      </c>
      <c r="Q626" t="s">
        <v>38</v>
      </c>
    </row>
    <row r="627" spans="1:17" x14ac:dyDescent="0.25">
      <c r="A627">
        <v>1625</v>
      </c>
      <c r="B627" s="1">
        <v>45217</v>
      </c>
      <c r="C627" t="s">
        <v>236</v>
      </c>
      <c r="D627" t="s">
        <v>17</v>
      </c>
      <c r="E627" t="s">
        <v>18</v>
      </c>
      <c r="F627" t="s">
        <v>40</v>
      </c>
      <c r="G627" t="s">
        <v>41</v>
      </c>
      <c r="H627" t="s">
        <v>42</v>
      </c>
      <c r="I627" t="s">
        <v>77</v>
      </c>
      <c r="J627">
        <v>1</v>
      </c>
      <c r="K627">
        <v>890.87</v>
      </c>
      <c r="L627">
        <v>613.79</v>
      </c>
      <c r="M627">
        <v>819.6</v>
      </c>
      <c r="N627">
        <v>613.79</v>
      </c>
      <c r="O627">
        <v>205.81</v>
      </c>
      <c r="P627">
        <v>0.08</v>
      </c>
      <c r="Q627" t="s">
        <v>30</v>
      </c>
    </row>
    <row r="628" spans="1:17" x14ac:dyDescent="0.25">
      <c r="A628">
        <v>1626</v>
      </c>
      <c r="B628" s="1">
        <v>45359</v>
      </c>
      <c r="C628" t="s">
        <v>253</v>
      </c>
      <c r="D628" t="s">
        <v>17</v>
      </c>
      <c r="E628" t="s">
        <v>33</v>
      </c>
      <c r="F628" t="s">
        <v>40</v>
      </c>
      <c r="G628" t="s">
        <v>35</v>
      </c>
      <c r="H628" t="s">
        <v>70</v>
      </c>
      <c r="I628" t="s">
        <v>84</v>
      </c>
      <c r="J628">
        <v>6</v>
      </c>
      <c r="K628">
        <v>128.19</v>
      </c>
      <c r="L628">
        <v>98.04</v>
      </c>
      <c r="M628">
        <v>553.78</v>
      </c>
      <c r="N628">
        <v>588.24</v>
      </c>
      <c r="O628">
        <v>-34.46</v>
      </c>
      <c r="P628">
        <v>0.28000000000000003</v>
      </c>
      <c r="Q628" t="s">
        <v>55</v>
      </c>
    </row>
    <row r="629" spans="1:17" x14ac:dyDescent="0.25">
      <c r="A629">
        <v>1627</v>
      </c>
      <c r="B629" s="1">
        <v>45232</v>
      </c>
      <c r="C629" t="s">
        <v>130</v>
      </c>
      <c r="D629" t="s">
        <v>25</v>
      </c>
      <c r="E629" t="s">
        <v>53</v>
      </c>
      <c r="F629" t="s">
        <v>40</v>
      </c>
      <c r="G629" t="s">
        <v>20</v>
      </c>
      <c r="H629" t="s">
        <v>113</v>
      </c>
      <c r="I629" t="s">
        <v>161</v>
      </c>
      <c r="J629">
        <v>10</v>
      </c>
      <c r="K629">
        <v>716.07</v>
      </c>
      <c r="L629">
        <v>593.01</v>
      </c>
      <c r="M629">
        <v>5728.56</v>
      </c>
      <c r="N629">
        <v>5930.1</v>
      </c>
      <c r="O629">
        <v>-201.54</v>
      </c>
      <c r="P629">
        <v>0.2</v>
      </c>
      <c r="Q629" t="s">
        <v>125</v>
      </c>
    </row>
    <row r="630" spans="1:17" x14ac:dyDescent="0.25">
      <c r="A630">
        <v>1628</v>
      </c>
      <c r="B630" s="1">
        <v>45166</v>
      </c>
      <c r="C630" t="s">
        <v>281</v>
      </c>
      <c r="D630" t="s">
        <v>32</v>
      </c>
      <c r="E630" t="s">
        <v>26</v>
      </c>
      <c r="F630" t="s">
        <v>27</v>
      </c>
      <c r="G630" t="s">
        <v>41</v>
      </c>
      <c r="H630" t="s">
        <v>63</v>
      </c>
      <c r="I630" t="s">
        <v>141</v>
      </c>
      <c r="J630">
        <v>2</v>
      </c>
      <c r="K630">
        <v>331.21</v>
      </c>
      <c r="L630">
        <v>233.12</v>
      </c>
      <c r="M630">
        <v>496.81</v>
      </c>
      <c r="N630">
        <v>466.24</v>
      </c>
      <c r="O630">
        <v>30.57</v>
      </c>
      <c r="P630">
        <v>0.25</v>
      </c>
      <c r="Q630" t="s">
        <v>85</v>
      </c>
    </row>
    <row r="631" spans="1:17" x14ac:dyDescent="0.25">
      <c r="A631">
        <v>1629</v>
      </c>
      <c r="B631" s="1">
        <v>45392</v>
      </c>
      <c r="C631" t="s">
        <v>109</v>
      </c>
      <c r="D631" t="s">
        <v>17</v>
      </c>
      <c r="E631" t="s">
        <v>53</v>
      </c>
      <c r="F631" t="s">
        <v>27</v>
      </c>
      <c r="G631" t="s">
        <v>20</v>
      </c>
      <c r="H631" t="s">
        <v>21</v>
      </c>
      <c r="I631" t="s">
        <v>22</v>
      </c>
      <c r="J631">
        <v>7</v>
      </c>
      <c r="K631">
        <v>889.07</v>
      </c>
      <c r="L631">
        <v>592.73</v>
      </c>
      <c r="M631">
        <v>5414.44</v>
      </c>
      <c r="N631">
        <v>4149.1099999999997</v>
      </c>
      <c r="O631">
        <v>1265.33</v>
      </c>
      <c r="P631">
        <v>0.13</v>
      </c>
      <c r="Q631" t="s">
        <v>85</v>
      </c>
    </row>
    <row r="632" spans="1:17" x14ac:dyDescent="0.25">
      <c r="A632">
        <v>1630</v>
      </c>
      <c r="B632" s="1">
        <v>45620</v>
      </c>
      <c r="C632" t="s">
        <v>96</v>
      </c>
      <c r="D632" t="s">
        <v>17</v>
      </c>
      <c r="E632" t="s">
        <v>53</v>
      </c>
      <c r="F632" t="s">
        <v>40</v>
      </c>
      <c r="G632" t="s">
        <v>41</v>
      </c>
      <c r="H632" t="s">
        <v>46</v>
      </c>
      <c r="I632" t="s">
        <v>102</v>
      </c>
      <c r="J632">
        <v>7</v>
      </c>
      <c r="K632">
        <v>996.53</v>
      </c>
      <c r="L632">
        <v>738.58</v>
      </c>
      <c r="M632">
        <v>5022.51</v>
      </c>
      <c r="N632">
        <v>5170.0600000000004</v>
      </c>
      <c r="O632">
        <v>-147.55000000000001</v>
      </c>
      <c r="P632">
        <v>0.28000000000000003</v>
      </c>
      <c r="Q632" t="s">
        <v>75</v>
      </c>
    </row>
    <row r="633" spans="1:17" x14ac:dyDescent="0.25">
      <c r="A633">
        <v>1631</v>
      </c>
      <c r="B633" s="1">
        <v>45093</v>
      </c>
      <c r="C633" t="s">
        <v>285</v>
      </c>
      <c r="D633" t="s">
        <v>25</v>
      </c>
      <c r="E633" t="s">
        <v>53</v>
      </c>
      <c r="F633" t="s">
        <v>27</v>
      </c>
      <c r="G633" t="s">
        <v>20</v>
      </c>
      <c r="H633" t="s">
        <v>113</v>
      </c>
      <c r="I633" t="s">
        <v>161</v>
      </c>
      <c r="J633">
        <v>9</v>
      </c>
      <c r="K633">
        <v>122.47</v>
      </c>
      <c r="L633">
        <v>70.349999999999994</v>
      </c>
      <c r="M633">
        <v>947.92</v>
      </c>
      <c r="N633">
        <v>633.15</v>
      </c>
      <c r="O633">
        <v>314.77</v>
      </c>
      <c r="P633">
        <v>0.14000000000000001</v>
      </c>
      <c r="Q633" t="s">
        <v>92</v>
      </c>
    </row>
    <row r="634" spans="1:17" x14ac:dyDescent="0.25">
      <c r="A634">
        <v>1632</v>
      </c>
      <c r="B634" s="1">
        <v>45499</v>
      </c>
      <c r="C634" t="s">
        <v>274</v>
      </c>
      <c r="D634" t="s">
        <v>25</v>
      </c>
      <c r="E634" t="s">
        <v>53</v>
      </c>
      <c r="F634" t="s">
        <v>34</v>
      </c>
      <c r="G634" t="s">
        <v>20</v>
      </c>
      <c r="H634" t="s">
        <v>28</v>
      </c>
      <c r="I634" t="s">
        <v>29</v>
      </c>
      <c r="J634">
        <v>1</v>
      </c>
      <c r="K634">
        <v>525.16</v>
      </c>
      <c r="L634">
        <v>284.22000000000003</v>
      </c>
      <c r="M634">
        <v>477.9</v>
      </c>
      <c r="N634">
        <v>284.22000000000003</v>
      </c>
      <c r="O634">
        <v>193.68</v>
      </c>
      <c r="P634">
        <v>0.09</v>
      </c>
      <c r="Q634" t="s">
        <v>85</v>
      </c>
    </row>
    <row r="635" spans="1:17" x14ac:dyDescent="0.25">
      <c r="A635">
        <v>1633</v>
      </c>
      <c r="B635" s="1">
        <v>45237</v>
      </c>
      <c r="C635" t="s">
        <v>76</v>
      </c>
      <c r="D635" t="s">
        <v>25</v>
      </c>
      <c r="E635" t="s">
        <v>26</v>
      </c>
      <c r="F635" t="s">
        <v>19</v>
      </c>
      <c r="G635" t="s">
        <v>41</v>
      </c>
      <c r="H635" t="s">
        <v>46</v>
      </c>
      <c r="I635" t="s">
        <v>47</v>
      </c>
      <c r="J635">
        <v>5</v>
      </c>
      <c r="K635">
        <v>889.61</v>
      </c>
      <c r="L635">
        <v>511.93</v>
      </c>
      <c r="M635">
        <v>3336.04</v>
      </c>
      <c r="N635">
        <v>2559.65</v>
      </c>
      <c r="O635">
        <v>776.39</v>
      </c>
      <c r="P635">
        <v>0.25</v>
      </c>
      <c r="Q635" t="s">
        <v>55</v>
      </c>
    </row>
    <row r="636" spans="1:17" x14ac:dyDescent="0.25">
      <c r="A636">
        <v>1634</v>
      </c>
      <c r="B636" s="1">
        <v>44929</v>
      </c>
      <c r="C636" t="s">
        <v>166</v>
      </c>
      <c r="D636" t="s">
        <v>32</v>
      </c>
      <c r="E636" t="s">
        <v>33</v>
      </c>
      <c r="F636" t="s">
        <v>34</v>
      </c>
      <c r="G636" t="s">
        <v>35</v>
      </c>
      <c r="H636" t="s">
        <v>49</v>
      </c>
      <c r="I636" t="s">
        <v>59</v>
      </c>
      <c r="J636">
        <v>5</v>
      </c>
      <c r="K636">
        <v>567.94000000000005</v>
      </c>
      <c r="L636">
        <v>462.93</v>
      </c>
      <c r="M636">
        <v>2186.5700000000002</v>
      </c>
      <c r="N636">
        <v>2314.65</v>
      </c>
      <c r="O636">
        <v>-128.08000000000001</v>
      </c>
      <c r="P636">
        <v>0.23</v>
      </c>
      <c r="Q636" t="s">
        <v>55</v>
      </c>
    </row>
    <row r="637" spans="1:17" x14ac:dyDescent="0.25">
      <c r="A637">
        <v>1635</v>
      </c>
      <c r="B637" s="1">
        <v>45547</v>
      </c>
      <c r="C637" t="s">
        <v>107</v>
      </c>
      <c r="D637" t="s">
        <v>25</v>
      </c>
      <c r="E637" t="s">
        <v>53</v>
      </c>
      <c r="F637" t="s">
        <v>27</v>
      </c>
      <c r="G637" t="s">
        <v>41</v>
      </c>
      <c r="H637" t="s">
        <v>46</v>
      </c>
      <c r="I637" t="s">
        <v>47</v>
      </c>
      <c r="J637">
        <v>6</v>
      </c>
      <c r="K637">
        <v>93.87</v>
      </c>
      <c r="L637">
        <v>67.459999999999994</v>
      </c>
      <c r="M637">
        <v>456.21</v>
      </c>
      <c r="N637">
        <v>404.76</v>
      </c>
      <c r="O637">
        <v>51.45</v>
      </c>
      <c r="P637">
        <v>0.19</v>
      </c>
      <c r="Q637" t="s">
        <v>75</v>
      </c>
    </row>
    <row r="638" spans="1:17" x14ac:dyDescent="0.25">
      <c r="A638">
        <v>1636</v>
      </c>
      <c r="B638" s="1">
        <v>45165</v>
      </c>
      <c r="C638" t="s">
        <v>39</v>
      </c>
      <c r="D638" t="s">
        <v>32</v>
      </c>
      <c r="E638" t="s">
        <v>33</v>
      </c>
      <c r="F638" t="s">
        <v>27</v>
      </c>
      <c r="G638" t="s">
        <v>41</v>
      </c>
      <c r="H638" t="s">
        <v>46</v>
      </c>
      <c r="I638" t="s">
        <v>102</v>
      </c>
      <c r="J638">
        <v>2</v>
      </c>
      <c r="K638">
        <v>866.62</v>
      </c>
      <c r="L638">
        <v>647.82000000000005</v>
      </c>
      <c r="M638">
        <v>1438.59</v>
      </c>
      <c r="N638">
        <v>1295.6400000000001</v>
      </c>
      <c r="O638">
        <v>142.94999999999999</v>
      </c>
      <c r="P638">
        <v>0.17</v>
      </c>
      <c r="Q638" t="s">
        <v>30</v>
      </c>
    </row>
    <row r="639" spans="1:17" x14ac:dyDescent="0.25">
      <c r="A639">
        <v>1637</v>
      </c>
      <c r="B639" s="1">
        <v>45501</v>
      </c>
      <c r="C639" t="s">
        <v>150</v>
      </c>
      <c r="D639" t="s">
        <v>17</v>
      </c>
      <c r="E639" t="s">
        <v>33</v>
      </c>
      <c r="F639" t="s">
        <v>19</v>
      </c>
      <c r="G639" t="s">
        <v>41</v>
      </c>
      <c r="H639" t="s">
        <v>63</v>
      </c>
      <c r="I639" t="s">
        <v>64</v>
      </c>
      <c r="J639">
        <v>1</v>
      </c>
      <c r="K639">
        <v>957.51</v>
      </c>
      <c r="L639">
        <v>653.61</v>
      </c>
      <c r="M639">
        <v>737.28</v>
      </c>
      <c r="N639">
        <v>653.61</v>
      </c>
      <c r="O639">
        <v>83.67</v>
      </c>
      <c r="P639">
        <v>0.23</v>
      </c>
      <c r="Q639" t="s">
        <v>38</v>
      </c>
    </row>
    <row r="640" spans="1:17" x14ac:dyDescent="0.25">
      <c r="A640">
        <v>1638</v>
      </c>
      <c r="B640" s="1">
        <v>44946</v>
      </c>
      <c r="C640" t="s">
        <v>279</v>
      </c>
      <c r="D640" t="s">
        <v>17</v>
      </c>
      <c r="E640" t="s">
        <v>26</v>
      </c>
      <c r="F640" t="s">
        <v>34</v>
      </c>
      <c r="G640" t="s">
        <v>35</v>
      </c>
      <c r="H640" t="s">
        <v>36</v>
      </c>
      <c r="I640" t="s">
        <v>87</v>
      </c>
      <c r="J640">
        <v>10</v>
      </c>
      <c r="K640">
        <v>447.01</v>
      </c>
      <c r="L640">
        <v>349.75</v>
      </c>
      <c r="M640">
        <v>3665.48</v>
      </c>
      <c r="N640">
        <v>3497.5</v>
      </c>
      <c r="O640">
        <v>167.98</v>
      </c>
      <c r="P640">
        <v>0.18</v>
      </c>
      <c r="Q640" t="s">
        <v>75</v>
      </c>
    </row>
    <row r="641" spans="1:17" x14ac:dyDescent="0.25">
      <c r="A641">
        <v>1639</v>
      </c>
      <c r="B641" s="1">
        <v>45530</v>
      </c>
      <c r="C641" t="s">
        <v>120</v>
      </c>
      <c r="D641" t="s">
        <v>25</v>
      </c>
      <c r="E641" t="s">
        <v>18</v>
      </c>
      <c r="F641" t="s">
        <v>27</v>
      </c>
      <c r="G641" t="s">
        <v>20</v>
      </c>
      <c r="H641" t="s">
        <v>28</v>
      </c>
      <c r="I641" t="s">
        <v>90</v>
      </c>
      <c r="J641">
        <v>9</v>
      </c>
      <c r="K641">
        <v>320.8</v>
      </c>
      <c r="L641">
        <v>189.28</v>
      </c>
      <c r="M641">
        <v>2800.58</v>
      </c>
      <c r="N641">
        <v>1703.52</v>
      </c>
      <c r="O641">
        <v>1097.06</v>
      </c>
      <c r="P641">
        <v>0.03</v>
      </c>
      <c r="Q641" t="s">
        <v>44</v>
      </c>
    </row>
    <row r="642" spans="1:17" x14ac:dyDescent="0.25">
      <c r="A642">
        <v>1640</v>
      </c>
      <c r="B642" s="1">
        <v>45481</v>
      </c>
      <c r="C642" t="s">
        <v>286</v>
      </c>
      <c r="D642" t="s">
        <v>25</v>
      </c>
      <c r="E642" t="s">
        <v>26</v>
      </c>
      <c r="F642" t="s">
        <v>40</v>
      </c>
      <c r="G642" t="s">
        <v>20</v>
      </c>
      <c r="H642" t="s">
        <v>21</v>
      </c>
      <c r="I642" t="s">
        <v>54</v>
      </c>
      <c r="J642">
        <v>7</v>
      </c>
      <c r="K642">
        <v>680.22</v>
      </c>
      <c r="L642">
        <v>354.14</v>
      </c>
      <c r="M642">
        <v>3380.69</v>
      </c>
      <c r="N642">
        <v>2478.98</v>
      </c>
      <c r="O642">
        <v>901.71</v>
      </c>
      <c r="P642">
        <v>0.28999999999999998</v>
      </c>
      <c r="Q642" t="s">
        <v>92</v>
      </c>
    </row>
    <row r="643" spans="1:17" x14ac:dyDescent="0.25">
      <c r="A643">
        <v>1641</v>
      </c>
      <c r="B643" s="1">
        <v>44954</v>
      </c>
      <c r="C643" t="s">
        <v>203</v>
      </c>
      <c r="D643" t="s">
        <v>32</v>
      </c>
      <c r="E643" t="s">
        <v>53</v>
      </c>
      <c r="F643" t="s">
        <v>34</v>
      </c>
      <c r="G643" t="s">
        <v>35</v>
      </c>
      <c r="H643" t="s">
        <v>36</v>
      </c>
      <c r="I643" t="s">
        <v>37</v>
      </c>
      <c r="J643">
        <v>6</v>
      </c>
      <c r="K643">
        <v>261.64</v>
      </c>
      <c r="L643">
        <v>217.04</v>
      </c>
      <c r="M643">
        <v>1145.98</v>
      </c>
      <c r="N643">
        <v>1302.24</v>
      </c>
      <c r="O643">
        <v>-156.26</v>
      </c>
      <c r="P643">
        <v>0.27</v>
      </c>
      <c r="Q643" t="s">
        <v>51</v>
      </c>
    </row>
    <row r="644" spans="1:17" x14ac:dyDescent="0.25">
      <c r="A644">
        <v>1642</v>
      </c>
      <c r="B644" s="1">
        <v>45134</v>
      </c>
      <c r="C644" t="s">
        <v>31</v>
      </c>
      <c r="D644" t="s">
        <v>17</v>
      </c>
      <c r="E644" t="s">
        <v>26</v>
      </c>
      <c r="F644" t="s">
        <v>27</v>
      </c>
      <c r="G644" t="s">
        <v>41</v>
      </c>
      <c r="H644" t="s">
        <v>63</v>
      </c>
      <c r="I644" t="s">
        <v>117</v>
      </c>
      <c r="J644">
        <v>2</v>
      </c>
      <c r="K644">
        <v>272.94</v>
      </c>
      <c r="L644">
        <v>166.88</v>
      </c>
      <c r="M644">
        <v>453.08</v>
      </c>
      <c r="N644">
        <v>333.76</v>
      </c>
      <c r="O644">
        <v>119.32</v>
      </c>
      <c r="P644">
        <v>0.17</v>
      </c>
      <c r="Q644" t="s">
        <v>44</v>
      </c>
    </row>
    <row r="645" spans="1:17" x14ac:dyDescent="0.25">
      <c r="A645">
        <v>1643</v>
      </c>
      <c r="B645" s="1">
        <v>45422</v>
      </c>
      <c r="C645" t="s">
        <v>287</v>
      </c>
      <c r="D645" t="s">
        <v>17</v>
      </c>
      <c r="E645" t="s">
        <v>26</v>
      </c>
      <c r="F645" t="s">
        <v>34</v>
      </c>
      <c r="G645" t="s">
        <v>35</v>
      </c>
      <c r="H645" t="s">
        <v>70</v>
      </c>
      <c r="I645" t="s">
        <v>84</v>
      </c>
      <c r="J645">
        <v>2</v>
      </c>
      <c r="K645">
        <v>250.08</v>
      </c>
      <c r="L645">
        <v>173.59</v>
      </c>
      <c r="M645">
        <v>380.12</v>
      </c>
      <c r="N645">
        <v>347.18</v>
      </c>
      <c r="O645">
        <v>32.94</v>
      </c>
      <c r="P645">
        <v>0.24</v>
      </c>
      <c r="Q645" t="s">
        <v>30</v>
      </c>
    </row>
    <row r="646" spans="1:17" x14ac:dyDescent="0.25">
      <c r="A646">
        <v>1644</v>
      </c>
      <c r="B646" s="1">
        <v>45508</v>
      </c>
      <c r="C646" t="s">
        <v>78</v>
      </c>
      <c r="D646" t="s">
        <v>25</v>
      </c>
      <c r="E646" t="s">
        <v>26</v>
      </c>
      <c r="F646" t="s">
        <v>19</v>
      </c>
      <c r="G646" t="s">
        <v>35</v>
      </c>
      <c r="H646" t="s">
        <v>70</v>
      </c>
      <c r="I646" t="s">
        <v>98</v>
      </c>
      <c r="J646">
        <v>4</v>
      </c>
      <c r="K646">
        <v>539.85</v>
      </c>
      <c r="L646">
        <v>349.99</v>
      </c>
      <c r="M646">
        <v>1576.36</v>
      </c>
      <c r="N646">
        <v>1399.96</v>
      </c>
      <c r="O646">
        <v>176.4</v>
      </c>
      <c r="P646">
        <v>0.27</v>
      </c>
      <c r="Q646" t="s">
        <v>55</v>
      </c>
    </row>
    <row r="647" spans="1:17" x14ac:dyDescent="0.25">
      <c r="A647">
        <v>1645</v>
      </c>
      <c r="B647" s="1">
        <v>44969</v>
      </c>
      <c r="C647" t="s">
        <v>191</v>
      </c>
      <c r="D647" t="s">
        <v>32</v>
      </c>
      <c r="E647" t="s">
        <v>18</v>
      </c>
      <c r="F647" t="s">
        <v>19</v>
      </c>
      <c r="G647" t="s">
        <v>20</v>
      </c>
      <c r="H647" t="s">
        <v>21</v>
      </c>
      <c r="I647" t="s">
        <v>79</v>
      </c>
      <c r="J647">
        <v>5</v>
      </c>
      <c r="K647">
        <v>599.88</v>
      </c>
      <c r="L647">
        <v>476.2</v>
      </c>
      <c r="M647">
        <v>2669.47</v>
      </c>
      <c r="N647">
        <v>2381</v>
      </c>
      <c r="O647">
        <v>288.47000000000003</v>
      </c>
      <c r="P647">
        <v>0.11</v>
      </c>
      <c r="Q647" t="s">
        <v>85</v>
      </c>
    </row>
    <row r="648" spans="1:17" x14ac:dyDescent="0.25">
      <c r="A648">
        <v>1646</v>
      </c>
      <c r="B648" s="1">
        <v>45574</v>
      </c>
      <c r="C648" t="s">
        <v>83</v>
      </c>
      <c r="D648" t="s">
        <v>17</v>
      </c>
      <c r="E648" t="s">
        <v>18</v>
      </c>
      <c r="F648" t="s">
        <v>34</v>
      </c>
      <c r="G648" t="s">
        <v>20</v>
      </c>
      <c r="H648" t="s">
        <v>113</v>
      </c>
      <c r="I648" t="s">
        <v>161</v>
      </c>
      <c r="J648">
        <v>10</v>
      </c>
      <c r="K648">
        <v>74.59</v>
      </c>
      <c r="L648">
        <v>39.64</v>
      </c>
      <c r="M648">
        <v>589.26</v>
      </c>
      <c r="N648">
        <v>396.4</v>
      </c>
      <c r="O648">
        <v>192.86</v>
      </c>
      <c r="P648">
        <v>0.21</v>
      </c>
      <c r="Q648" t="s">
        <v>92</v>
      </c>
    </row>
    <row r="649" spans="1:17" x14ac:dyDescent="0.25">
      <c r="A649">
        <v>1647</v>
      </c>
      <c r="B649" s="1">
        <v>45496</v>
      </c>
      <c r="C649" t="s">
        <v>144</v>
      </c>
      <c r="D649" t="s">
        <v>32</v>
      </c>
      <c r="E649" t="s">
        <v>26</v>
      </c>
      <c r="F649" t="s">
        <v>40</v>
      </c>
      <c r="G649" t="s">
        <v>41</v>
      </c>
      <c r="H649" t="s">
        <v>46</v>
      </c>
      <c r="I649" t="s">
        <v>102</v>
      </c>
      <c r="J649">
        <v>5</v>
      </c>
      <c r="K649">
        <v>979.74</v>
      </c>
      <c r="L649">
        <v>732.57</v>
      </c>
      <c r="M649">
        <v>4506.8</v>
      </c>
      <c r="N649">
        <v>3662.85</v>
      </c>
      <c r="O649">
        <v>843.95</v>
      </c>
      <c r="P649">
        <v>0.08</v>
      </c>
      <c r="Q649" t="s">
        <v>85</v>
      </c>
    </row>
    <row r="650" spans="1:17" x14ac:dyDescent="0.25">
      <c r="A650">
        <v>1648</v>
      </c>
      <c r="B650" s="1">
        <v>45276</v>
      </c>
      <c r="C650" t="s">
        <v>267</v>
      </c>
      <c r="D650" t="s">
        <v>17</v>
      </c>
      <c r="E650" t="s">
        <v>18</v>
      </c>
      <c r="F650" t="s">
        <v>34</v>
      </c>
      <c r="G650" t="s">
        <v>41</v>
      </c>
      <c r="H650" t="s">
        <v>42</v>
      </c>
      <c r="I650" t="s">
        <v>43</v>
      </c>
      <c r="J650">
        <v>1</v>
      </c>
      <c r="K650">
        <v>610.74</v>
      </c>
      <c r="L650">
        <v>306.27999999999997</v>
      </c>
      <c r="M650">
        <v>610.74</v>
      </c>
      <c r="N650">
        <v>306.27999999999997</v>
      </c>
      <c r="O650">
        <v>304.45999999999998</v>
      </c>
      <c r="P650">
        <v>0</v>
      </c>
      <c r="Q650" t="s">
        <v>92</v>
      </c>
    </row>
    <row r="651" spans="1:17" x14ac:dyDescent="0.25">
      <c r="A651">
        <v>1649</v>
      </c>
      <c r="B651" s="1">
        <v>45350</v>
      </c>
      <c r="C651" t="s">
        <v>224</v>
      </c>
      <c r="D651" t="s">
        <v>17</v>
      </c>
      <c r="E651" t="s">
        <v>53</v>
      </c>
      <c r="F651" t="s">
        <v>27</v>
      </c>
      <c r="G651" t="s">
        <v>41</v>
      </c>
      <c r="H651" t="s">
        <v>42</v>
      </c>
      <c r="I651" t="s">
        <v>43</v>
      </c>
      <c r="J651">
        <v>2</v>
      </c>
      <c r="K651">
        <v>540.96</v>
      </c>
      <c r="L651">
        <v>439.48</v>
      </c>
      <c r="M651">
        <v>822.26</v>
      </c>
      <c r="N651">
        <v>878.96</v>
      </c>
      <c r="O651">
        <v>-56.7</v>
      </c>
      <c r="P651">
        <v>0.24</v>
      </c>
      <c r="Q651" t="s">
        <v>55</v>
      </c>
    </row>
    <row r="652" spans="1:17" x14ac:dyDescent="0.25">
      <c r="A652">
        <v>1650</v>
      </c>
      <c r="B652" s="1">
        <v>45615</v>
      </c>
      <c r="C652" t="s">
        <v>210</v>
      </c>
      <c r="D652" t="s">
        <v>32</v>
      </c>
      <c r="E652" t="s">
        <v>18</v>
      </c>
      <c r="F652" t="s">
        <v>27</v>
      </c>
      <c r="G652" t="s">
        <v>20</v>
      </c>
      <c r="H652" t="s">
        <v>113</v>
      </c>
      <c r="I652" t="s">
        <v>114</v>
      </c>
      <c r="J652">
        <v>2</v>
      </c>
      <c r="K652">
        <v>465.38</v>
      </c>
      <c r="L652">
        <v>385.19</v>
      </c>
      <c r="M652">
        <v>809.76</v>
      </c>
      <c r="N652">
        <v>770.38</v>
      </c>
      <c r="O652">
        <v>39.380000000000003</v>
      </c>
      <c r="P652">
        <v>0.13</v>
      </c>
      <c r="Q652" t="s">
        <v>23</v>
      </c>
    </row>
    <row r="653" spans="1:17" x14ac:dyDescent="0.25">
      <c r="A653">
        <v>1651</v>
      </c>
      <c r="B653" s="1">
        <v>44947</v>
      </c>
      <c r="C653" t="s">
        <v>263</v>
      </c>
      <c r="D653" t="s">
        <v>17</v>
      </c>
      <c r="E653" t="s">
        <v>18</v>
      </c>
      <c r="F653" t="s">
        <v>19</v>
      </c>
      <c r="G653" t="s">
        <v>20</v>
      </c>
      <c r="H653" t="s">
        <v>113</v>
      </c>
      <c r="I653" t="s">
        <v>161</v>
      </c>
      <c r="J653">
        <v>5</v>
      </c>
      <c r="K653">
        <v>809.37</v>
      </c>
      <c r="L653">
        <v>467.33</v>
      </c>
      <c r="M653">
        <v>2873.26</v>
      </c>
      <c r="N653">
        <v>2336.65</v>
      </c>
      <c r="O653">
        <v>536.61</v>
      </c>
      <c r="P653">
        <v>0.28999999999999998</v>
      </c>
      <c r="Q653" t="s">
        <v>85</v>
      </c>
    </row>
    <row r="654" spans="1:17" x14ac:dyDescent="0.25">
      <c r="A654">
        <v>1652</v>
      </c>
      <c r="B654" s="1">
        <v>44964</v>
      </c>
      <c r="C654" t="s">
        <v>76</v>
      </c>
      <c r="D654" t="s">
        <v>17</v>
      </c>
      <c r="E654" t="s">
        <v>26</v>
      </c>
      <c r="F654" t="s">
        <v>34</v>
      </c>
      <c r="G654" t="s">
        <v>20</v>
      </c>
      <c r="H654" t="s">
        <v>113</v>
      </c>
      <c r="I654" t="s">
        <v>153</v>
      </c>
      <c r="J654">
        <v>2</v>
      </c>
      <c r="K654">
        <v>870.57</v>
      </c>
      <c r="L654">
        <v>608.69000000000005</v>
      </c>
      <c r="M654">
        <v>1479.97</v>
      </c>
      <c r="N654">
        <v>1217.3800000000001</v>
      </c>
      <c r="O654">
        <v>262.58999999999997</v>
      </c>
      <c r="P654">
        <v>0.15</v>
      </c>
      <c r="Q654" t="s">
        <v>38</v>
      </c>
    </row>
    <row r="655" spans="1:17" x14ac:dyDescent="0.25">
      <c r="A655">
        <v>1653</v>
      </c>
      <c r="B655" s="1">
        <v>45125</v>
      </c>
      <c r="C655" t="s">
        <v>175</v>
      </c>
      <c r="D655" t="s">
        <v>17</v>
      </c>
      <c r="E655" t="s">
        <v>26</v>
      </c>
      <c r="F655" t="s">
        <v>34</v>
      </c>
      <c r="G655" t="s">
        <v>41</v>
      </c>
      <c r="H655" t="s">
        <v>42</v>
      </c>
      <c r="I655" t="s">
        <v>43</v>
      </c>
      <c r="J655">
        <v>2</v>
      </c>
      <c r="K655">
        <v>131.79</v>
      </c>
      <c r="L655">
        <v>108.96</v>
      </c>
      <c r="M655">
        <v>195.05</v>
      </c>
      <c r="N655">
        <v>217.92</v>
      </c>
      <c r="O655">
        <v>-22.87</v>
      </c>
      <c r="P655">
        <v>0.26</v>
      </c>
      <c r="Q655" t="s">
        <v>38</v>
      </c>
    </row>
    <row r="656" spans="1:17" x14ac:dyDescent="0.25">
      <c r="A656">
        <v>1654</v>
      </c>
      <c r="B656" s="1">
        <v>45207</v>
      </c>
      <c r="C656" t="s">
        <v>110</v>
      </c>
      <c r="D656" t="s">
        <v>17</v>
      </c>
      <c r="E656" t="s">
        <v>33</v>
      </c>
      <c r="F656" t="s">
        <v>40</v>
      </c>
      <c r="G656" t="s">
        <v>41</v>
      </c>
      <c r="H656" t="s">
        <v>63</v>
      </c>
      <c r="I656" t="s">
        <v>117</v>
      </c>
      <c r="J656">
        <v>1</v>
      </c>
      <c r="K656">
        <v>938.2</v>
      </c>
      <c r="L656">
        <v>679.57</v>
      </c>
      <c r="M656">
        <v>675.5</v>
      </c>
      <c r="N656">
        <v>679.57</v>
      </c>
      <c r="O656">
        <v>-4.07</v>
      </c>
      <c r="P656">
        <v>0.28000000000000003</v>
      </c>
      <c r="Q656" t="s">
        <v>51</v>
      </c>
    </row>
    <row r="657" spans="1:17" x14ac:dyDescent="0.25">
      <c r="A657">
        <v>1655</v>
      </c>
      <c r="B657" s="1">
        <v>45257</v>
      </c>
      <c r="C657" t="s">
        <v>147</v>
      </c>
      <c r="D657" t="s">
        <v>32</v>
      </c>
      <c r="E657" t="s">
        <v>18</v>
      </c>
      <c r="F657" t="s">
        <v>34</v>
      </c>
      <c r="G657" t="s">
        <v>41</v>
      </c>
      <c r="H657" t="s">
        <v>63</v>
      </c>
      <c r="I657" t="s">
        <v>117</v>
      </c>
      <c r="J657">
        <v>8</v>
      </c>
      <c r="K657">
        <v>364.66</v>
      </c>
      <c r="L657">
        <v>279.2</v>
      </c>
      <c r="M657">
        <v>2129.61</v>
      </c>
      <c r="N657">
        <v>2233.6</v>
      </c>
      <c r="O657">
        <v>-103.99</v>
      </c>
      <c r="P657">
        <v>0.27</v>
      </c>
      <c r="Q657" t="s">
        <v>23</v>
      </c>
    </row>
    <row r="658" spans="1:17" x14ac:dyDescent="0.25">
      <c r="A658">
        <v>1656</v>
      </c>
      <c r="B658" s="1">
        <v>44975</v>
      </c>
      <c r="C658" t="s">
        <v>144</v>
      </c>
      <c r="D658" t="s">
        <v>32</v>
      </c>
      <c r="E658" t="s">
        <v>53</v>
      </c>
      <c r="F658" t="s">
        <v>40</v>
      </c>
      <c r="G658" t="s">
        <v>20</v>
      </c>
      <c r="H658" t="s">
        <v>28</v>
      </c>
      <c r="I658" t="s">
        <v>81</v>
      </c>
      <c r="J658">
        <v>6</v>
      </c>
      <c r="K658">
        <v>86.4</v>
      </c>
      <c r="L658">
        <v>60.49</v>
      </c>
      <c r="M658">
        <v>513.22</v>
      </c>
      <c r="N658">
        <v>362.94</v>
      </c>
      <c r="O658">
        <v>150.28</v>
      </c>
      <c r="P658">
        <v>0.01</v>
      </c>
      <c r="Q658" t="s">
        <v>23</v>
      </c>
    </row>
    <row r="659" spans="1:17" x14ac:dyDescent="0.25">
      <c r="A659">
        <v>1657</v>
      </c>
      <c r="B659" s="1">
        <v>45633</v>
      </c>
      <c r="C659" t="s">
        <v>225</v>
      </c>
      <c r="D659" t="s">
        <v>25</v>
      </c>
      <c r="E659" t="s">
        <v>26</v>
      </c>
      <c r="F659" t="s">
        <v>19</v>
      </c>
      <c r="G659" t="s">
        <v>35</v>
      </c>
      <c r="H659" t="s">
        <v>49</v>
      </c>
      <c r="I659" t="s">
        <v>66</v>
      </c>
      <c r="J659">
        <v>2</v>
      </c>
      <c r="K659">
        <v>32.729999999999997</v>
      </c>
      <c r="L659">
        <v>21.31</v>
      </c>
      <c r="M659">
        <v>64.81</v>
      </c>
      <c r="N659">
        <v>42.62</v>
      </c>
      <c r="O659">
        <v>22.19</v>
      </c>
      <c r="P659">
        <v>0.01</v>
      </c>
      <c r="Q659" t="s">
        <v>85</v>
      </c>
    </row>
    <row r="660" spans="1:17" x14ac:dyDescent="0.25">
      <c r="A660">
        <v>1658</v>
      </c>
      <c r="B660" s="1">
        <v>45183</v>
      </c>
      <c r="C660" t="s">
        <v>236</v>
      </c>
      <c r="D660" t="s">
        <v>32</v>
      </c>
      <c r="E660" t="s">
        <v>26</v>
      </c>
      <c r="F660" t="s">
        <v>40</v>
      </c>
      <c r="G660" t="s">
        <v>20</v>
      </c>
      <c r="H660" t="s">
        <v>28</v>
      </c>
      <c r="I660" t="s">
        <v>81</v>
      </c>
      <c r="J660">
        <v>2</v>
      </c>
      <c r="K660">
        <v>776.87</v>
      </c>
      <c r="L660">
        <v>556.9</v>
      </c>
      <c r="M660">
        <v>1196.3800000000001</v>
      </c>
      <c r="N660">
        <v>1113.8</v>
      </c>
      <c r="O660">
        <v>82.58</v>
      </c>
      <c r="P660">
        <v>0.23</v>
      </c>
      <c r="Q660" t="s">
        <v>55</v>
      </c>
    </row>
    <row r="661" spans="1:17" x14ac:dyDescent="0.25">
      <c r="A661">
        <v>1659</v>
      </c>
      <c r="B661" s="1">
        <v>45519</v>
      </c>
      <c r="C661" t="s">
        <v>251</v>
      </c>
      <c r="D661" t="s">
        <v>25</v>
      </c>
      <c r="E661" t="s">
        <v>33</v>
      </c>
      <c r="F661" t="s">
        <v>27</v>
      </c>
      <c r="G661" t="s">
        <v>35</v>
      </c>
      <c r="H661" t="s">
        <v>70</v>
      </c>
      <c r="I661" t="s">
        <v>98</v>
      </c>
      <c r="J661">
        <v>3</v>
      </c>
      <c r="K661">
        <v>66.69</v>
      </c>
      <c r="L661">
        <v>52.07</v>
      </c>
      <c r="M661">
        <v>196.07</v>
      </c>
      <c r="N661">
        <v>156.21</v>
      </c>
      <c r="O661">
        <v>39.86</v>
      </c>
      <c r="P661">
        <v>0.02</v>
      </c>
      <c r="Q661" t="s">
        <v>125</v>
      </c>
    </row>
    <row r="662" spans="1:17" x14ac:dyDescent="0.25">
      <c r="A662">
        <v>1660</v>
      </c>
      <c r="B662" s="1">
        <v>45568</v>
      </c>
      <c r="C662" t="s">
        <v>225</v>
      </c>
      <c r="D662" t="s">
        <v>25</v>
      </c>
      <c r="E662" t="s">
        <v>33</v>
      </c>
      <c r="F662" t="s">
        <v>34</v>
      </c>
      <c r="G662" t="s">
        <v>35</v>
      </c>
      <c r="H662" t="s">
        <v>49</v>
      </c>
      <c r="I662" t="s">
        <v>50</v>
      </c>
      <c r="J662">
        <v>2</v>
      </c>
      <c r="K662">
        <v>619.22</v>
      </c>
      <c r="L662">
        <v>398.71</v>
      </c>
      <c r="M662">
        <v>916.45</v>
      </c>
      <c r="N662">
        <v>797.42</v>
      </c>
      <c r="O662">
        <v>119.03</v>
      </c>
      <c r="P662">
        <v>0.26</v>
      </c>
      <c r="Q662" t="s">
        <v>125</v>
      </c>
    </row>
    <row r="663" spans="1:17" x14ac:dyDescent="0.25">
      <c r="A663">
        <v>1661</v>
      </c>
      <c r="B663" s="1">
        <v>44937</v>
      </c>
      <c r="C663" t="s">
        <v>119</v>
      </c>
      <c r="D663" t="s">
        <v>32</v>
      </c>
      <c r="E663" t="s">
        <v>53</v>
      </c>
      <c r="F663" t="s">
        <v>34</v>
      </c>
      <c r="G663" t="s">
        <v>35</v>
      </c>
      <c r="H663" t="s">
        <v>70</v>
      </c>
      <c r="I663" t="s">
        <v>84</v>
      </c>
      <c r="J663">
        <v>1</v>
      </c>
      <c r="K663">
        <v>456.81</v>
      </c>
      <c r="L663">
        <v>280.88</v>
      </c>
      <c r="M663">
        <v>429.4</v>
      </c>
      <c r="N663">
        <v>280.88</v>
      </c>
      <c r="O663">
        <v>148.52000000000001</v>
      </c>
      <c r="P663">
        <v>0.06</v>
      </c>
      <c r="Q663" t="s">
        <v>44</v>
      </c>
    </row>
    <row r="664" spans="1:17" x14ac:dyDescent="0.25">
      <c r="A664">
        <v>1662</v>
      </c>
      <c r="B664" s="1">
        <v>44939</v>
      </c>
      <c r="C664" t="s">
        <v>130</v>
      </c>
      <c r="D664" t="s">
        <v>25</v>
      </c>
      <c r="E664" t="s">
        <v>26</v>
      </c>
      <c r="F664" t="s">
        <v>19</v>
      </c>
      <c r="G664" t="s">
        <v>41</v>
      </c>
      <c r="H664" t="s">
        <v>63</v>
      </c>
      <c r="I664" t="s">
        <v>117</v>
      </c>
      <c r="J664">
        <v>6</v>
      </c>
      <c r="K664">
        <v>423.9</v>
      </c>
      <c r="L664">
        <v>319.45999999999998</v>
      </c>
      <c r="M664">
        <v>2212.7600000000002</v>
      </c>
      <c r="N664">
        <v>1916.76</v>
      </c>
      <c r="O664">
        <v>296</v>
      </c>
      <c r="P664">
        <v>0.13</v>
      </c>
      <c r="Q664" t="s">
        <v>23</v>
      </c>
    </row>
    <row r="665" spans="1:17" x14ac:dyDescent="0.25">
      <c r="A665">
        <v>1663</v>
      </c>
      <c r="B665" s="1">
        <v>45067</v>
      </c>
      <c r="C665" t="s">
        <v>200</v>
      </c>
      <c r="D665" t="s">
        <v>25</v>
      </c>
      <c r="E665" t="s">
        <v>26</v>
      </c>
      <c r="F665" t="s">
        <v>40</v>
      </c>
      <c r="G665" t="s">
        <v>41</v>
      </c>
      <c r="H665" t="s">
        <v>46</v>
      </c>
      <c r="I665" t="s">
        <v>102</v>
      </c>
      <c r="J665">
        <v>6</v>
      </c>
      <c r="K665">
        <v>314.63</v>
      </c>
      <c r="L665">
        <v>254.8</v>
      </c>
      <c r="M665">
        <v>1453.59</v>
      </c>
      <c r="N665">
        <v>1528.8</v>
      </c>
      <c r="O665">
        <v>-75.209999999999994</v>
      </c>
      <c r="P665">
        <v>0.23</v>
      </c>
      <c r="Q665" t="s">
        <v>92</v>
      </c>
    </row>
    <row r="666" spans="1:17" x14ac:dyDescent="0.25">
      <c r="A666">
        <v>1664</v>
      </c>
      <c r="B666" s="1">
        <v>45407</v>
      </c>
      <c r="C666" t="s">
        <v>198</v>
      </c>
      <c r="D666" t="s">
        <v>32</v>
      </c>
      <c r="E666" t="s">
        <v>18</v>
      </c>
      <c r="F666" t="s">
        <v>40</v>
      </c>
      <c r="G666" t="s">
        <v>20</v>
      </c>
      <c r="H666" t="s">
        <v>113</v>
      </c>
      <c r="I666" t="s">
        <v>161</v>
      </c>
      <c r="J666">
        <v>3</v>
      </c>
      <c r="K666">
        <v>62.03</v>
      </c>
      <c r="L666">
        <v>42.02</v>
      </c>
      <c r="M666">
        <v>139.57</v>
      </c>
      <c r="N666">
        <v>126.06</v>
      </c>
      <c r="O666">
        <v>13.51</v>
      </c>
      <c r="P666">
        <v>0.25</v>
      </c>
      <c r="Q666" t="s">
        <v>51</v>
      </c>
    </row>
    <row r="667" spans="1:17" x14ac:dyDescent="0.25">
      <c r="A667">
        <v>1665</v>
      </c>
      <c r="B667" s="1">
        <v>45359</v>
      </c>
      <c r="C667" t="s">
        <v>180</v>
      </c>
      <c r="D667" t="s">
        <v>25</v>
      </c>
      <c r="E667" t="s">
        <v>26</v>
      </c>
      <c r="F667" t="s">
        <v>34</v>
      </c>
      <c r="G667" t="s">
        <v>35</v>
      </c>
      <c r="H667" t="s">
        <v>36</v>
      </c>
      <c r="I667" t="s">
        <v>100</v>
      </c>
      <c r="J667">
        <v>8</v>
      </c>
      <c r="K667">
        <v>696.31</v>
      </c>
      <c r="L667">
        <v>587.46</v>
      </c>
      <c r="M667">
        <v>4567.79</v>
      </c>
      <c r="N667">
        <v>4699.68</v>
      </c>
      <c r="O667">
        <v>-131.88999999999999</v>
      </c>
      <c r="P667">
        <v>0.18</v>
      </c>
      <c r="Q667" t="s">
        <v>85</v>
      </c>
    </row>
    <row r="668" spans="1:17" x14ac:dyDescent="0.25">
      <c r="A668">
        <v>1666</v>
      </c>
      <c r="B668" s="1">
        <v>45519</v>
      </c>
      <c r="C668" t="s">
        <v>65</v>
      </c>
      <c r="D668" t="s">
        <v>17</v>
      </c>
      <c r="E668" t="s">
        <v>18</v>
      </c>
      <c r="F668" t="s">
        <v>27</v>
      </c>
      <c r="G668" t="s">
        <v>35</v>
      </c>
      <c r="H668" t="s">
        <v>36</v>
      </c>
      <c r="I668" t="s">
        <v>87</v>
      </c>
      <c r="J668">
        <v>8</v>
      </c>
      <c r="K668">
        <v>876.72</v>
      </c>
      <c r="L668">
        <v>717.76</v>
      </c>
      <c r="M668">
        <v>5961.7</v>
      </c>
      <c r="N668">
        <v>5742.08</v>
      </c>
      <c r="O668">
        <v>219.62</v>
      </c>
      <c r="P668">
        <v>0.15</v>
      </c>
      <c r="Q668" t="s">
        <v>51</v>
      </c>
    </row>
    <row r="669" spans="1:17" x14ac:dyDescent="0.25">
      <c r="A669">
        <v>1667</v>
      </c>
      <c r="B669" s="1">
        <v>45581</v>
      </c>
      <c r="C669" t="s">
        <v>69</v>
      </c>
      <c r="D669" t="s">
        <v>25</v>
      </c>
      <c r="E669" t="s">
        <v>53</v>
      </c>
      <c r="F669" t="s">
        <v>19</v>
      </c>
      <c r="G669" t="s">
        <v>20</v>
      </c>
      <c r="H669" t="s">
        <v>28</v>
      </c>
      <c r="I669" t="s">
        <v>29</v>
      </c>
      <c r="J669">
        <v>7</v>
      </c>
      <c r="K669">
        <v>209.29</v>
      </c>
      <c r="L669">
        <v>118.14</v>
      </c>
      <c r="M669">
        <v>1025.52</v>
      </c>
      <c r="N669">
        <v>826.98</v>
      </c>
      <c r="O669">
        <v>198.54</v>
      </c>
      <c r="P669">
        <v>0.3</v>
      </c>
      <c r="Q669" t="s">
        <v>85</v>
      </c>
    </row>
    <row r="670" spans="1:17" x14ac:dyDescent="0.25">
      <c r="A670">
        <v>1668</v>
      </c>
      <c r="B670" s="1">
        <v>44937</v>
      </c>
      <c r="C670" t="s">
        <v>210</v>
      </c>
      <c r="D670" t="s">
        <v>25</v>
      </c>
      <c r="E670" t="s">
        <v>33</v>
      </c>
      <c r="F670" t="s">
        <v>19</v>
      </c>
      <c r="G670" t="s">
        <v>35</v>
      </c>
      <c r="H670" t="s">
        <v>49</v>
      </c>
      <c r="I670" t="s">
        <v>66</v>
      </c>
      <c r="J670">
        <v>10</v>
      </c>
      <c r="K670">
        <v>913.15</v>
      </c>
      <c r="L670">
        <v>571.6</v>
      </c>
      <c r="M670">
        <v>6483.36</v>
      </c>
      <c r="N670">
        <v>5716</v>
      </c>
      <c r="O670">
        <v>767.36</v>
      </c>
      <c r="P670">
        <v>0.28999999999999998</v>
      </c>
      <c r="Q670" t="s">
        <v>23</v>
      </c>
    </row>
    <row r="671" spans="1:17" x14ac:dyDescent="0.25">
      <c r="A671">
        <v>1669</v>
      </c>
      <c r="B671" s="1">
        <v>45129</v>
      </c>
      <c r="C671" t="s">
        <v>56</v>
      </c>
      <c r="D671" t="s">
        <v>25</v>
      </c>
      <c r="E671" t="s">
        <v>18</v>
      </c>
      <c r="F671" t="s">
        <v>19</v>
      </c>
      <c r="G671" t="s">
        <v>35</v>
      </c>
      <c r="H671" t="s">
        <v>70</v>
      </c>
      <c r="I671" t="s">
        <v>98</v>
      </c>
      <c r="J671">
        <v>3</v>
      </c>
      <c r="K671">
        <v>200.01</v>
      </c>
      <c r="L671">
        <v>112.33</v>
      </c>
      <c r="M671">
        <v>552.03</v>
      </c>
      <c r="N671">
        <v>336.99</v>
      </c>
      <c r="O671">
        <v>215.04</v>
      </c>
      <c r="P671">
        <v>0.08</v>
      </c>
      <c r="Q671" t="s">
        <v>44</v>
      </c>
    </row>
    <row r="672" spans="1:17" x14ac:dyDescent="0.25">
      <c r="A672">
        <v>1670</v>
      </c>
      <c r="B672" s="1">
        <v>44948</v>
      </c>
      <c r="C672" t="s">
        <v>237</v>
      </c>
      <c r="D672" t="s">
        <v>25</v>
      </c>
      <c r="E672" t="s">
        <v>53</v>
      </c>
      <c r="F672" t="s">
        <v>34</v>
      </c>
      <c r="G672" t="s">
        <v>35</v>
      </c>
      <c r="H672" t="s">
        <v>36</v>
      </c>
      <c r="I672" t="s">
        <v>37</v>
      </c>
      <c r="J672">
        <v>8</v>
      </c>
      <c r="K672">
        <v>243.95</v>
      </c>
      <c r="L672">
        <v>191.09</v>
      </c>
      <c r="M672">
        <v>1561.28</v>
      </c>
      <c r="N672">
        <v>1528.72</v>
      </c>
      <c r="O672">
        <v>32.56</v>
      </c>
      <c r="P672">
        <v>0.2</v>
      </c>
      <c r="Q672" t="s">
        <v>38</v>
      </c>
    </row>
    <row r="673" spans="1:17" x14ac:dyDescent="0.25">
      <c r="A673">
        <v>1671</v>
      </c>
      <c r="B673" s="1">
        <v>45565</v>
      </c>
      <c r="C673" t="s">
        <v>39</v>
      </c>
      <c r="D673" t="s">
        <v>17</v>
      </c>
      <c r="E673" t="s">
        <v>33</v>
      </c>
      <c r="F673" t="s">
        <v>34</v>
      </c>
      <c r="G673" t="s">
        <v>20</v>
      </c>
      <c r="H673" t="s">
        <v>21</v>
      </c>
      <c r="I673" t="s">
        <v>132</v>
      </c>
      <c r="J673">
        <v>4</v>
      </c>
      <c r="K673">
        <v>534.89</v>
      </c>
      <c r="L673">
        <v>397.44</v>
      </c>
      <c r="M673">
        <v>1925.6</v>
      </c>
      <c r="N673">
        <v>1589.76</v>
      </c>
      <c r="O673">
        <v>335.84</v>
      </c>
      <c r="P673">
        <v>0.1</v>
      </c>
      <c r="Q673" t="s">
        <v>75</v>
      </c>
    </row>
    <row r="674" spans="1:17" x14ac:dyDescent="0.25">
      <c r="A674">
        <v>1672</v>
      </c>
      <c r="B674" s="1">
        <v>45578</v>
      </c>
      <c r="C674" t="s">
        <v>151</v>
      </c>
      <c r="D674" t="s">
        <v>25</v>
      </c>
      <c r="E674" t="s">
        <v>26</v>
      </c>
      <c r="F674" t="s">
        <v>40</v>
      </c>
      <c r="G674" t="s">
        <v>20</v>
      </c>
      <c r="H674" t="s">
        <v>28</v>
      </c>
      <c r="I674" t="s">
        <v>81</v>
      </c>
      <c r="J674">
        <v>1</v>
      </c>
      <c r="K674">
        <v>631.30999999999995</v>
      </c>
      <c r="L674">
        <v>377.54</v>
      </c>
      <c r="M674">
        <v>606.05999999999995</v>
      </c>
      <c r="N674">
        <v>377.54</v>
      </c>
      <c r="O674">
        <v>228.52</v>
      </c>
      <c r="P674">
        <v>0.04</v>
      </c>
      <c r="Q674" t="s">
        <v>38</v>
      </c>
    </row>
    <row r="675" spans="1:17" x14ac:dyDescent="0.25">
      <c r="A675">
        <v>1673</v>
      </c>
      <c r="B675" s="1">
        <v>45525</v>
      </c>
      <c r="C675" t="s">
        <v>158</v>
      </c>
      <c r="D675" t="s">
        <v>25</v>
      </c>
      <c r="E675" t="s">
        <v>33</v>
      </c>
      <c r="F675" t="s">
        <v>27</v>
      </c>
      <c r="G675" t="s">
        <v>41</v>
      </c>
      <c r="H675" t="s">
        <v>63</v>
      </c>
      <c r="I675" t="s">
        <v>141</v>
      </c>
      <c r="J675">
        <v>3</v>
      </c>
      <c r="K675">
        <v>511.07</v>
      </c>
      <c r="L675">
        <v>389.92</v>
      </c>
      <c r="M675">
        <v>1241.9000000000001</v>
      </c>
      <c r="N675">
        <v>1169.76</v>
      </c>
      <c r="O675">
        <v>72.14</v>
      </c>
      <c r="P675">
        <v>0.19</v>
      </c>
      <c r="Q675" t="s">
        <v>38</v>
      </c>
    </row>
    <row r="676" spans="1:17" x14ac:dyDescent="0.25">
      <c r="A676">
        <v>1674</v>
      </c>
      <c r="B676" s="1">
        <v>45310</v>
      </c>
      <c r="C676" t="s">
        <v>207</v>
      </c>
      <c r="D676" t="s">
        <v>32</v>
      </c>
      <c r="E676" t="s">
        <v>26</v>
      </c>
      <c r="F676" t="s">
        <v>40</v>
      </c>
      <c r="G676" t="s">
        <v>41</v>
      </c>
      <c r="H676" t="s">
        <v>46</v>
      </c>
      <c r="I676" t="s">
        <v>102</v>
      </c>
      <c r="J676">
        <v>8</v>
      </c>
      <c r="K676">
        <v>717.07</v>
      </c>
      <c r="L676">
        <v>482.72</v>
      </c>
      <c r="M676">
        <v>5277.64</v>
      </c>
      <c r="N676">
        <v>3861.76</v>
      </c>
      <c r="O676">
        <v>1415.88</v>
      </c>
      <c r="P676">
        <v>0.08</v>
      </c>
      <c r="Q676" t="s">
        <v>75</v>
      </c>
    </row>
    <row r="677" spans="1:17" x14ac:dyDescent="0.25">
      <c r="A677">
        <v>1675</v>
      </c>
      <c r="B677" s="1">
        <v>45580</v>
      </c>
      <c r="C677" t="s">
        <v>245</v>
      </c>
      <c r="D677" t="s">
        <v>17</v>
      </c>
      <c r="E677" t="s">
        <v>33</v>
      </c>
      <c r="F677" t="s">
        <v>19</v>
      </c>
      <c r="G677" t="s">
        <v>20</v>
      </c>
      <c r="H677" t="s">
        <v>21</v>
      </c>
      <c r="I677" t="s">
        <v>79</v>
      </c>
      <c r="J677">
        <v>4</v>
      </c>
      <c r="K677">
        <v>398.92</v>
      </c>
      <c r="L677">
        <v>242.18</v>
      </c>
      <c r="M677">
        <v>1164.8499999999999</v>
      </c>
      <c r="N677">
        <v>968.72</v>
      </c>
      <c r="O677">
        <v>196.13</v>
      </c>
      <c r="P677">
        <v>0.27</v>
      </c>
      <c r="Q677" t="s">
        <v>125</v>
      </c>
    </row>
    <row r="678" spans="1:17" x14ac:dyDescent="0.25">
      <c r="A678">
        <v>1676</v>
      </c>
      <c r="B678" s="1">
        <v>45087</v>
      </c>
      <c r="C678" t="s">
        <v>238</v>
      </c>
      <c r="D678" t="s">
        <v>32</v>
      </c>
      <c r="E678" t="s">
        <v>18</v>
      </c>
      <c r="F678" t="s">
        <v>34</v>
      </c>
      <c r="G678" t="s">
        <v>20</v>
      </c>
      <c r="H678" t="s">
        <v>21</v>
      </c>
      <c r="I678" t="s">
        <v>54</v>
      </c>
      <c r="J678">
        <v>8</v>
      </c>
      <c r="K678">
        <v>521.23</v>
      </c>
      <c r="L678">
        <v>302.61</v>
      </c>
      <c r="M678">
        <v>4128.1400000000003</v>
      </c>
      <c r="N678">
        <v>2420.88</v>
      </c>
      <c r="O678">
        <v>1707.26</v>
      </c>
      <c r="P678">
        <v>0.01</v>
      </c>
      <c r="Q678" t="s">
        <v>38</v>
      </c>
    </row>
    <row r="679" spans="1:17" x14ac:dyDescent="0.25">
      <c r="A679">
        <v>1677</v>
      </c>
      <c r="B679" s="1">
        <v>45563</v>
      </c>
      <c r="C679" t="s">
        <v>223</v>
      </c>
      <c r="D679" t="s">
        <v>32</v>
      </c>
      <c r="E679" t="s">
        <v>53</v>
      </c>
      <c r="F679" t="s">
        <v>27</v>
      </c>
      <c r="G679" t="s">
        <v>35</v>
      </c>
      <c r="H679" t="s">
        <v>49</v>
      </c>
      <c r="I679" t="s">
        <v>50</v>
      </c>
      <c r="J679">
        <v>6</v>
      </c>
      <c r="K679">
        <v>276.64999999999998</v>
      </c>
      <c r="L679">
        <v>140.72</v>
      </c>
      <c r="M679">
        <v>1444.11</v>
      </c>
      <c r="N679">
        <v>844.32</v>
      </c>
      <c r="O679">
        <v>599.79</v>
      </c>
      <c r="P679">
        <v>0.13</v>
      </c>
      <c r="Q679" t="s">
        <v>30</v>
      </c>
    </row>
    <row r="680" spans="1:17" x14ac:dyDescent="0.25">
      <c r="A680">
        <v>1678</v>
      </c>
      <c r="B680" s="1">
        <v>45587</v>
      </c>
      <c r="C680" t="s">
        <v>210</v>
      </c>
      <c r="D680" t="s">
        <v>25</v>
      </c>
      <c r="E680" t="s">
        <v>18</v>
      </c>
      <c r="F680" t="s">
        <v>34</v>
      </c>
      <c r="G680" t="s">
        <v>35</v>
      </c>
      <c r="H680" t="s">
        <v>36</v>
      </c>
      <c r="I680" t="s">
        <v>87</v>
      </c>
      <c r="J680">
        <v>2</v>
      </c>
      <c r="K680">
        <v>75.989999999999995</v>
      </c>
      <c r="L680">
        <v>39.01</v>
      </c>
      <c r="M680">
        <v>142.86000000000001</v>
      </c>
      <c r="N680">
        <v>78.02</v>
      </c>
      <c r="O680">
        <v>64.84</v>
      </c>
      <c r="P680">
        <v>0.06</v>
      </c>
      <c r="Q680" t="s">
        <v>23</v>
      </c>
    </row>
    <row r="681" spans="1:17" x14ac:dyDescent="0.25">
      <c r="A681">
        <v>1679</v>
      </c>
      <c r="B681" s="1">
        <v>45618</v>
      </c>
      <c r="C681" t="s">
        <v>281</v>
      </c>
      <c r="D681" t="s">
        <v>32</v>
      </c>
      <c r="E681" t="s">
        <v>18</v>
      </c>
      <c r="F681" t="s">
        <v>19</v>
      </c>
      <c r="G681" t="s">
        <v>41</v>
      </c>
      <c r="H681" t="s">
        <v>63</v>
      </c>
      <c r="I681" t="s">
        <v>141</v>
      </c>
      <c r="J681">
        <v>9</v>
      </c>
      <c r="K681">
        <v>912.82</v>
      </c>
      <c r="L681">
        <v>459.14</v>
      </c>
      <c r="M681">
        <v>7476</v>
      </c>
      <c r="N681">
        <v>4132.26</v>
      </c>
      <c r="O681">
        <v>3343.74</v>
      </c>
      <c r="P681">
        <v>0.09</v>
      </c>
      <c r="Q681" t="s">
        <v>85</v>
      </c>
    </row>
    <row r="682" spans="1:17" x14ac:dyDescent="0.25">
      <c r="A682">
        <v>1680</v>
      </c>
      <c r="B682" s="1">
        <v>45340</v>
      </c>
      <c r="C682" t="s">
        <v>147</v>
      </c>
      <c r="D682" t="s">
        <v>17</v>
      </c>
      <c r="E682" t="s">
        <v>33</v>
      </c>
      <c r="F682" t="s">
        <v>27</v>
      </c>
      <c r="G682" t="s">
        <v>41</v>
      </c>
      <c r="H682" t="s">
        <v>63</v>
      </c>
      <c r="I682" t="s">
        <v>141</v>
      </c>
      <c r="J682">
        <v>7</v>
      </c>
      <c r="K682">
        <v>231.44</v>
      </c>
      <c r="L682">
        <v>174.31</v>
      </c>
      <c r="M682">
        <v>1522.88</v>
      </c>
      <c r="N682">
        <v>1220.17</v>
      </c>
      <c r="O682">
        <v>302.70999999999998</v>
      </c>
      <c r="P682">
        <v>0.06</v>
      </c>
      <c r="Q682" t="s">
        <v>23</v>
      </c>
    </row>
    <row r="683" spans="1:17" x14ac:dyDescent="0.25">
      <c r="A683">
        <v>1681</v>
      </c>
      <c r="B683" s="1">
        <v>45455</v>
      </c>
      <c r="C683" t="s">
        <v>271</v>
      </c>
      <c r="D683" t="s">
        <v>17</v>
      </c>
      <c r="E683" t="s">
        <v>53</v>
      </c>
      <c r="F683" t="s">
        <v>27</v>
      </c>
      <c r="G683" t="s">
        <v>35</v>
      </c>
      <c r="H683" t="s">
        <v>36</v>
      </c>
      <c r="I683" t="s">
        <v>37</v>
      </c>
      <c r="J683">
        <v>4</v>
      </c>
      <c r="K683">
        <v>431.65</v>
      </c>
      <c r="L683">
        <v>358.13</v>
      </c>
      <c r="M683">
        <v>1502.14</v>
      </c>
      <c r="N683">
        <v>1432.52</v>
      </c>
      <c r="O683">
        <v>69.62</v>
      </c>
      <c r="P683">
        <v>0.13</v>
      </c>
      <c r="Q683" t="s">
        <v>55</v>
      </c>
    </row>
    <row r="684" spans="1:17" x14ac:dyDescent="0.25">
      <c r="A684">
        <v>1682</v>
      </c>
      <c r="B684" s="1">
        <v>45387</v>
      </c>
      <c r="C684" t="s">
        <v>194</v>
      </c>
      <c r="D684" t="s">
        <v>25</v>
      </c>
      <c r="E684" t="s">
        <v>18</v>
      </c>
      <c r="F684" t="s">
        <v>19</v>
      </c>
      <c r="G684" t="s">
        <v>41</v>
      </c>
      <c r="H684" t="s">
        <v>42</v>
      </c>
      <c r="I684" t="s">
        <v>68</v>
      </c>
      <c r="J684">
        <v>1</v>
      </c>
      <c r="K684">
        <v>502.3</v>
      </c>
      <c r="L684">
        <v>366.98</v>
      </c>
      <c r="M684">
        <v>447.05</v>
      </c>
      <c r="N684">
        <v>366.98</v>
      </c>
      <c r="O684">
        <v>80.069999999999993</v>
      </c>
      <c r="P684">
        <v>0.11</v>
      </c>
      <c r="Q684" t="s">
        <v>23</v>
      </c>
    </row>
    <row r="685" spans="1:17" x14ac:dyDescent="0.25">
      <c r="A685">
        <v>1683</v>
      </c>
      <c r="B685" s="1">
        <v>45356</v>
      </c>
      <c r="C685" t="s">
        <v>156</v>
      </c>
      <c r="D685" t="s">
        <v>32</v>
      </c>
      <c r="E685" t="s">
        <v>18</v>
      </c>
      <c r="F685" t="s">
        <v>40</v>
      </c>
      <c r="G685" t="s">
        <v>41</v>
      </c>
      <c r="H685" t="s">
        <v>42</v>
      </c>
      <c r="I685" t="s">
        <v>43</v>
      </c>
      <c r="J685">
        <v>1</v>
      </c>
      <c r="K685">
        <v>922.53</v>
      </c>
      <c r="L685">
        <v>510.89</v>
      </c>
      <c r="M685">
        <v>655</v>
      </c>
      <c r="N685">
        <v>510.89</v>
      </c>
      <c r="O685">
        <v>144.11000000000001</v>
      </c>
      <c r="P685">
        <v>0.28999999999999998</v>
      </c>
      <c r="Q685" t="s">
        <v>85</v>
      </c>
    </row>
    <row r="686" spans="1:17" x14ac:dyDescent="0.25">
      <c r="A686">
        <v>1684</v>
      </c>
      <c r="B686" s="1">
        <v>45508</v>
      </c>
      <c r="C686" t="s">
        <v>172</v>
      </c>
      <c r="D686" t="s">
        <v>17</v>
      </c>
      <c r="E686" t="s">
        <v>53</v>
      </c>
      <c r="F686" t="s">
        <v>27</v>
      </c>
      <c r="G686" t="s">
        <v>20</v>
      </c>
      <c r="H686" t="s">
        <v>28</v>
      </c>
      <c r="I686" t="s">
        <v>90</v>
      </c>
      <c r="J686">
        <v>9</v>
      </c>
      <c r="K686">
        <v>389.5</v>
      </c>
      <c r="L686">
        <v>259.47000000000003</v>
      </c>
      <c r="M686">
        <v>3154.95</v>
      </c>
      <c r="N686">
        <v>2335.23</v>
      </c>
      <c r="O686">
        <v>819.72</v>
      </c>
      <c r="P686">
        <v>0.1</v>
      </c>
      <c r="Q686" t="s">
        <v>55</v>
      </c>
    </row>
    <row r="687" spans="1:17" x14ac:dyDescent="0.25">
      <c r="A687">
        <v>1685</v>
      </c>
      <c r="B687" s="1">
        <v>45581</v>
      </c>
      <c r="C687" t="s">
        <v>146</v>
      </c>
      <c r="D687" t="s">
        <v>25</v>
      </c>
      <c r="E687" t="s">
        <v>26</v>
      </c>
      <c r="F687" t="s">
        <v>34</v>
      </c>
      <c r="G687" t="s">
        <v>41</v>
      </c>
      <c r="H687" t="s">
        <v>63</v>
      </c>
      <c r="I687" t="s">
        <v>141</v>
      </c>
      <c r="J687">
        <v>1</v>
      </c>
      <c r="K687">
        <v>827.34</v>
      </c>
      <c r="L687">
        <v>588.39</v>
      </c>
      <c r="M687">
        <v>819.07</v>
      </c>
      <c r="N687">
        <v>588.39</v>
      </c>
      <c r="O687">
        <v>230.68</v>
      </c>
      <c r="P687">
        <v>0.01</v>
      </c>
      <c r="Q687" t="s">
        <v>23</v>
      </c>
    </row>
    <row r="688" spans="1:17" x14ac:dyDescent="0.25">
      <c r="A688">
        <v>1686</v>
      </c>
      <c r="B688" s="1">
        <v>44998</v>
      </c>
      <c r="C688" t="s">
        <v>39</v>
      </c>
      <c r="D688" t="s">
        <v>32</v>
      </c>
      <c r="E688" t="s">
        <v>26</v>
      </c>
      <c r="F688" t="s">
        <v>19</v>
      </c>
      <c r="G688" t="s">
        <v>35</v>
      </c>
      <c r="H688" t="s">
        <v>70</v>
      </c>
      <c r="I688" t="s">
        <v>84</v>
      </c>
      <c r="J688">
        <v>2</v>
      </c>
      <c r="K688">
        <v>457.39</v>
      </c>
      <c r="L688">
        <v>287.70999999999998</v>
      </c>
      <c r="M688">
        <v>914.78</v>
      </c>
      <c r="N688">
        <v>575.41999999999996</v>
      </c>
      <c r="O688">
        <v>339.36</v>
      </c>
      <c r="P688">
        <v>0</v>
      </c>
      <c r="Q688" t="s">
        <v>85</v>
      </c>
    </row>
    <row r="689" spans="1:17" x14ac:dyDescent="0.25">
      <c r="A689">
        <v>1687</v>
      </c>
      <c r="B689" s="1">
        <v>45347</v>
      </c>
      <c r="C689" t="s">
        <v>205</v>
      </c>
      <c r="D689" t="s">
        <v>25</v>
      </c>
      <c r="E689" t="s">
        <v>26</v>
      </c>
      <c r="F689" t="s">
        <v>27</v>
      </c>
      <c r="G689" t="s">
        <v>35</v>
      </c>
      <c r="H689" t="s">
        <v>70</v>
      </c>
      <c r="I689" t="s">
        <v>98</v>
      </c>
      <c r="J689">
        <v>7</v>
      </c>
      <c r="K689">
        <v>955.32</v>
      </c>
      <c r="L689">
        <v>767.12</v>
      </c>
      <c r="M689">
        <v>6419.75</v>
      </c>
      <c r="N689">
        <v>5369.84</v>
      </c>
      <c r="O689">
        <v>1049.9100000000001</v>
      </c>
      <c r="P689">
        <v>0.04</v>
      </c>
      <c r="Q689" t="s">
        <v>23</v>
      </c>
    </row>
    <row r="690" spans="1:17" x14ac:dyDescent="0.25">
      <c r="A690">
        <v>1688</v>
      </c>
      <c r="B690" s="1">
        <v>45244</v>
      </c>
      <c r="C690" t="s">
        <v>147</v>
      </c>
      <c r="D690" t="s">
        <v>17</v>
      </c>
      <c r="E690" t="s">
        <v>53</v>
      </c>
      <c r="F690" t="s">
        <v>19</v>
      </c>
      <c r="G690" t="s">
        <v>41</v>
      </c>
      <c r="H690" t="s">
        <v>63</v>
      </c>
      <c r="I690" t="s">
        <v>117</v>
      </c>
      <c r="J690">
        <v>10</v>
      </c>
      <c r="K690">
        <v>206.96</v>
      </c>
      <c r="L690">
        <v>155.4</v>
      </c>
      <c r="M690">
        <v>1779.86</v>
      </c>
      <c r="N690">
        <v>1554</v>
      </c>
      <c r="O690">
        <v>225.86</v>
      </c>
      <c r="P690">
        <v>0.14000000000000001</v>
      </c>
      <c r="Q690" t="s">
        <v>23</v>
      </c>
    </row>
    <row r="691" spans="1:17" x14ac:dyDescent="0.25">
      <c r="A691">
        <v>1689</v>
      </c>
      <c r="B691" s="1">
        <v>44934</v>
      </c>
      <c r="C691" t="s">
        <v>217</v>
      </c>
      <c r="D691" t="s">
        <v>25</v>
      </c>
      <c r="E691" t="s">
        <v>53</v>
      </c>
      <c r="F691" t="s">
        <v>19</v>
      </c>
      <c r="G691" t="s">
        <v>41</v>
      </c>
      <c r="H691" t="s">
        <v>46</v>
      </c>
      <c r="I691" t="s">
        <v>102</v>
      </c>
      <c r="J691">
        <v>8</v>
      </c>
      <c r="K691">
        <v>462.9</v>
      </c>
      <c r="L691">
        <v>324.79000000000002</v>
      </c>
      <c r="M691">
        <v>2888.5</v>
      </c>
      <c r="N691">
        <v>2598.3200000000002</v>
      </c>
      <c r="O691">
        <v>290.18</v>
      </c>
      <c r="P691">
        <v>0.22</v>
      </c>
      <c r="Q691" t="s">
        <v>30</v>
      </c>
    </row>
    <row r="692" spans="1:17" x14ac:dyDescent="0.25">
      <c r="A692">
        <v>1690</v>
      </c>
      <c r="B692" s="1">
        <v>45588</v>
      </c>
      <c r="C692" t="s">
        <v>197</v>
      </c>
      <c r="D692" t="s">
        <v>32</v>
      </c>
      <c r="E692" t="s">
        <v>18</v>
      </c>
      <c r="F692" t="s">
        <v>40</v>
      </c>
      <c r="G692" t="s">
        <v>35</v>
      </c>
      <c r="H692" t="s">
        <v>70</v>
      </c>
      <c r="I692" t="s">
        <v>98</v>
      </c>
      <c r="J692">
        <v>7</v>
      </c>
      <c r="K692">
        <v>252.89</v>
      </c>
      <c r="L692">
        <v>206.1</v>
      </c>
      <c r="M692">
        <v>1380.78</v>
      </c>
      <c r="N692">
        <v>1442.7</v>
      </c>
      <c r="O692">
        <v>-61.92</v>
      </c>
      <c r="P692">
        <v>0.22</v>
      </c>
      <c r="Q692" t="s">
        <v>55</v>
      </c>
    </row>
    <row r="693" spans="1:17" x14ac:dyDescent="0.25">
      <c r="A693">
        <v>1691</v>
      </c>
      <c r="B693" s="1">
        <v>45320</v>
      </c>
      <c r="C693" t="s">
        <v>288</v>
      </c>
      <c r="D693" t="s">
        <v>25</v>
      </c>
      <c r="E693" t="s">
        <v>33</v>
      </c>
      <c r="F693" t="s">
        <v>27</v>
      </c>
      <c r="G693" t="s">
        <v>41</v>
      </c>
      <c r="H693" t="s">
        <v>42</v>
      </c>
      <c r="I693" t="s">
        <v>77</v>
      </c>
      <c r="J693">
        <v>3</v>
      </c>
      <c r="K693">
        <v>277.41000000000003</v>
      </c>
      <c r="L693">
        <v>199.69</v>
      </c>
      <c r="M693">
        <v>757.33</v>
      </c>
      <c r="N693">
        <v>599.07000000000005</v>
      </c>
      <c r="O693">
        <v>158.26</v>
      </c>
      <c r="P693">
        <v>0.09</v>
      </c>
      <c r="Q693" t="s">
        <v>44</v>
      </c>
    </row>
    <row r="694" spans="1:17" x14ac:dyDescent="0.25">
      <c r="A694">
        <v>1692</v>
      </c>
      <c r="B694" s="1">
        <v>45641</v>
      </c>
      <c r="C694" t="s">
        <v>99</v>
      </c>
      <c r="D694" t="s">
        <v>25</v>
      </c>
      <c r="E694" t="s">
        <v>53</v>
      </c>
      <c r="F694" t="s">
        <v>27</v>
      </c>
      <c r="G694" t="s">
        <v>41</v>
      </c>
      <c r="H694" t="s">
        <v>42</v>
      </c>
      <c r="I694" t="s">
        <v>68</v>
      </c>
      <c r="J694">
        <v>2</v>
      </c>
      <c r="K694">
        <v>756.62</v>
      </c>
      <c r="L694">
        <v>511.88</v>
      </c>
      <c r="M694">
        <v>1165.19</v>
      </c>
      <c r="N694">
        <v>1023.76</v>
      </c>
      <c r="O694">
        <v>141.43</v>
      </c>
      <c r="P694">
        <v>0.23</v>
      </c>
      <c r="Q694" t="s">
        <v>75</v>
      </c>
    </row>
    <row r="695" spans="1:17" x14ac:dyDescent="0.25">
      <c r="A695">
        <v>1693</v>
      </c>
      <c r="B695" s="1">
        <v>45388</v>
      </c>
      <c r="C695" t="s">
        <v>286</v>
      </c>
      <c r="D695" t="s">
        <v>25</v>
      </c>
      <c r="E695" t="s">
        <v>33</v>
      </c>
      <c r="F695" t="s">
        <v>27</v>
      </c>
      <c r="G695" t="s">
        <v>20</v>
      </c>
      <c r="H695" t="s">
        <v>21</v>
      </c>
      <c r="I695" t="s">
        <v>79</v>
      </c>
      <c r="J695">
        <v>7</v>
      </c>
      <c r="K695">
        <v>346.94</v>
      </c>
      <c r="L695">
        <v>221.96</v>
      </c>
      <c r="M695">
        <v>2282.87</v>
      </c>
      <c r="N695">
        <v>1553.72</v>
      </c>
      <c r="O695">
        <v>729.15</v>
      </c>
      <c r="P695">
        <v>0.06</v>
      </c>
      <c r="Q695" t="s">
        <v>51</v>
      </c>
    </row>
    <row r="696" spans="1:17" x14ac:dyDescent="0.25">
      <c r="A696">
        <v>1694</v>
      </c>
      <c r="B696" s="1">
        <v>44937</v>
      </c>
      <c r="C696" t="s">
        <v>116</v>
      </c>
      <c r="D696" t="s">
        <v>17</v>
      </c>
      <c r="E696" t="s">
        <v>26</v>
      </c>
      <c r="F696" t="s">
        <v>40</v>
      </c>
      <c r="G696" t="s">
        <v>41</v>
      </c>
      <c r="H696" t="s">
        <v>63</v>
      </c>
      <c r="I696" t="s">
        <v>117</v>
      </c>
      <c r="J696">
        <v>8</v>
      </c>
      <c r="K696">
        <v>464.05</v>
      </c>
      <c r="L696">
        <v>245.43</v>
      </c>
      <c r="M696">
        <v>2969.92</v>
      </c>
      <c r="N696">
        <v>1963.44</v>
      </c>
      <c r="O696">
        <v>1006.48</v>
      </c>
      <c r="P696">
        <v>0.2</v>
      </c>
      <c r="Q696" t="s">
        <v>55</v>
      </c>
    </row>
    <row r="697" spans="1:17" x14ac:dyDescent="0.25">
      <c r="A697">
        <v>1695</v>
      </c>
      <c r="B697" s="1">
        <v>45070</v>
      </c>
      <c r="C697" t="s">
        <v>220</v>
      </c>
      <c r="D697" t="s">
        <v>32</v>
      </c>
      <c r="E697" t="s">
        <v>26</v>
      </c>
      <c r="F697" t="s">
        <v>19</v>
      </c>
      <c r="G697" t="s">
        <v>20</v>
      </c>
      <c r="H697" t="s">
        <v>113</v>
      </c>
      <c r="I697" t="s">
        <v>114</v>
      </c>
      <c r="J697">
        <v>3</v>
      </c>
      <c r="K697">
        <v>297.67</v>
      </c>
      <c r="L697">
        <v>204.54</v>
      </c>
      <c r="M697">
        <v>785.85</v>
      </c>
      <c r="N697">
        <v>613.62</v>
      </c>
      <c r="O697">
        <v>172.23</v>
      </c>
      <c r="P697">
        <v>0.12</v>
      </c>
      <c r="Q697" t="s">
        <v>44</v>
      </c>
    </row>
    <row r="698" spans="1:17" x14ac:dyDescent="0.25">
      <c r="A698">
        <v>1696</v>
      </c>
      <c r="B698" s="1">
        <v>45614</v>
      </c>
      <c r="C698" t="s">
        <v>200</v>
      </c>
      <c r="D698" t="s">
        <v>17</v>
      </c>
      <c r="E698" t="s">
        <v>18</v>
      </c>
      <c r="F698" t="s">
        <v>19</v>
      </c>
      <c r="G698" t="s">
        <v>35</v>
      </c>
      <c r="H698" t="s">
        <v>49</v>
      </c>
      <c r="I698" t="s">
        <v>66</v>
      </c>
      <c r="J698">
        <v>4</v>
      </c>
      <c r="K698">
        <v>715.84</v>
      </c>
      <c r="L698">
        <v>581.58000000000004</v>
      </c>
      <c r="M698">
        <v>2405.2199999999998</v>
      </c>
      <c r="N698">
        <v>2326.3200000000002</v>
      </c>
      <c r="O698">
        <v>78.900000000000006</v>
      </c>
      <c r="P698">
        <v>0.16</v>
      </c>
      <c r="Q698" t="s">
        <v>55</v>
      </c>
    </row>
    <row r="699" spans="1:17" x14ac:dyDescent="0.25">
      <c r="A699">
        <v>1697</v>
      </c>
      <c r="B699" s="1">
        <v>45640</v>
      </c>
      <c r="C699" t="s">
        <v>191</v>
      </c>
      <c r="D699" t="s">
        <v>17</v>
      </c>
      <c r="E699" t="s">
        <v>33</v>
      </c>
      <c r="F699" t="s">
        <v>27</v>
      </c>
      <c r="G699" t="s">
        <v>41</v>
      </c>
      <c r="H699" t="s">
        <v>46</v>
      </c>
      <c r="I699" t="s">
        <v>57</v>
      </c>
      <c r="J699">
        <v>1</v>
      </c>
      <c r="K699">
        <v>600.21</v>
      </c>
      <c r="L699">
        <v>310.33</v>
      </c>
      <c r="M699">
        <v>534.19000000000005</v>
      </c>
      <c r="N699">
        <v>310.33</v>
      </c>
      <c r="O699">
        <v>223.86</v>
      </c>
      <c r="P699">
        <v>0.11</v>
      </c>
      <c r="Q699" t="s">
        <v>23</v>
      </c>
    </row>
    <row r="700" spans="1:17" x14ac:dyDescent="0.25">
      <c r="A700">
        <v>1698</v>
      </c>
      <c r="B700" s="1">
        <v>45182</v>
      </c>
      <c r="C700" t="s">
        <v>274</v>
      </c>
      <c r="D700" t="s">
        <v>25</v>
      </c>
      <c r="E700" t="s">
        <v>26</v>
      </c>
      <c r="F700" t="s">
        <v>34</v>
      </c>
      <c r="G700" t="s">
        <v>20</v>
      </c>
      <c r="H700" t="s">
        <v>28</v>
      </c>
      <c r="I700" t="s">
        <v>90</v>
      </c>
      <c r="J700">
        <v>1</v>
      </c>
      <c r="K700">
        <v>340.43</v>
      </c>
      <c r="L700">
        <v>193.11</v>
      </c>
      <c r="M700">
        <v>272.33999999999997</v>
      </c>
      <c r="N700">
        <v>193.11</v>
      </c>
      <c r="O700">
        <v>79.23</v>
      </c>
      <c r="P700">
        <v>0.2</v>
      </c>
      <c r="Q700" t="s">
        <v>23</v>
      </c>
    </row>
    <row r="701" spans="1:17" x14ac:dyDescent="0.25">
      <c r="A701">
        <v>1699</v>
      </c>
      <c r="B701" s="1">
        <v>45025</v>
      </c>
      <c r="C701" t="s">
        <v>221</v>
      </c>
      <c r="D701" t="s">
        <v>17</v>
      </c>
      <c r="E701" t="s">
        <v>26</v>
      </c>
      <c r="F701" t="s">
        <v>19</v>
      </c>
      <c r="G701" t="s">
        <v>20</v>
      </c>
      <c r="H701" t="s">
        <v>28</v>
      </c>
      <c r="I701" t="s">
        <v>90</v>
      </c>
      <c r="J701">
        <v>6</v>
      </c>
      <c r="K701">
        <v>326.07</v>
      </c>
      <c r="L701">
        <v>234.57</v>
      </c>
      <c r="M701">
        <v>1584.7</v>
      </c>
      <c r="N701">
        <v>1407.42</v>
      </c>
      <c r="O701">
        <v>177.28</v>
      </c>
      <c r="P701">
        <v>0.19</v>
      </c>
      <c r="Q701" t="s">
        <v>38</v>
      </c>
    </row>
    <row r="702" spans="1:17" x14ac:dyDescent="0.25">
      <c r="A702">
        <v>1700</v>
      </c>
      <c r="B702" s="1">
        <v>45331</v>
      </c>
      <c r="C702" t="s">
        <v>225</v>
      </c>
      <c r="D702" t="s">
        <v>25</v>
      </c>
      <c r="E702" t="s">
        <v>26</v>
      </c>
      <c r="F702" t="s">
        <v>34</v>
      </c>
      <c r="G702" t="s">
        <v>35</v>
      </c>
      <c r="H702" t="s">
        <v>49</v>
      </c>
      <c r="I702" t="s">
        <v>66</v>
      </c>
      <c r="J702">
        <v>1</v>
      </c>
      <c r="K702">
        <v>405.13</v>
      </c>
      <c r="L702">
        <v>247.41</v>
      </c>
      <c r="M702">
        <v>356.51</v>
      </c>
      <c r="N702">
        <v>247.41</v>
      </c>
      <c r="O702">
        <v>109.1</v>
      </c>
      <c r="P702">
        <v>0.12</v>
      </c>
      <c r="Q702" t="s">
        <v>55</v>
      </c>
    </row>
    <row r="703" spans="1:17" x14ac:dyDescent="0.25">
      <c r="A703">
        <v>1701</v>
      </c>
      <c r="B703" s="1">
        <v>45152</v>
      </c>
      <c r="C703" t="s">
        <v>279</v>
      </c>
      <c r="D703" t="s">
        <v>32</v>
      </c>
      <c r="E703" t="s">
        <v>18</v>
      </c>
      <c r="F703" t="s">
        <v>34</v>
      </c>
      <c r="G703" t="s">
        <v>20</v>
      </c>
      <c r="H703" t="s">
        <v>21</v>
      </c>
      <c r="I703" t="s">
        <v>79</v>
      </c>
      <c r="J703">
        <v>5</v>
      </c>
      <c r="K703">
        <v>768.71</v>
      </c>
      <c r="L703">
        <v>518.77</v>
      </c>
      <c r="M703">
        <v>2690.49</v>
      </c>
      <c r="N703">
        <v>2593.85</v>
      </c>
      <c r="O703">
        <v>96.64</v>
      </c>
      <c r="P703">
        <v>0.3</v>
      </c>
      <c r="Q703" t="s">
        <v>38</v>
      </c>
    </row>
    <row r="704" spans="1:17" x14ac:dyDescent="0.25">
      <c r="A704">
        <v>1702</v>
      </c>
      <c r="B704" s="1">
        <v>45509</v>
      </c>
      <c r="C704" t="s">
        <v>286</v>
      </c>
      <c r="D704" t="s">
        <v>25</v>
      </c>
      <c r="E704" t="s">
        <v>18</v>
      </c>
      <c r="F704" t="s">
        <v>27</v>
      </c>
      <c r="G704" t="s">
        <v>41</v>
      </c>
      <c r="H704" t="s">
        <v>63</v>
      </c>
      <c r="I704" t="s">
        <v>141</v>
      </c>
      <c r="J704">
        <v>6</v>
      </c>
      <c r="K704">
        <v>179.45</v>
      </c>
      <c r="L704">
        <v>137.57</v>
      </c>
      <c r="M704">
        <v>850.59</v>
      </c>
      <c r="N704">
        <v>825.42</v>
      </c>
      <c r="O704">
        <v>25.17</v>
      </c>
      <c r="P704">
        <v>0.21</v>
      </c>
      <c r="Q704" t="s">
        <v>55</v>
      </c>
    </row>
    <row r="705" spans="1:17" x14ac:dyDescent="0.25">
      <c r="A705">
        <v>1703</v>
      </c>
      <c r="B705" s="1">
        <v>44996</v>
      </c>
      <c r="C705" t="s">
        <v>252</v>
      </c>
      <c r="D705" t="s">
        <v>17</v>
      </c>
      <c r="E705" t="s">
        <v>53</v>
      </c>
      <c r="F705" t="s">
        <v>27</v>
      </c>
      <c r="G705" t="s">
        <v>41</v>
      </c>
      <c r="H705" t="s">
        <v>63</v>
      </c>
      <c r="I705" t="s">
        <v>64</v>
      </c>
      <c r="J705">
        <v>4</v>
      </c>
      <c r="K705">
        <v>505.9</v>
      </c>
      <c r="L705">
        <v>377.72</v>
      </c>
      <c r="M705">
        <v>2023.6</v>
      </c>
      <c r="N705">
        <v>1510.88</v>
      </c>
      <c r="O705">
        <v>512.72</v>
      </c>
      <c r="P705">
        <v>0</v>
      </c>
      <c r="Q705" t="s">
        <v>51</v>
      </c>
    </row>
    <row r="706" spans="1:17" x14ac:dyDescent="0.25">
      <c r="A706">
        <v>1704</v>
      </c>
      <c r="B706" s="1">
        <v>45558</v>
      </c>
      <c r="C706" t="s">
        <v>169</v>
      </c>
      <c r="D706" t="s">
        <v>25</v>
      </c>
      <c r="E706" t="s">
        <v>18</v>
      </c>
      <c r="F706" t="s">
        <v>19</v>
      </c>
      <c r="G706" t="s">
        <v>41</v>
      </c>
      <c r="H706" t="s">
        <v>46</v>
      </c>
      <c r="I706" t="s">
        <v>47</v>
      </c>
      <c r="J706">
        <v>10</v>
      </c>
      <c r="K706">
        <v>83.99</v>
      </c>
      <c r="L706">
        <v>46.04</v>
      </c>
      <c r="M706">
        <v>713.91</v>
      </c>
      <c r="N706">
        <v>460.4</v>
      </c>
      <c r="O706">
        <v>253.51</v>
      </c>
      <c r="P706">
        <v>0.15</v>
      </c>
      <c r="Q706" t="s">
        <v>23</v>
      </c>
    </row>
    <row r="707" spans="1:17" x14ac:dyDescent="0.25">
      <c r="A707">
        <v>1705</v>
      </c>
      <c r="B707" s="1">
        <v>45082</v>
      </c>
      <c r="C707" t="s">
        <v>106</v>
      </c>
      <c r="D707" t="s">
        <v>17</v>
      </c>
      <c r="E707" t="s">
        <v>33</v>
      </c>
      <c r="F707" t="s">
        <v>19</v>
      </c>
      <c r="G707" t="s">
        <v>41</v>
      </c>
      <c r="H707" t="s">
        <v>63</v>
      </c>
      <c r="I707" t="s">
        <v>117</v>
      </c>
      <c r="J707">
        <v>6</v>
      </c>
      <c r="K707">
        <v>138.6</v>
      </c>
      <c r="L707">
        <v>84.7</v>
      </c>
      <c r="M707">
        <v>632.02</v>
      </c>
      <c r="N707">
        <v>508.2</v>
      </c>
      <c r="O707">
        <v>123.82</v>
      </c>
      <c r="P707">
        <v>0.24</v>
      </c>
      <c r="Q707" t="s">
        <v>51</v>
      </c>
    </row>
    <row r="708" spans="1:17" x14ac:dyDescent="0.25">
      <c r="A708">
        <v>1706</v>
      </c>
      <c r="B708" s="1">
        <v>45460</v>
      </c>
      <c r="C708" t="s">
        <v>272</v>
      </c>
      <c r="D708" t="s">
        <v>17</v>
      </c>
      <c r="E708" t="s">
        <v>18</v>
      </c>
      <c r="F708" t="s">
        <v>34</v>
      </c>
      <c r="G708" t="s">
        <v>20</v>
      </c>
      <c r="H708" t="s">
        <v>113</v>
      </c>
      <c r="I708" t="s">
        <v>153</v>
      </c>
      <c r="J708">
        <v>6</v>
      </c>
      <c r="K708">
        <v>246.04</v>
      </c>
      <c r="L708">
        <v>169.46</v>
      </c>
      <c r="M708">
        <v>1077.6600000000001</v>
      </c>
      <c r="N708">
        <v>1016.76</v>
      </c>
      <c r="O708">
        <v>60.9</v>
      </c>
      <c r="P708">
        <v>0.27</v>
      </c>
      <c r="Q708" t="s">
        <v>23</v>
      </c>
    </row>
    <row r="709" spans="1:17" x14ac:dyDescent="0.25">
      <c r="A709">
        <v>1707</v>
      </c>
      <c r="B709" s="1">
        <v>45630</v>
      </c>
      <c r="C709" t="s">
        <v>99</v>
      </c>
      <c r="D709" t="s">
        <v>25</v>
      </c>
      <c r="E709" t="s">
        <v>53</v>
      </c>
      <c r="F709" t="s">
        <v>40</v>
      </c>
      <c r="G709" t="s">
        <v>20</v>
      </c>
      <c r="H709" t="s">
        <v>28</v>
      </c>
      <c r="I709" t="s">
        <v>90</v>
      </c>
      <c r="J709">
        <v>2</v>
      </c>
      <c r="K709">
        <v>870.52</v>
      </c>
      <c r="L709">
        <v>456.58</v>
      </c>
      <c r="M709">
        <v>1636.58</v>
      </c>
      <c r="N709">
        <v>913.16</v>
      </c>
      <c r="O709">
        <v>723.42</v>
      </c>
      <c r="P709">
        <v>0.06</v>
      </c>
      <c r="Q709" t="s">
        <v>92</v>
      </c>
    </row>
    <row r="710" spans="1:17" x14ac:dyDescent="0.25">
      <c r="A710">
        <v>1708</v>
      </c>
      <c r="B710" s="1">
        <v>45136</v>
      </c>
      <c r="C710" t="s">
        <v>145</v>
      </c>
      <c r="D710" t="s">
        <v>25</v>
      </c>
      <c r="E710" t="s">
        <v>26</v>
      </c>
      <c r="F710" t="s">
        <v>19</v>
      </c>
      <c r="G710" t="s">
        <v>41</v>
      </c>
      <c r="H710" t="s">
        <v>42</v>
      </c>
      <c r="I710" t="s">
        <v>68</v>
      </c>
      <c r="J710">
        <v>8</v>
      </c>
      <c r="K710">
        <v>314.91000000000003</v>
      </c>
      <c r="L710">
        <v>237</v>
      </c>
      <c r="M710">
        <v>2342.9299999999998</v>
      </c>
      <c r="N710">
        <v>1896</v>
      </c>
      <c r="O710">
        <v>446.93</v>
      </c>
      <c r="P710">
        <v>7.0000000000000007E-2</v>
      </c>
      <c r="Q710" t="s">
        <v>92</v>
      </c>
    </row>
    <row r="711" spans="1:17" x14ac:dyDescent="0.25">
      <c r="A711">
        <v>1709</v>
      </c>
      <c r="B711" s="1">
        <v>45547</v>
      </c>
      <c r="C711" t="s">
        <v>289</v>
      </c>
      <c r="D711" t="s">
        <v>32</v>
      </c>
      <c r="E711" t="s">
        <v>53</v>
      </c>
      <c r="F711" t="s">
        <v>19</v>
      </c>
      <c r="G711" t="s">
        <v>35</v>
      </c>
      <c r="H711" t="s">
        <v>49</v>
      </c>
      <c r="I711" t="s">
        <v>66</v>
      </c>
      <c r="J711">
        <v>6</v>
      </c>
      <c r="K711">
        <v>401.25</v>
      </c>
      <c r="L711">
        <v>224.19</v>
      </c>
      <c r="M711">
        <v>2094.5300000000002</v>
      </c>
      <c r="N711">
        <v>1345.14</v>
      </c>
      <c r="O711">
        <v>749.39</v>
      </c>
      <c r="P711">
        <v>0.13</v>
      </c>
      <c r="Q711" t="s">
        <v>38</v>
      </c>
    </row>
    <row r="712" spans="1:17" x14ac:dyDescent="0.25">
      <c r="A712">
        <v>1710</v>
      </c>
      <c r="B712" s="1">
        <v>45551</v>
      </c>
      <c r="C712" t="s">
        <v>290</v>
      </c>
      <c r="D712" t="s">
        <v>25</v>
      </c>
      <c r="E712" t="s">
        <v>53</v>
      </c>
      <c r="F712" t="s">
        <v>34</v>
      </c>
      <c r="G712" t="s">
        <v>35</v>
      </c>
      <c r="H712" t="s">
        <v>49</v>
      </c>
      <c r="I712" t="s">
        <v>66</v>
      </c>
      <c r="J712">
        <v>5</v>
      </c>
      <c r="K712">
        <v>597.21</v>
      </c>
      <c r="L712">
        <v>330.54</v>
      </c>
      <c r="M712">
        <v>2329.12</v>
      </c>
      <c r="N712">
        <v>1652.7</v>
      </c>
      <c r="O712">
        <v>676.42</v>
      </c>
      <c r="P712">
        <v>0.22</v>
      </c>
      <c r="Q712" t="s">
        <v>30</v>
      </c>
    </row>
    <row r="713" spans="1:17" x14ac:dyDescent="0.25">
      <c r="A713">
        <v>1711</v>
      </c>
      <c r="B713" s="1">
        <v>45316</v>
      </c>
      <c r="C713" t="s">
        <v>195</v>
      </c>
      <c r="D713" t="s">
        <v>32</v>
      </c>
      <c r="E713" t="s">
        <v>18</v>
      </c>
      <c r="F713" t="s">
        <v>27</v>
      </c>
      <c r="G713" t="s">
        <v>41</v>
      </c>
      <c r="H713" t="s">
        <v>63</v>
      </c>
      <c r="I713" t="s">
        <v>117</v>
      </c>
      <c r="J713">
        <v>2</v>
      </c>
      <c r="K713">
        <v>336.57</v>
      </c>
      <c r="L713">
        <v>252.5</v>
      </c>
      <c r="M713">
        <v>632.75</v>
      </c>
      <c r="N713">
        <v>505</v>
      </c>
      <c r="O713">
        <v>127.75</v>
      </c>
      <c r="P713">
        <v>0.06</v>
      </c>
      <c r="Q713" t="s">
        <v>23</v>
      </c>
    </row>
    <row r="714" spans="1:17" x14ac:dyDescent="0.25">
      <c r="A714">
        <v>1712</v>
      </c>
      <c r="B714" s="1">
        <v>44931</v>
      </c>
      <c r="C714" t="s">
        <v>191</v>
      </c>
      <c r="D714" t="s">
        <v>17</v>
      </c>
      <c r="E714" t="s">
        <v>18</v>
      </c>
      <c r="F714" t="s">
        <v>27</v>
      </c>
      <c r="G714" t="s">
        <v>35</v>
      </c>
      <c r="H714" t="s">
        <v>49</v>
      </c>
      <c r="I714" t="s">
        <v>50</v>
      </c>
      <c r="J714">
        <v>6</v>
      </c>
      <c r="K714">
        <v>387.12</v>
      </c>
      <c r="L714">
        <v>235.27</v>
      </c>
      <c r="M714">
        <v>1625.9</v>
      </c>
      <c r="N714">
        <v>1411.62</v>
      </c>
      <c r="O714">
        <v>214.28</v>
      </c>
      <c r="P714">
        <v>0.3</v>
      </c>
      <c r="Q714" t="s">
        <v>44</v>
      </c>
    </row>
    <row r="715" spans="1:17" x14ac:dyDescent="0.25">
      <c r="A715">
        <v>1713</v>
      </c>
      <c r="B715" s="1">
        <v>45345</v>
      </c>
      <c r="C715" t="s">
        <v>227</v>
      </c>
      <c r="D715" t="s">
        <v>25</v>
      </c>
      <c r="E715" t="s">
        <v>53</v>
      </c>
      <c r="F715" t="s">
        <v>19</v>
      </c>
      <c r="G715" t="s">
        <v>20</v>
      </c>
      <c r="H715" t="s">
        <v>28</v>
      </c>
      <c r="I715" t="s">
        <v>29</v>
      </c>
      <c r="J715">
        <v>6</v>
      </c>
      <c r="K715">
        <v>512.05999999999995</v>
      </c>
      <c r="L715">
        <v>343.6</v>
      </c>
      <c r="M715">
        <v>2427.16</v>
      </c>
      <c r="N715">
        <v>2061.6</v>
      </c>
      <c r="O715">
        <v>365.56</v>
      </c>
      <c r="P715">
        <v>0.21</v>
      </c>
      <c r="Q715" t="s">
        <v>51</v>
      </c>
    </row>
    <row r="716" spans="1:17" x14ac:dyDescent="0.25">
      <c r="A716">
        <v>1714</v>
      </c>
      <c r="B716" s="1">
        <v>45593</v>
      </c>
      <c r="C716" t="s">
        <v>278</v>
      </c>
      <c r="D716" t="s">
        <v>32</v>
      </c>
      <c r="E716" t="s">
        <v>26</v>
      </c>
      <c r="F716" t="s">
        <v>19</v>
      </c>
      <c r="G716" t="s">
        <v>35</v>
      </c>
      <c r="H716" t="s">
        <v>36</v>
      </c>
      <c r="I716" t="s">
        <v>37</v>
      </c>
      <c r="J716">
        <v>1</v>
      </c>
      <c r="K716">
        <v>698.98</v>
      </c>
      <c r="L716">
        <v>507.37</v>
      </c>
      <c r="M716">
        <v>643.05999999999995</v>
      </c>
      <c r="N716">
        <v>507.37</v>
      </c>
      <c r="O716">
        <v>135.69</v>
      </c>
      <c r="P716">
        <v>0.08</v>
      </c>
      <c r="Q716" t="s">
        <v>55</v>
      </c>
    </row>
    <row r="717" spans="1:17" x14ac:dyDescent="0.25">
      <c r="A717">
        <v>1715</v>
      </c>
      <c r="B717" s="1">
        <v>45624</v>
      </c>
      <c r="C717" t="s">
        <v>286</v>
      </c>
      <c r="D717" t="s">
        <v>25</v>
      </c>
      <c r="E717" t="s">
        <v>26</v>
      </c>
      <c r="F717" t="s">
        <v>34</v>
      </c>
      <c r="G717" t="s">
        <v>20</v>
      </c>
      <c r="H717" t="s">
        <v>21</v>
      </c>
      <c r="I717" t="s">
        <v>79</v>
      </c>
      <c r="J717">
        <v>7</v>
      </c>
      <c r="K717">
        <v>707.54</v>
      </c>
      <c r="L717">
        <v>595.01</v>
      </c>
      <c r="M717">
        <v>4853.72</v>
      </c>
      <c r="N717">
        <v>4165.07</v>
      </c>
      <c r="O717">
        <v>688.65</v>
      </c>
      <c r="P717">
        <v>0.02</v>
      </c>
      <c r="Q717" t="s">
        <v>23</v>
      </c>
    </row>
    <row r="718" spans="1:17" x14ac:dyDescent="0.25">
      <c r="A718">
        <v>1716</v>
      </c>
      <c r="B718" s="1">
        <v>45360</v>
      </c>
      <c r="C718" t="s">
        <v>291</v>
      </c>
      <c r="D718" t="s">
        <v>32</v>
      </c>
      <c r="E718" t="s">
        <v>18</v>
      </c>
      <c r="F718" t="s">
        <v>40</v>
      </c>
      <c r="G718" t="s">
        <v>41</v>
      </c>
      <c r="H718" t="s">
        <v>63</v>
      </c>
      <c r="I718" t="s">
        <v>64</v>
      </c>
      <c r="J718">
        <v>7</v>
      </c>
      <c r="K718">
        <v>588.15</v>
      </c>
      <c r="L718">
        <v>445.16</v>
      </c>
      <c r="M718">
        <v>3170.13</v>
      </c>
      <c r="N718">
        <v>3116.12</v>
      </c>
      <c r="O718">
        <v>54.01</v>
      </c>
      <c r="P718">
        <v>0.23</v>
      </c>
      <c r="Q718" t="s">
        <v>44</v>
      </c>
    </row>
    <row r="719" spans="1:17" x14ac:dyDescent="0.25">
      <c r="A719">
        <v>1717</v>
      </c>
      <c r="B719" s="1">
        <v>45038</v>
      </c>
      <c r="C719" t="s">
        <v>155</v>
      </c>
      <c r="D719" t="s">
        <v>32</v>
      </c>
      <c r="E719" t="s">
        <v>26</v>
      </c>
      <c r="F719" t="s">
        <v>40</v>
      </c>
      <c r="G719" t="s">
        <v>41</v>
      </c>
      <c r="H719" t="s">
        <v>42</v>
      </c>
      <c r="I719" t="s">
        <v>43</v>
      </c>
      <c r="J719">
        <v>7</v>
      </c>
      <c r="K719">
        <v>700.51</v>
      </c>
      <c r="L719">
        <v>351.83</v>
      </c>
      <c r="M719">
        <v>4658.3900000000003</v>
      </c>
      <c r="N719">
        <v>2462.81</v>
      </c>
      <c r="O719">
        <v>2195.58</v>
      </c>
      <c r="P719">
        <v>0.05</v>
      </c>
      <c r="Q719" t="s">
        <v>55</v>
      </c>
    </row>
    <row r="720" spans="1:17" x14ac:dyDescent="0.25">
      <c r="A720">
        <v>1718</v>
      </c>
      <c r="B720" s="1">
        <v>44928</v>
      </c>
      <c r="C720" t="s">
        <v>251</v>
      </c>
      <c r="D720" t="s">
        <v>17</v>
      </c>
      <c r="E720" t="s">
        <v>53</v>
      </c>
      <c r="F720" t="s">
        <v>27</v>
      </c>
      <c r="G720" t="s">
        <v>41</v>
      </c>
      <c r="H720" t="s">
        <v>46</v>
      </c>
      <c r="I720" t="s">
        <v>102</v>
      </c>
      <c r="J720">
        <v>7</v>
      </c>
      <c r="K720">
        <v>174.78</v>
      </c>
      <c r="L720">
        <v>110.31</v>
      </c>
      <c r="M720">
        <v>966.53</v>
      </c>
      <c r="N720">
        <v>772.17</v>
      </c>
      <c r="O720">
        <v>194.36</v>
      </c>
      <c r="P720">
        <v>0.21</v>
      </c>
      <c r="Q720" t="s">
        <v>23</v>
      </c>
    </row>
    <row r="721" spans="1:17" x14ac:dyDescent="0.25">
      <c r="A721">
        <v>1719</v>
      </c>
      <c r="B721" s="1">
        <v>45425</v>
      </c>
      <c r="C721" t="s">
        <v>285</v>
      </c>
      <c r="D721" t="s">
        <v>25</v>
      </c>
      <c r="E721" t="s">
        <v>53</v>
      </c>
      <c r="F721" t="s">
        <v>19</v>
      </c>
      <c r="G721" t="s">
        <v>20</v>
      </c>
      <c r="H721" t="s">
        <v>21</v>
      </c>
      <c r="I721" t="s">
        <v>22</v>
      </c>
      <c r="J721">
        <v>3</v>
      </c>
      <c r="K721">
        <v>810.13</v>
      </c>
      <c r="L721">
        <v>459.47</v>
      </c>
      <c r="M721">
        <v>1725.58</v>
      </c>
      <c r="N721">
        <v>1378.41</v>
      </c>
      <c r="O721">
        <v>347.17</v>
      </c>
      <c r="P721">
        <v>0.28999999999999998</v>
      </c>
      <c r="Q721" t="s">
        <v>75</v>
      </c>
    </row>
    <row r="722" spans="1:17" x14ac:dyDescent="0.25">
      <c r="A722">
        <v>1720</v>
      </c>
      <c r="B722" s="1">
        <v>45378</v>
      </c>
      <c r="C722" t="s">
        <v>212</v>
      </c>
      <c r="D722" t="s">
        <v>17</v>
      </c>
      <c r="E722" t="s">
        <v>33</v>
      </c>
      <c r="F722" t="s">
        <v>19</v>
      </c>
      <c r="G722" t="s">
        <v>20</v>
      </c>
      <c r="H722" t="s">
        <v>28</v>
      </c>
      <c r="I722" t="s">
        <v>90</v>
      </c>
      <c r="J722">
        <v>7</v>
      </c>
      <c r="K722">
        <v>129.06</v>
      </c>
      <c r="L722">
        <v>67.430000000000007</v>
      </c>
      <c r="M722">
        <v>894.39</v>
      </c>
      <c r="N722">
        <v>472.01</v>
      </c>
      <c r="O722">
        <v>422.38</v>
      </c>
      <c r="P722">
        <v>0.01</v>
      </c>
      <c r="Q722" t="s">
        <v>23</v>
      </c>
    </row>
    <row r="723" spans="1:17" x14ac:dyDescent="0.25">
      <c r="A723">
        <v>1721</v>
      </c>
      <c r="B723" s="1">
        <v>45416</v>
      </c>
      <c r="C723" t="s">
        <v>201</v>
      </c>
      <c r="D723" t="s">
        <v>25</v>
      </c>
      <c r="E723" t="s">
        <v>33</v>
      </c>
      <c r="F723" t="s">
        <v>34</v>
      </c>
      <c r="G723" t="s">
        <v>35</v>
      </c>
      <c r="H723" t="s">
        <v>36</v>
      </c>
      <c r="I723" t="s">
        <v>100</v>
      </c>
      <c r="J723">
        <v>10</v>
      </c>
      <c r="K723">
        <v>790.26</v>
      </c>
      <c r="L723">
        <v>406.71</v>
      </c>
      <c r="M723">
        <v>7428.44</v>
      </c>
      <c r="N723">
        <v>4067.1</v>
      </c>
      <c r="O723">
        <v>3361.34</v>
      </c>
      <c r="P723">
        <v>0.06</v>
      </c>
      <c r="Q723" t="s">
        <v>51</v>
      </c>
    </row>
    <row r="724" spans="1:17" x14ac:dyDescent="0.25">
      <c r="A724">
        <v>1722</v>
      </c>
      <c r="B724" s="1">
        <v>45311</v>
      </c>
      <c r="C724" t="s">
        <v>93</v>
      </c>
      <c r="D724" t="s">
        <v>32</v>
      </c>
      <c r="E724" t="s">
        <v>53</v>
      </c>
      <c r="F724" t="s">
        <v>27</v>
      </c>
      <c r="G724" t="s">
        <v>35</v>
      </c>
      <c r="H724" t="s">
        <v>70</v>
      </c>
      <c r="I724" t="s">
        <v>71</v>
      </c>
      <c r="J724">
        <v>6</v>
      </c>
      <c r="K724">
        <v>373.93</v>
      </c>
      <c r="L724">
        <v>303.45999999999998</v>
      </c>
      <c r="M724">
        <v>1570.51</v>
      </c>
      <c r="N724">
        <v>1820.76</v>
      </c>
      <c r="O724">
        <v>-250.25</v>
      </c>
      <c r="P724">
        <v>0.3</v>
      </c>
      <c r="Q724" t="s">
        <v>23</v>
      </c>
    </row>
    <row r="725" spans="1:17" x14ac:dyDescent="0.25">
      <c r="A725">
        <v>1723</v>
      </c>
      <c r="B725" s="1">
        <v>45296</v>
      </c>
      <c r="C725" t="s">
        <v>160</v>
      </c>
      <c r="D725" t="s">
        <v>32</v>
      </c>
      <c r="E725" t="s">
        <v>33</v>
      </c>
      <c r="F725" t="s">
        <v>40</v>
      </c>
      <c r="G725" t="s">
        <v>35</v>
      </c>
      <c r="H725" t="s">
        <v>36</v>
      </c>
      <c r="I725" t="s">
        <v>87</v>
      </c>
      <c r="J725">
        <v>8</v>
      </c>
      <c r="K725">
        <v>871.19</v>
      </c>
      <c r="L725">
        <v>558.11</v>
      </c>
      <c r="M725">
        <v>5227.1400000000003</v>
      </c>
      <c r="N725">
        <v>4464.88</v>
      </c>
      <c r="O725">
        <v>762.26</v>
      </c>
      <c r="P725">
        <v>0.25</v>
      </c>
      <c r="Q725" t="s">
        <v>92</v>
      </c>
    </row>
    <row r="726" spans="1:17" x14ac:dyDescent="0.25">
      <c r="A726">
        <v>1724</v>
      </c>
      <c r="B726" s="1">
        <v>44953</v>
      </c>
      <c r="C726" t="s">
        <v>143</v>
      </c>
      <c r="D726" t="s">
        <v>17</v>
      </c>
      <c r="E726" t="s">
        <v>18</v>
      </c>
      <c r="F726" t="s">
        <v>19</v>
      </c>
      <c r="G726" t="s">
        <v>35</v>
      </c>
      <c r="H726" t="s">
        <v>49</v>
      </c>
      <c r="I726" t="s">
        <v>59</v>
      </c>
      <c r="J726">
        <v>8</v>
      </c>
      <c r="K726">
        <v>517.34</v>
      </c>
      <c r="L726">
        <v>378.22</v>
      </c>
      <c r="M726">
        <v>4138.72</v>
      </c>
      <c r="N726">
        <v>3025.76</v>
      </c>
      <c r="O726">
        <v>1112.96</v>
      </c>
      <c r="P726">
        <v>0</v>
      </c>
      <c r="Q726" t="s">
        <v>85</v>
      </c>
    </row>
    <row r="727" spans="1:17" x14ac:dyDescent="0.25">
      <c r="A727">
        <v>1725</v>
      </c>
      <c r="B727" s="1">
        <v>44944</v>
      </c>
      <c r="C727" t="s">
        <v>174</v>
      </c>
      <c r="D727" t="s">
        <v>25</v>
      </c>
      <c r="E727" t="s">
        <v>18</v>
      </c>
      <c r="F727" t="s">
        <v>27</v>
      </c>
      <c r="G727" t="s">
        <v>20</v>
      </c>
      <c r="H727" t="s">
        <v>113</v>
      </c>
      <c r="I727" t="s">
        <v>153</v>
      </c>
      <c r="J727">
        <v>7</v>
      </c>
      <c r="K727">
        <v>740.51</v>
      </c>
      <c r="L727">
        <v>576.03</v>
      </c>
      <c r="M727">
        <v>4665.21</v>
      </c>
      <c r="N727">
        <v>4032.21</v>
      </c>
      <c r="O727">
        <v>633</v>
      </c>
      <c r="P727">
        <v>0.1</v>
      </c>
      <c r="Q727" t="s">
        <v>55</v>
      </c>
    </row>
    <row r="728" spans="1:17" x14ac:dyDescent="0.25">
      <c r="A728">
        <v>1726</v>
      </c>
      <c r="B728" s="1">
        <v>45601</v>
      </c>
      <c r="C728" t="s">
        <v>94</v>
      </c>
      <c r="D728" t="s">
        <v>25</v>
      </c>
      <c r="E728" t="s">
        <v>53</v>
      </c>
      <c r="F728" t="s">
        <v>40</v>
      </c>
      <c r="G728" t="s">
        <v>41</v>
      </c>
      <c r="H728" t="s">
        <v>42</v>
      </c>
      <c r="I728" t="s">
        <v>43</v>
      </c>
      <c r="J728">
        <v>3</v>
      </c>
      <c r="K728">
        <v>870.51</v>
      </c>
      <c r="L728">
        <v>702.22</v>
      </c>
      <c r="M728">
        <v>1984.76</v>
      </c>
      <c r="N728">
        <v>2106.66</v>
      </c>
      <c r="O728">
        <v>-121.9</v>
      </c>
      <c r="P728">
        <v>0.24</v>
      </c>
      <c r="Q728" t="s">
        <v>38</v>
      </c>
    </row>
    <row r="729" spans="1:17" x14ac:dyDescent="0.25">
      <c r="A729">
        <v>1727</v>
      </c>
      <c r="B729" s="1">
        <v>44959</v>
      </c>
      <c r="C729" t="s">
        <v>217</v>
      </c>
      <c r="D729" t="s">
        <v>25</v>
      </c>
      <c r="E729" t="s">
        <v>18</v>
      </c>
      <c r="F729" t="s">
        <v>27</v>
      </c>
      <c r="G729" t="s">
        <v>20</v>
      </c>
      <c r="H729" t="s">
        <v>28</v>
      </c>
      <c r="I729" t="s">
        <v>90</v>
      </c>
      <c r="J729">
        <v>8</v>
      </c>
      <c r="K729">
        <v>664.33</v>
      </c>
      <c r="L729">
        <v>388.18</v>
      </c>
      <c r="M729">
        <v>4995.76</v>
      </c>
      <c r="N729">
        <v>3105.44</v>
      </c>
      <c r="O729">
        <v>1890.32</v>
      </c>
      <c r="P729">
        <v>0.06</v>
      </c>
      <c r="Q729" t="s">
        <v>44</v>
      </c>
    </row>
    <row r="730" spans="1:17" x14ac:dyDescent="0.25">
      <c r="A730">
        <v>1728</v>
      </c>
      <c r="B730" s="1">
        <v>45035</v>
      </c>
      <c r="C730" t="s">
        <v>80</v>
      </c>
      <c r="D730" t="s">
        <v>25</v>
      </c>
      <c r="E730" t="s">
        <v>26</v>
      </c>
      <c r="F730" t="s">
        <v>40</v>
      </c>
      <c r="G730" t="s">
        <v>35</v>
      </c>
      <c r="H730" t="s">
        <v>49</v>
      </c>
      <c r="I730" t="s">
        <v>66</v>
      </c>
      <c r="J730">
        <v>5</v>
      </c>
      <c r="K730">
        <v>667.6</v>
      </c>
      <c r="L730">
        <v>556.13</v>
      </c>
      <c r="M730">
        <v>2670.4</v>
      </c>
      <c r="N730">
        <v>2780.65</v>
      </c>
      <c r="O730">
        <v>-110.25</v>
      </c>
      <c r="P730">
        <v>0.2</v>
      </c>
      <c r="Q730" t="s">
        <v>92</v>
      </c>
    </row>
    <row r="731" spans="1:17" x14ac:dyDescent="0.25">
      <c r="A731">
        <v>1729</v>
      </c>
      <c r="B731" s="1">
        <v>45474</v>
      </c>
      <c r="C731" t="s">
        <v>175</v>
      </c>
      <c r="D731" t="s">
        <v>32</v>
      </c>
      <c r="E731" t="s">
        <v>33</v>
      </c>
      <c r="F731" t="s">
        <v>40</v>
      </c>
      <c r="G731" t="s">
        <v>20</v>
      </c>
      <c r="H731" t="s">
        <v>113</v>
      </c>
      <c r="I731" t="s">
        <v>161</v>
      </c>
      <c r="J731">
        <v>2</v>
      </c>
      <c r="K731">
        <v>645.77</v>
      </c>
      <c r="L731">
        <v>408.1</v>
      </c>
      <c r="M731">
        <v>1007.4</v>
      </c>
      <c r="N731">
        <v>816.2</v>
      </c>
      <c r="O731">
        <v>191.2</v>
      </c>
      <c r="P731">
        <v>0.22</v>
      </c>
      <c r="Q731" t="s">
        <v>75</v>
      </c>
    </row>
    <row r="732" spans="1:17" x14ac:dyDescent="0.25">
      <c r="A732">
        <v>1730</v>
      </c>
      <c r="B732" s="1">
        <v>45596</v>
      </c>
      <c r="C732" t="s">
        <v>172</v>
      </c>
      <c r="D732" t="s">
        <v>17</v>
      </c>
      <c r="E732" t="s">
        <v>53</v>
      </c>
      <c r="F732" t="s">
        <v>19</v>
      </c>
      <c r="G732" t="s">
        <v>20</v>
      </c>
      <c r="H732" t="s">
        <v>28</v>
      </c>
      <c r="I732" t="s">
        <v>90</v>
      </c>
      <c r="J732">
        <v>5</v>
      </c>
      <c r="K732">
        <v>92.24</v>
      </c>
      <c r="L732">
        <v>49</v>
      </c>
      <c r="M732">
        <v>359.74</v>
      </c>
      <c r="N732">
        <v>245</v>
      </c>
      <c r="O732">
        <v>114.74</v>
      </c>
      <c r="P732">
        <v>0.22</v>
      </c>
      <c r="Q732" t="s">
        <v>23</v>
      </c>
    </row>
    <row r="733" spans="1:17" x14ac:dyDescent="0.25">
      <c r="A733">
        <v>1731</v>
      </c>
      <c r="B733" s="1">
        <v>45045</v>
      </c>
      <c r="C733" t="s">
        <v>65</v>
      </c>
      <c r="D733" t="s">
        <v>25</v>
      </c>
      <c r="E733" t="s">
        <v>18</v>
      </c>
      <c r="F733" t="s">
        <v>27</v>
      </c>
      <c r="G733" t="s">
        <v>41</v>
      </c>
      <c r="H733" t="s">
        <v>63</v>
      </c>
      <c r="I733" t="s">
        <v>141</v>
      </c>
      <c r="J733">
        <v>5</v>
      </c>
      <c r="K733">
        <v>66.58</v>
      </c>
      <c r="L733">
        <v>45.77</v>
      </c>
      <c r="M733">
        <v>249.67</v>
      </c>
      <c r="N733">
        <v>228.85</v>
      </c>
      <c r="O733">
        <v>20.82</v>
      </c>
      <c r="P733">
        <v>0.25</v>
      </c>
      <c r="Q733" t="s">
        <v>75</v>
      </c>
    </row>
    <row r="734" spans="1:17" x14ac:dyDescent="0.25">
      <c r="A734">
        <v>1732</v>
      </c>
      <c r="B734" s="1">
        <v>45254</v>
      </c>
      <c r="C734" t="s">
        <v>259</v>
      </c>
      <c r="D734" t="s">
        <v>17</v>
      </c>
      <c r="E734" t="s">
        <v>26</v>
      </c>
      <c r="F734" t="s">
        <v>19</v>
      </c>
      <c r="G734" t="s">
        <v>20</v>
      </c>
      <c r="H734" t="s">
        <v>28</v>
      </c>
      <c r="I734" t="s">
        <v>90</v>
      </c>
      <c r="J734">
        <v>9</v>
      </c>
      <c r="K734">
        <v>853.1</v>
      </c>
      <c r="L734">
        <v>520.88</v>
      </c>
      <c r="M734">
        <v>5835.2</v>
      </c>
      <c r="N734">
        <v>4687.92</v>
      </c>
      <c r="O734">
        <v>1147.28</v>
      </c>
      <c r="P734">
        <v>0.24</v>
      </c>
      <c r="Q734" t="s">
        <v>30</v>
      </c>
    </row>
    <row r="735" spans="1:17" x14ac:dyDescent="0.25">
      <c r="A735">
        <v>1733</v>
      </c>
      <c r="B735" s="1">
        <v>45151</v>
      </c>
      <c r="C735" t="s">
        <v>201</v>
      </c>
      <c r="D735" t="s">
        <v>32</v>
      </c>
      <c r="E735" t="s">
        <v>26</v>
      </c>
      <c r="F735" t="s">
        <v>40</v>
      </c>
      <c r="G735" t="s">
        <v>20</v>
      </c>
      <c r="H735" t="s">
        <v>113</v>
      </c>
      <c r="I735" t="s">
        <v>161</v>
      </c>
      <c r="J735">
        <v>1</v>
      </c>
      <c r="K735">
        <v>600.89</v>
      </c>
      <c r="L735">
        <v>365.41</v>
      </c>
      <c r="M735">
        <v>420.62</v>
      </c>
      <c r="N735">
        <v>365.41</v>
      </c>
      <c r="O735">
        <v>55.21</v>
      </c>
      <c r="P735">
        <v>0.3</v>
      </c>
      <c r="Q735" t="s">
        <v>44</v>
      </c>
    </row>
    <row r="736" spans="1:17" x14ac:dyDescent="0.25">
      <c r="A736">
        <v>1734</v>
      </c>
      <c r="B736" s="1">
        <v>45207</v>
      </c>
      <c r="C736" t="s">
        <v>94</v>
      </c>
      <c r="D736" t="s">
        <v>17</v>
      </c>
      <c r="E736" t="s">
        <v>53</v>
      </c>
      <c r="F736" t="s">
        <v>19</v>
      </c>
      <c r="G736" t="s">
        <v>35</v>
      </c>
      <c r="H736" t="s">
        <v>49</v>
      </c>
      <c r="I736" t="s">
        <v>59</v>
      </c>
      <c r="J736">
        <v>7</v>
      </c>
      <c r="K736">
        <v>63.52</v>
      </c>
      <c r="L736">
        <v>49.77</v>
      </c>
      <c r="M736">
        <v>422.41</v>
      </c>
      <c r="N736">
        <v>348.39</v>
      </c>
      <c r="O736">
        <v>74.02</v>
      </c>
      <c r="P736">
        <v>0.05</v>
      </c>
      <c r="Q736" t="s">
        <v>23</v>
      </c>
    </row>
    <row r="737" spans="1:17" x14ac:dyDescent="0.25">
      <c r="A737">
        <v>1735</v>
      </c>
      <c r="B737" s="1">
        <v>45157</v>
      </c>
      <c r="C737" t="s">
        <v>99</v>
      </c>
      <c r="D737" t="s">
        <v>25</v>
      </c>
      <c r="E737" t="s">
        <v>26</v>
      </c>
      <c r="F737" t="s">
        <v>27</v>
      </c>
      <c r="G737" t="s">
        <v>41</v>
      </c>
      <c r="H737" t="s">
        <v>46</v>
      </c>
      <c r="I737" t="s">
        <v>57</v>
      </c>
      <c r="J737">
        <v>3</v>
      </c>
      <c r="K737">
        <v>991.11</v>
      </c>
      <c r="L737">
        <v>685.63</v>
      </c>
      <c r="M737">
        <v>2676</v>
      </c>
      <c r="N737">
        <v>2056.89</v>
      </c>
      <c r="O737">
        <v>619.11</v>
      </c>
      <c r="P737">
        <v>0.1</v>
      </c>
      <c r="Q737" t="s">
        <v>55</v>
      </c>
    </row>
    <row r="738" spans="1:17" x14ac:dyDescent="0.25">
      <c r="A738">
        <v>1736</v>
      </c>
      <c r="B738" s="1">
        <v>45283</v>
      </c>
      <c r="C738" t="s">
        <v>272</v>
      </c>
      <c r="D738" t="s">
        <v>32</v>
      </c>
      <c r="E738" t="s">
        <v>33</v>
      </c>
      <c r="F738" t="s">
        <v>40</v>
      </c>
      <c r="G738" t="s">
        <v>35</v>
      </c>
      <c r="H738" t="s">
        <v>70</v>
      </c>
      <c r="I738" t="s">
        <v>98</v>
      </c>
      <c r="J738">
        <v>9</v>
      </c>
      <c r="K738">
        <v>396.8</v>
      </c>
      <c r="L738">
        <v>216.58</v>
      </c>
      <c r="M738">
        <v>2749.82</v>
      </c>
      <c r="N738">
        <v>1949.22</v>
      </c>
      <c r="O738">
        <v>800.6</v>
      </c>
      <c r="P738">
        <v>0.23</v>
      </c>
      <c r="Q738" t="s">
        <v>125</v>
      </c>
    </row>
    <row r="739" spans="1:17" x14ac:dyDescent="0.25">
      <c r="A739">
        <v>1737</v>
      </c>
      <c r="B739" s="1">
        <v>44982</v>
      </c>
      <c r="C739" t="s">
        <v>189</v>
      </c>
      <c r="D739" t="s">
        <v>17</v>
      </c>
      <c r="E739" t="s">
        <v>18</v>
      </c>
      <c r="F739" t="s">
        <v>27</v>
      </c>
      <c r="G739" t="s">
        <v>41</v>
      </c>
      <c r="H739" t="s">
        <v>42</v>
      </c>
      <c r="I739" t="s">
        <v>43</v>
      </c>
      <c r="J739">
        <v>3</v>
      </c>
      <c r="K739">
        <v>444.67</v>
      </c>
      <c r="L739">
        <v>297.42</v>
      </c>
      <c r="M739">
        <v>973.83</v>
      </c>
      <c r="N739">
        <v>892.26</v>
      </c>
      <c r="O739">
        <v>81.569999999999993</v>
      </c>
      <c r="P739">
        <v>0.27</v>
      </c>
      <c r="Q739" t="s">
        <v>23</v>
      </c>
    </row>
    <row r="740" spans="1:17" x14ac:dyDescent="0.25">
      <c r="A740">
        <v>1738</v>
      </c>
      <c r="B740" s="1">
        <v>45150</v>
      </c>
      <c r="C740" t="s">
        <v>292</v>
      </c>
      <c r="D740" t="s">
        <v>25</v>
      </c>
      <c r="E740" t="s">
        <v>33</v>
      </c>
      <c r="F740" t="s">
        <v>40</v>
      </c>
      <c r="G740" t="s">
        <v>41</v>
      </c>
      <c r="H740" t="s">
        <v>63</v>
      </c>
      <c r="I740" t="s">
        <v>141</v>
      </c>
      <c r="J740">
        <v>3</v>
      </c>
      <c r="K740">
        <v>379.67</v>
      </c>
      <c r="L740">
        <v>320.42</v>
      </c>
      <c r="M740">
        <v>911.21</v>
      </c>
      <c r="N740">
        <v>961.26</v>
      </c>
      <c r="O740">
        <v>-50.05</v>
      </c>
      <c r="P740">
        <v>0.2</v>
      </c>
      <c r="Q740" t="s">
        <v>92</v>
      </c>
    </row>
    <row r="741" spans="1:17" x14ac:dyDescent="0.25">
      <c r="A741">
        <v>1739</v>
      </c>
      <c r="B741" s="1">
        <v>44984</v>
      </c>
      <c r="C741" t="s">
        <v>210</v>
      </c>
      <c r="D741" t="s">
        <v>32</v>
      </c>
      <c r="E741" t="s">
        <v>26</v>
      </c>
      <c r="F741" t="s">
        <v>34</v>
      </c>
      <c r="G741" t="s">
        <v>20</v>
      </c>
      <c r="H741" t="s">
        <v>113</v>
      </c>
      <c r="I741" t="s">
        <v>161</v>
      </c>
      <c r="J741">
        <v>6</v>
      </c>
      <c r="K741">
        <v>595.42999999999995</v>
      </c>
      <c r="L741">
        <v>499.81</v>
      </c>
      <c r="M741">
        <v>2893.79</v>
      </c>
      <c r="N741">
        <v>2998.86</v>
      </c>
      <c r="O741">
        <v>-105.07</v>
      </c>
      <c r="P741">
        <v>0.19</v>
      </c>
      <c r="Q741" t="s">
        <v>75</v>
      </c>
    </row>
    <row r="742" spans="1:17" x14ac:dyDescent="0.25">
      <c r="A742">
        <v>1740</v>
      </c>
      <c r="B742" s="1">
        <v>45177</v>
      </c>
      <c r="C742" t="s">
        <v>273</v>
      </c>
      <c r="D742" t="s">
        <v>25</v>
      </c>
      <c r="E742" t="s">
        <v>53</v>
      </c>
      <c r="F742" t="s">
        <v>27</v>
      </c>
      <c r="G742" t="s">
        <v>35</v>
      </c>
      <c r="H742" t="s">
        <v>70</v>
      </c>
      <c r="I742" t="s">
        <v>84</v>
      </c>
      <c r="J742">
        <v>3</v>
      </c>
      <c r="K742">
        <v>654.53</v>
      </c>
      <c r="L742">
        <v>413.26</v>
      </c>
      <c r="M742">
        <v>1551.24</v>
      </c>
      <c r="N742">
        <v>1239.78</v>
      </c>
      <c r="O742">
        <v>311.45999999999998</v>
      </c>
      <c r="P742">
        <v>0.21</v>
      </c>
      <c r="Q742" t="s">
        <v>44</v>
      </c>
    </row>
    <row r="743" spans="1:17" x14ac:dyDescent="0.25">
      <c r="A743">
        <v>1741</v>
      </c>
      <c r="B743" s="1">
        <v>45401</v>
      </c>
      <c r="C743" t="s">
        <v>142</v>
      </c>
      <c r="D743" t="s">
        <v>17</v>
      </c>
      <c r="E743" t="s">
        <v>53</v>
      </c>
      <c r="F743" t="s">
        <v>40</v>
      </c>
      <c r="G743" t="s">
        <v>41</v>
      </c>
      <c r="H743" t="s">
        <v>63</v>
      </c>
      <c r="I743" t="s">
        <v>117</v>
      </c>
      <c r="J743">
        <v>6</v>
      </c>
      <c r="K743">
        <v>16.54</v>
      </c>
      <c r="L743">
        <v>8.9499999999999993</v>
      </c>
      <c r="M743">
        <v>95.27</v>
      </c>
      <c r="N743">
        <v>53.7</v>
      </c>
      <c r="O743">
        <v>41.57</v>
      </c>
      <c r="P743">
        <v>0.04</v>
      </c>
      <c r="Q743" t="s">
        <v>38</v>
      </c>
    </row>
    <row r="744" spans="1:17" x14ac:dyDescent="0.25">
      <c r="A744">
        <v>1742</v>
      </c>
      <c r="B744" s="1">
        <v>45157</v>
      </c>
      <c r="C744" t="s">
        <v>127</v>
      </c>
      <c r="D744" t="s">
        <v>17</v>
      </c>
      <c r="E744" t="s">
        <v>53</v>
      </c>
      <c r="F744" t="s">
        <v>40</v>
      </c>
      <c r="G744" t="s">
        <v>41</v>
      </c>
      <c r="H744" t="s">
        <v>63</v>
      </c>
      <c r="I744" t="s">
        <v>141</v>
      </c>
      <c r="J744">
        <v>10</v>
      </c>
      <c r="K744">
        <v>185.19</v>
      </c>
      <c r="L744">
        <v>123.98</v>
      </c>
      <c r="M744">
        <v>1500.04</v>
      </c>
      <c r="N744">
        <v>1239.8</v>
      </c>
      <c r="O744">
        <v>260.24</v>
      </c>
      <c r="P744">
        <v>0.19</v>
      </c>
      <c r="Q744" t="s">
        <v>75</v>
      </c>
    </row>
    <row r="745" spans="1:17" x14ac:dyDescent="0.25">
      <c r="A745">
        <v>1743</v>
      </c>
      <c r="B745" s="1">
        <v>45232</v>
      </c>
      <c r="C745" t="s">
        <v>185</v>
      </c>
      <c r="D745" t="s">
        <v>25</v>
      </c>
      <c r="E745" t="s">
        <v>18</v>
      </c>
      <c r="F745" t="s">
        <v>34</v>
      </c>
      <c r="G745" t="s">
        <v>41</v>
      </c>
      <c r="H745" t="s">
        <v>63</v>
      </c>
      <c r="I745" t="s">
        <v>141</v>
      </c>
      <c r="J745">
        <v>7</v>
      </c>
      <c r="K745">
        <v>813.8</v>
      </c>
      <c r="L745">
        <v>412.52</v>
      </c>
      <c r="M745">
        <v>4728.18</v>
      </c>
      <c r="N745">
        <v>2887.64</v>
      </c>
      <c r="O745">
        <v>1840.54</v>
      </c>
      <c r="P745">
        <v>0.17</v>
      </c>
      <c r="Q745" t="s">
        <v>38</v>
      </c>
    </row>
    <row r="746" spans="1:17" x14ac:dyDescent="0.25">
      <c r="A746">
        <v>1744</v>
      </c>
      <c r="B746" s="1">
        <v>45469</v>
      </c>
      <c r="C746" t="s">
        <v>135</v>
      </c>
      <c r="D746" t="s">
        <v>17</v>
      </c>
      <c r="E746" t="s">
        <v>33</v>
      </c>
      <c r="F746" t="s">
        <v>19</v>
      </c>
      <c r="G746" t="s">
        <v>41</v>
      </c>
      <c r="H746" t="s">
        <v>42</v>
      </c>
      <c r="I746" t="s">
        <v>77</v>
      </c>
      <c r="J746">
        <v>10</v>
      </c>
      <c r="K746">
        <v>696.74</v>
      </c>
      <c r="L746">
        <v>349.67</v>
      </c>
      <c r="M746">
        <v>6061.64</v>
      </c>
      <c r="N746">
        <v>3496.7</v>
      </c>
      <c r="O746">
        <v>2564.94</v>
      </c>
      <c r="P746">
        <v>0.13</v>
      </c>
      <c r="Q746" t="s">
        <v>85</v>
      </c>
    </row>
    <row r="747" spans="1:17" x14ac:dyDescent="0.25">
      <c r="A747">
        <v>1745</v>
      </c>
      <c r="B747" s="1">
        <v>45052</v>
      </c>
      <c r="C747" t="s">
        <v>276</v>
      </c>
      <c r="D747" t="s">
        <v>17</v>
      </c>
      <c r="E747" t="s">
        <v>26</v>
      </c>
      <c r="F747" t="s">
        <v>19</v>
      </c>
      <c r="G747" t="s">
        <v>20</v>
      </c>
      <c r="H747" t="s">
        <v>113</v>
      </c>
      <c r="I747" t="s">
        <v>153</v>
      </c>
      <c r="J747">
        <v>1</v>
      </c>
      <c r="K747">
        <v>89.19</v>
      </c>
      <c r="L747">
        <v>48.49</v>
      </c>
      <c r="M747">
        <v>81.16</v>
      </c>
      <c r="N747">
        <v>48.49</v>
      </c>
      <c r="O747">
        <v>32.67</v>
      </c>
      <c r="P747">
        <v>0.09</v>
      </c>
      <c r="Q747" t="s">
        <v>38</v>
      </c>
    </row>
    <row r="748" spans="1:17" x14ac:dyDescent="0.25">
      <c r="A748">
        <v>1746</v>
      </c>
      <c r="B748" s="1">
        <v>45102</v>
      </c>
      <c r="C748" t="s">
        <v>156</v>
      </c>
      <c r="D748" t="s">
        <v>25</v>
      </c>
      <c r="E748" t="s">
        <v>26</v>
      </c>
      <c r="F748" t="s">
        <v>40</v>
      </c>
      <c r="G748" t="s">
        <v>20</v>
      </c>
      <c r="H748" t="s">
        <v>113</v>
      </c>
      <c r="I748" t="s">
        <v>153</v>
      </c>
      <c r="J748">
        <v>9</v>
      </c>
      <c r="K748">
        <v>447.7</v>
      </c>
      <c r="L748">
        <v>314.27</v>
      </c>
      <c r="M748">
        <v>3183.15</v>
      </c>
      <c r="N748">
        <v>2828.43</v>
      </c>
      <c r="O748">
        <v>354.72</v>
      </c>
      <c r="P748">
        <v>0.21</v>
      </c>
      <c r="Q748" t="s">
        <v>38</v>
      </c>
    </row>
    <row r="749" spans="1:17" x14ac:dyDescent="0.25">
      <c r="A749">
        <v>1747</v>
      </c>
      <c r="B749" s="1">
        <v>45287</v>
      </c>
      <c r="C749" t="s">
        <v>93</v>
      </c>
      <c r="D749" t="s">
        <v>17</v>
      </c>
      <c r="E749" t="s">
        <v>26</v>
      </c>
      <c r="F749" t="s">
        <v>34</v>
      </c>
      <c r="G749" t="s">
        <v>41</v>
      </c>
      <c r="H749" t="s">
        <v>42</v>
      </c>
      <c r="I749" t="s">
        <v>77</v>
      </c>
      <c r="J749">
        <v>1</v>
      </c>
      <c r="K749">
        <v>192.13</v>
      </c>
      <c r="L749">
        <v>116.22</v>
      </c>
      <c r="M749">
        <v>144.1</v>
      </c>
      <c r="N749">
        <v>116.22</v>
      </c>
      <c r="O749">
        <v>27.88</v>
      </c>
      <c r="P749">
        <v>0.25</v>
      </c>
      <c r="Q749" t="s">
        <v>92</v>
      </c>
    </row>
    <row r="750" spans="1:17" x14ac:dyDescent="0.25">
      <c r="A750">
        <v>1748</v>
      </c>
      <c r="B750" s="1">
        <v>45543</v>
      </c>
      <c r="C750" t="s">
        <v>121</v>
      </c>
      <c r="D750" t="s">
        <v>17</v>
      </c>
      <c r="E750" t="s">
        <v>18</v>
      </c>
      <c r="F750" t="s">
        <v>40</v>
      </c>
      <c r="G750" t="s">
        <v>20</v>
      </c>
      <c r="H750" t="s">
        <v>113</v>
      </c>
      <c r="I750" t="s">
        <v>161</v>
      </c>
      <c r="J750">
        <v>7</v>
      </c>
      <c r="K750">
        <v>78.989999999999995</v>
      </c>
      <c r="L750">
        <v>46.54</v>
      </c>
      <c r="M750">
        <v>492.11</v>
      </c>
      <c r="N750">
        <v>325.77999999999997</v>
      </c>
      <c r="O750">
        <v>166.33</v>
      </c>
      <c r="P750">
        <v>0.11</v>
      </c>
      <c r="Q750" t="s">
        <v>92</v>
      </c>
    </row>
    <row r="751" spans="1:17" x14ac:dyDescent="0.25">
      <c r="A751">
        <v>1749</v>
      </c>
      <c r="B751" s="1">
        <v>45336</v>
      </c>
      <c r="C751" t="s">
        <v>135</v>
      </c>
      <c r="D751" t="s">
        <v>32</v>
      </c>
      <c r="E751" t="s">
        <v>53</v>
      </c>
      <c r="F751" t="s">
        <v>19</v>
      </c>
      <c r="G751" t="s">
        <v>41</v>
      </c>
      <c r="H751" t="s">
        <v>42</v>
      </c>
      <c r="I751" t="s">
        <v>77</v>
      </c>
      <c r="J751">
        <v>5</v>
      </c>
      <c r="K751">
        <v>995.38</v>
      </c>
      <c r="L751">
        <v>740.44</v>
      </c>
      <c r="M751">
        <v>4678.29</v>
      </c>
      <c r="N751">
        <v>3702.2</v>
      </c>
      <c r="O751">
        <v>976.09</v>
      </c>
      <c r="P751">
        <v>0.06</v>
      </c>
      <c r="Q751" t="s">
        <v>85</v>
      </c>
    </row>
    <row r="752" spans="1:17" x14ac:dyDescent="0.25">
      <c r="A752">
        <v>1750</v>
      </c>
      <c r="B752" s="1">
        <v>45504</v>
      </c>
      <c r="C752" t="s">
        <v>74</v>
      </c>
      <c r="D752" t="s">
        <v>17</v>
      </c>
      <c r="E752" t="s">
        <v>26</v>
      </c>
      <c r="F752" t="s">
        <v>27</v>
      </c>
      <c r="G752" t="s">
        <v>20</v>
      </c>
      <c r="H752" t="s">
        <v>28</v>
      </c>
      <c r="I752" t="s">
        <v>61</v>
      </c>
      <c r="J752">
        <v>7</v>
      </c>
      <c r="K752">
        <v>30.78</v>
      </c>
      <c r="L752">
        <v>21.89</v>
      </c>
      <c r="M752">
        <v>211.15</v>
      </c>
      <c r="N752">
        <v>153.22999999999999</v>
      </c>
      <c r="O752">
        <v>57.92</v>
      </c>
      <c r="P752">
        <v>0.02</v>
      </c>
      <c r="Q752" t="s">
        <v>44</v>
      </c>
    </row>
    <row r="753" spans="1:17" x14ac:dyDescent="0.25">
      <c r="A753">
        <v>1751</v>
      </c>
      <c r="B753" s="1">
        <v>45471</v>
      </c>
      <c r="C753" t="s">
        <v>279</v>
      </c>
      <c r="D753" t="s">
        <v>17</v>
      </c>
      <c r="E753" t="s">
        <v>53</v>
      </c>
      <c r="F753" t="s">
        <v>34</v>
      </c>
      <c r="G753" t="s">
        <v>35</v>
      </c>
      <c r="H753" t="s">
        <v>70</v>
      </c>
      <c r="I753" t="s">
        <v>98</v>
      </c>
      <c r="J753">
        <v>6</v>
      </c>
      <c r="K753">
        <v>909.7</v>
      </c>
      <c r="L753">
        <v>702.58</v>
      </c>
      <c r="M753">
        <v>5239.87</v>
      </c>
      <c r="N753">
        <v>4215.4799999999996</v>
      </c>
      <c r="O753">
        <v>1024.3900000000001</v>
      </c>
      <c r="P753">
        <v>0.04</v>
      </c>
      <c r="Q753" t="s">
        <v>23</v>
      </c>
    </row>
    <row r="754" spans="1:17" x14ac:dyDescent="0.25">
      <c r="A754">
        <v>1752</v>
      </c>
      <c r="B754" s="1">
        <v>45207</v>
      </c>
      <c r="C754" t="s">
        <v>273</v>
      </c>
      <c r="D754" t="s">
        <v>32</v>
      </c>
      <c r="E754" t="s">
        <v>26</v>
      </c>
      <c r="F754" t="s">
        <v>27</v>
      </c>
      <c r="G754" t="s">
        <v>20</v>
      </c>
      <c r="H754" t="s">
        <v>21</v>
      </c>
      <c r="I754" t="s">
        <v>132</v>
      </c>
      <c r="J754">
        <v>9</v>
      </c>
      <c r="K754">
        <v>729.69</v>
      </c>
      <c r="L754">
        <v>443.14</v>
      </c>
      <c r="M754">
        <v>4925.41</v>
      </c>
      <c r="N754">
        <v>3988.26</v>
      </c>
      <c r="O754">
        <v>937.15</v>
      </c>
      <c r="P754">
        <v>0.25</v>
      </c>
      <c r="Q754" t="s">
        <v>55</v>
      </c>
    </row>
    <row r="755" spans="1:17" x14ac:dyDescent="0.25">
      <c r="A755">
        <v>1753</v>
      </c>
      <c r="B755" s="1">
        <v>45024</v>
      </c>
      <c r="C755" t="s">
        <v>249</v>
      </c>
      <c r="D755" t="s">
        <v>17</v>
      </c>
      <c r="E755" t="s">
        <v>18</v>
      </c>
      <c r="F755" t="s">
        <v>40</v>
      </c>
      <c r="G755" t="s">
        <v>41</v>
      </c>
      <c r="H755" t="s">
        <v>42</v>
      </c>
      <c r="I755" t="s">
        <v>77</v>
      </c>
      <c r="J755">
        <v>3</v>
      </c>
      <c r="K755">
        <v>321.41000000000003</v>
      </c>
      <c r="L755">
        <v>245.29</v>
      </c>
      <c r="M755">
        <v>916.02</v>
      </c>
      <c r="N755">
        <v>735.87</v>
      </c>
      <c r="O755">
        <v>180.15</v>
      </c>
      <c r="P755">
        <v>0.05</v>
      </c>
      <c r="Q755" t="s">
        <v>38</v>
      </c>
    </row>
    <row r="756" spans="1:17" x14ac:dyDescent="0.25">
      <c r="A756">
        <v>1754</v>
      </c>
      <c r="B756" s="1">
        <v>45491</v>
      </c>
      <c r="C756" t="s">
        <v>193</v>
      </c>
      <c r="D756" t="s">
        <v>32</v>
      </c>
      <c r="E756" t="s">
        <v>53</v>
      </c>
      <c r="F756" t="s">
        <v>19</v>
      </c>
      <c r="G756" t="s">
        <v>35</v>
      </c>
      <c r="H756" t="s">
        <v>36</v>
      </c>
      <c r="I756" t="s">
        <v>100</v>
      </c>
      <c r="J756">
        <v>9</v>
      </c>
      <c r="K756">
        <v>714.66</v>
      </c>
      <c r="L756">
        <v>521.80999999999995</v>
      </c>
      <c r="M756">
        <v>6174.66</v>
      </c>
      <c r="N756">
        <v>4696.29</v>
      </c>
      <c r="O756">
        <v>1478.37</v>
      </c>
      <c r="P756">
        <v>0.04</v>
      </c>
      <c r="Q756" t="s">
        <v>125</v>
      </c>
    </row>
    <row r="757" spans="1:17" x14ac:dyDescent="0.25">
      <c r="A757">
        <v>1755</v>
      </c>
      <c r="B757" s="1">
        <v>45200</v>
      </c>
      <c r="C757" t="s">
        <v>131</v>
      </c>
      <c r="D757" t="s">
        <v>17</v>
      </c>
      <c r="E757" t="s">
        <v>18</v>
      </c>
      <c r="F757" t="s">
        <v>19</v>
      </c>
      <c r="G757" t="s">
        <v>41</v>
      </c>
      <c r="H757" t="s">
        <v>63</v>
      </c>
      <c r="I757" t="s">
        <v>117</v>
      </c>
      <c r="J757">
        <v>8</v>
      </c>
      <c r="K757">
        <v>187.19</v>
      </c>
      <c r="L757">
        <v>158.21</v>
      </c>
      <c r="M757">
        <v>1138.1199999999999</v>
      </c>
      <c r="N757">
        <v>1265.68</v>
      </c>
      <c r="O757">
        <v>-127.56</v>
      </c>
      <c r="P757">
        <v>0.24</v>
      </c>
      <c r="Q757" t="s">
        <v>38</v>
      </c>
    </row>
    <row r="758" spans="1:17" x14ac:dyDescent="0.25">
      <c r="A758">
        <v>1756</v>
      </c>
      <c r="B758" s="1">
        <v>45220</v>
      </c>
      <c r="C758" t="s">
        <v>86</v>
      </c>
      <c r="D758" t="s">
        <v>17</v>
      </c>
      <c r="E758" t="s">
        <v>26</v>
      </c>
      <c r="F758" t="s">
        <v>40</v>
      </c>
      <c r="G758" t="s">
        <v>41</v>
      </c>
      <c r="H758" t="s">
        <v>42</v>
      </c>
      <c r="I758" t="s">
        <v>68</v>
      </c>
      <c r="J758">
        <v>7</v>
      </c>
      <c r="K758">
        <v>771.73</v>
      </c>
      <c r="L758">
        <v>614.16999999999996</v>
      </c>
      <c r="M758">
        <v>4375.71</v>
      </c>
      <c r="N758">
        <v>4299.1899999999996</v>
      </c>
      <c r="O758">
        <v>76.52</v>
      </c>
      <c r="P758">
        <v>0.19</v>
      </c>
      <c r="Q758" t="s">
        <v>44</v>
      </c>
    </row>
    <row r="759" spans="1:17" x14ac:dyDescent="0.25">
      <c r="A759">
        <v>1757</v>
      </c>
      <c r="B759" s="1">
        <v>45172</v>
      </c>
      <c r="C759" t="s">
        <v>109</v>
      </c>
      <c r="D759" t="s">
        <v>17</v>
      </c>
      <c r="E759" t="s">
        <v>33</v>
      </c>
      <c r="F759" t="s">
        <v>34</v>
      </c>
      <c r="G759" t="s">
        <v>41</v>
      </c>
      <c r="H759" t="s">
        <v>46</v>
      </c>
      <c r="I759" t="s">
        <v>102</v>
      </c>
      <c r="J759">
        <v>8</v>
      </c>
      <c r="K759">
        <v>809.31</v>
      </c>
      <c r="L759">
        <v>407.68</v>
      </c>
      <c r="M759">
        <v>4661.63</v>
      </c>
      <c r="N759">
        <v>3261.44</v>
      </c>
      <c r="O759">
        <v>1400.19</v>
      </c>
      <c r="P759">
        <v>0.28000000000000003</v>
      </c>
      <c r="Q759" t="s">
        <v>38</v>
      </c>
    </row>
    <row r="760" spans="1:17" x14ac:dyDescent="0.25">
      <c r="A760">
        <v>1758</v>
      </c>
      <c r="B760" s="1">
        <v>45066</v>
      </c>
      <c r="C760" t="s">
        <v>188</v>
      </c>
      <c r="D760" t="s">
        <v>17</v>
      </c>
      <c r="E760" t="s">
        <v>33</v>
      </c>
      <c r="F760" t="s">
        <v>27</v>
      </c>
      <c r="G760" t="s">
        <v>20</v>
      </c>
      <c r="H760" t="s">
        <v>113</v>
      </c>
      <c r="I760" t="s">
        <v>114</v>
      </c>
      <c r="J760">
        <v>1</v>
      </c>
      <c r="K760">
        <v>715.59</v>
      </c>
      <c r="L760">
        <v>533.76</v>
      </c>
      <c r="M760">
        <v>558.16</v>
      </c>
      <c r="N760">
        <v>533.76</v>
      </c>
      <c r="O760">
        <v>24.4</v>
      </c>
      <c r="P760">
        <v>0.22</v>
      </c>
      <c r="Q760" t="s">
        <v>23</v>
      </c>
    </row>
    <row r="761" spans="1:17" x14ac:dyDescent="0.25">
      <c r="A761">
        <v>1759</v>
      </c>
      <c r="B761" s="1">
        <v>45604</v>
      </c>
      <c r="C761" t="s">
        <v>238</v>
      </c>
      <c r="D761" t="s">
        <v>17</v>
      </c>
      <c r="E761" t="s">
        <v>33</v>
      </c>
      <c r="F761" t="s">
        <v>27</v>
      </c>
      <c r="G761" t="s">
        <v>20</v>
      </c>
      <c r="H761" t="s">
        <v>113</v>
      </c>
      <c r="I761" t="s">
        <v>161</v>
      </c>
      <c r="J761">
        <v>4</v>
      </c>
      <c r="K761">
        <v>178.94</v>
      </c>
      <c r="L761">
        <v>112.46</v>
      </c>
      <c r="M761">
        <v>687.13</v>
      </c>
      <c r="N761">
        <v>449.84</v>
      </c>
      <c r="O761">
        <v>237.29</v>
      </c>
      <c r="P761">
        <v>0.04</v>
      </c>
      <c r="Q761" t="s">
        <v>85</v>
      </c>
    </row>
    <row r="762" spans="1:17" x14ac:dyDescent="0.25">
      <c r="A762">
        <v>1760</v>
      </c>
      <c r="B762" s="1">
        <v>44979</v>
      </c>
      <c r="C762" t="s">
        <v>78</v>
      </c>
      <c r="D762" t="s">
        <v>32</v>
      </c>
      <c r="E762" t="s">
        <v>26</v>
      </c>
      <c r="F762" t="s">
        <v>40</v>
      </c>
      <c r="G762" t="s">
        <v>20</v>
      </c>
      <c r="H762" t="s">
        <v>28</v>
      </c>
      <c r="I762" t="s">
        <v>81</v>
      </c>
      <c r="J762">
        <v>9</v>
      </c>
      <c r="K762">
        <v>851.52</v>
      </c>
      <c r="L762">
        <v>681.41</v>
      </c>
      <c r="M762">
        <v>6973.95</v>
      </c>
      <c r="N762">
        <v>6132.69</v>
      </c>
      <c r="O762">
        <v>841.26</v>
      </c>
      <c r="P762">
        <v>0.09</v>
      </c>
      <c r="Q762" t="s">
        <v>55</v>
      </c>
    </row>
    <row r="763" spans="1:17" x14ac:dyDescent="0.25">
      <c r="A763">
        <v>1761</v>
      </c>
      <c r="B763" s="1">
        <v>45227</v>
      </c>
      <c r="C763" t="s">
        <v>163</v>
      </c>
      <c r="D763" t="s">
        <v>25</v>
      </c>
      <c r="E763" t="s">
        <v>53</v>
      </c>
      <c r="F763" t="s">
        <v>19</v>
      </c>
      <c r="G763" t="s">
        <v>35</v>
      </c>
      <c r="H763" t="s">
        <v>70</v>
      </c>
      <c r="I763" t="s">
        <v>84</v>
      </c>
      <c r="J763">
        <v>1</v>
      </c>
      <c r="K763">
        <v>935.74</v>
      </c>
      <c r="L763">
        <v>760.17</v>
      </c>
      <c r="M763">
        <v>701.81</v>
      </c>
      <c r="N763">
        <v>760.17</v>
      </c>
      <c r="O763">
        <v>-58.36</v>
      </c>
      <c r="P763">
        <v>0.25</v>
      </c>
      <c r="Q763" t="s">
        <v>51</v>
      </c>
    </row>
    <row r="764" spans="1:17" x14ac:dyDescent="0.25">
      <c r="A764">
        <v>1762</v>
      </c>
      <c r="B764" s="1">
        <v>45291</v>
      </c>
      <c r="C764" t="s">
        <v>127</v>
      </c>
      <c r="D764" t="s">
        <v>32</v>
      </c>
      <c r="E764" t="s">
        <v>18</v>
      </c>
      <c r="F764" t="s">
        <v>40</v>
      </c>
      <c r="G764" t="s">
        <v>35</v>
      </c>
      <c r="H764" t="s">
        <v>36</v>
      </c>
      <c r="I764" t="s">
        <v>87</v>
      </c>
      <c r="J764">
        <v>6</v>
      </c>
      <c r="K764">
        <v>890.75</v>
      </c>
      <c r="L764">
        <v>503.41</v>
      </c>
      <c r="M764">
        <v>4756.6099999999997</v>
      </c>
      <c r="N764">
        <v>3020.46</v>
      </c>
      <c r="O764">
        <v>1736.15</v>
      </c>
      <c r="P764">
        <v>0.11</v>
      </c>
      <c r="Q764" t="s">
        <v>44</v>
      </c>
    </row>
    <row r="765" spans="1:17" x14ac:dyDescent="0.25">
      <c r="A765">
        <v>1763</v>
      </c>
      <c r="B765" s="1">
        <v>45368</v>
      </c>
      <c r="C765" t="s">
        <v>264</v>
      </c>
      <c r="D765" t="s">
        <v>25</v>
      </c>
      <c r="E765" t="s">
        <v>26</v>
      </c>
      <c r="F765" t="s">
        <v>27</v>
      </c>
      <c r="G765" t="s">
        <v>20</v>
      </c>
      <c r="H765" t="s">
        <v>28</v>
      </c>
      <c r="I765" t="s">
        <v>90</v>
      </c>
      <c r="J765">
        <v>3</v>
      </c>
      <c r="K765">
        <v>770.6</v>
      </c>
      <c r="L765">
        <v>452.76</v>
      </c>
      <c r="M765">
        <v>1988.15</v>
      </c>
      <c r="N765">
        <v>1358.28</v>
      </c>
      <c r="O765">
        <v>629.87</v>
      </c>
      <c r="P765">
        <v>0.14000000000000001</v>
      </c>
      <c r="Q765" t="s">
        <v>85</v>
      </c>
    </row>
    <row r="766" spans="1:17" x14ac:dyDescent="0.25">
      <c r="A766">
        <v>1764</v>
      </c>
      <c r="B766" s="1">
        <v>45233</v>
      </c>
      <c r="C766" t="s">
        <v>223</v>
      </c>
      <c r="D766" t="s">
        <v>25</v>
      </c>
      <c r="E766" t="s">
        <v>18</v>
      </c>
      <c r="F766" t="s">
        <v>34</v>
      </c>
      <c r="G766" t="s">
        <v>35</v>
      </c>
      <c r="H766" t="s">
        <v>70</v>
      </c>
      <c r="I766" t="s">
        <v>71</v>
      </c>
      <c r="J766">
        <v>3</v>
      </c>
      <c r="K766">
        <v>144.18</v>
      </c>
      <c r="L766">
        <v>109.79</v>
      </c>
      <c r="M766">
        <v>432.54</v>
      </c>
      <c r="N766">
        <v>329.37</v>
      </c>
      <c r="O766">
        <v>103.17</v>
      </c>
      <c r="P766">
        <v>0</v>
      </c>
      <c r="Q766" t="s">
        <v>23</v>
      </c>
    </row>
    <row r="767" spans="1:17" x14ac:dyDescent="0.25">
      <c r="A767">
        <v>1765</v>
      </c>
      <c r="B767" s="1">
        <v>45040</v>
      </c>
      <c r="C767" t="s">
        <v>289</v>
      </c>
      <c r="D767" t="s">
        <v>25</v>
      </c>
      <c r="E767" t="s">
        <v>26</v>
      </c>
      <c r="F767" t="s">
        <v>27</v>
      </c>
      <c r="G767" t="s">
        <v>35</v>
      </c>
      <c r="H767" t="s">
        <v>70</v>
      </c>
      <c r="I767" t="s">
        <v>71</v>
      </c>
      <c r="J767">
        <v>1</v>
      </c>
      <c r="K767">
        <v>164.51</v>
      </c>
      <c r="L767">
        <v>93.71</v>
      </c>
      <c r="M767">
        <v>141.47999999999999</v>
      </c>
      <c r="N767">
        <v>93.71</v>
      </c>
      <c r="O767">
        <v>47.77</v>
      </c>
      <c r="P767">
        <v>0.14000000000000001</v>
      </c>
      <c r="Q767" t="s">
        <v>30</v>
      </c>
    </row>
    <row r="768" spans="1:17" x14ac:dyDescent="0.25">
      <c r="A768">
        <v>1766</v>
      </c>
      <c r="B768" s="1">
        <v>45048</v>
      </c>
      <c r="C768" t="s">
        <v>78</v>
      </c>
      <c r="D768" t="s">
        <v>17</v>
      </c>
      <c r="E768" t="s">
        <v>53</v>
      </c>
      <c r="F768" t="s">
        <v>19</v>
      </c>
      <c r="G768" t="s">
        <v>35</v>
      </c>
      <c r="H768" t="s">
        <v>49</v>
      </c>
      <c r="I768" t="s">
        <v>59</v>
      </c>
      <c r="J768">
        <v>7</v>
      </c>
      <c r="K768">
        <v>135.76</v>
      </c>
      <c r="L768">
        <v>113.39</v>
      </c>
      <c r="M768">
        <v>722.24</v>
      </c>
      <c r="N768">
        <v>793.73</v>
      </c>
      <c r="O768">
        <v>-71.489999999999995</v>
      </c>
      <c r="P768">
        <v>0.24</v>
      </c>
      <c r="Q768" t="s">
        <v>92</v>
      </c>
    </row>
    <row r="769" spans="1:17" x14ac:dyDescent="0.25">
      <c r="A769">
        <v>1767</v>
      </c>
      <c r="B769" s="1">
        <v>45086</v>
      </c>
      <c r="C769" t="s">
        <v>154</v>
      </c>
      <c r="D769" t="s">
        <v>25</v>
      </c>
      <c r="E769" t="s">
        <v>26</v>
      </c>
      <c r="F769" t="s">
        <v>34</v>
      </c>
      <c r="G769" t="s">
        <v>41</v>
      </c>
      <c r="H769" t="s">
        <v>46</v>
      </c>
      <c r="I769" t="s">
        <v>57</v>
      </c>
      <c r="J769">
        <v>10</v>
      </c>
      <c r="K769">
        <v>738.74</v>
      </c>
      <c r="L769">
        <v>481.67</v>
      </c>
      <c r="M769">
        <v>6722.53</v>
      </c>
      <c r="N769">
        <v>4816.7</v>
      </c>
      <c r="O769">
        <v>1905.83</v>
      </c>
      <c r="P769">
        <v>0.09</v>
      </c>
      <c r="Q769" t="s">
        <v>55</v>
      </c>
    </row>
    <row r="770" spans="1:17" x14ac:dyDescent="0.25">
      <c r="A770">
        <v>1768</v>
      </c>
      <c r="B770" s="1">
        <v>45011</v>
      </c>
      <c r="C770" t="s">
        <v>272</v>
      </c>
      <c r="D770" t="s">
        <v>25</v>
      </c>
      <c r="E770" t="s">
        <v>26</v>
      </c>
      <c r="F770" t="s">
        <v>19</v>
      </c>
      <c r="G770" t="s">
        <v>20</v>
      </c>
      <c r="H770" t="s">
        <v>28</v>
      </c>
      <c r="I770" t="s">
        <v>90</v>
      </c>
      <c r="J770">
        <v>5</v>
      </c>
      <c r="K770">
        <v>994.29</v>
      </c>
      <c r="L770">
        <v>583.22</v>
      </c>
      <c r="M770">
        <v>3728.59</v>
      </c>
      <c r="N770">
        <v>2916.1</v>
      </c>
      <c r="O770">
        <v>812.49</v>
      </c>
      <c r="P770">
        <v>0.25</v>
      </c>
      <c r="Q770" t="s">
        <v>23</v>
      </c>
    </row>
    <row r="771" spans="1:17" x14ac:dyDescent="0.25">
      <c r="A771">
        <v>1769</v>
      </c>
      <c r="B771" s="1">
        <v>45412</v>
      </c>
      <c r="C771" t="s">
        <v>97</v>
      </c>
      <c r="D771" t="s">
        <v>25</v>
      </c>
      <c r="E771" t="s">
        <v>26</v>
      </c>
      <c r="F771" t="s">
        <v>19</v>
      </c>
      <c r="G771" t="s">
        <v>41</v>
      </c>
      <c r="H771" t="s">
        <v>63</v>
      </c>
      <c r="I771" t="s">
        <v>64</v>
      </c>
      <c r="J771">
        <v>3</v>
      </c>
      <c r="K771">
        <v>233.24</v>
      </c>
      <c r="L771">
        <v>127.42</v>
      </c>
      <c r="M771">
        <v>692.72</v>
      </c>
      <c r="N771">
        <v>382.26</v>
      </c>
      <c r="O771">
        <v>310.45999999999998</v>
      </c>
      <c r="P771">
        <v>0.01</v>
      </c>
      <c r="Q771" t="s">
        <v>23</v>
      </c>
    </row>
    <row r="772" spans="1:17" x14ac:dyDescent="0.25">
      <c r="A772">
        <v>1770</v>
      </c>
      <c r="B772" s="1">
        <v>45076</v>
      </c>
      <c r="C772" t="s">
        <v>280</v>
      </c>
      <c r="D772" t="s">
        <v>17</v>
      </c>
      <c r="E772" t="s">
        <v>26</v>
      </c>
      <c r="F772" t="s">
        <v>34</v>
      </c>
      <c r="G772" t="s">
        <v>20</v>
      </c>
      <c r="H772" t="s">
        <v>28</v>
      </c>
      <c r="I772" t="s">
        <v>61</v>
      </c>
      <c r="J772">
        <v>9</v>
      </c>
      <c r="K772">
        <v>309.91000000000003</v>
      </c>
      <c r="L772">
        <v>223.65</v>
      </c>
      <c r="M772">
        <v>2593.9499999999998</v>
      </c>
      <c r="N772">
        <v>2012.85</v>
      </c>
      <c r="O772">
        <v>581.1</v>
      </c>
      <c r="P772">
        <v>7.0000000000000007E-2</v>
      </c>
      <c r="Q772" t="s">
        <v>85</v>
      </c>
    </row>
    <row r="773" spans="1:17" x14ac:dyDescent="0.25">
      <c r="A773">
        <v>1771</v>
      </c>
      <c r="B773" s="1">
        <v>45363</v>
      </c>
      <c r="C773" t="s">
        <v>232</v>
      </c>
      <c r="D773" t="s">
        <v>17</v>
      </c>
      <c r="E773" t="s">
        <v>53</v>
      </c>
      <c r="F773" t="s">
        <v>34</v>
      </c>
      <c r="G773" t="s">
        <v>35</v>
      </c>
      <c r="H773" t="s">
        <v>36</v>
      </c>
      <c r="I773" t="s">
        <v>37</v>
      </c>
      <c r="J773">
        <v>6</v>
      </c>
      <c r="K773">
        <v>284.14999999999998</v>
      </c>
      <c r="L773">
        <v>176.99</v>
      </c>
      <c r="M773">
        <v>1483.26</v>
      </c>
      <c r="N773">
        <v>1061.94</v>
      </c>
      <c r="O773">
        <v>421.32</v>
      </c>
      <c r="P773">
        <v>0.13</v>
      </c>
      <c r="Q773" t="s">
        <v>85</v>
      </c>
    </row>
    <row r="774" spans="1:17" x14ac:dyDescent="0.25">
      <c r="A774">
        <v>1772</v>
      </c>
      <c r="B774" s="1">
        <v>44975</v>
      </c>
      <c r="C774" t="s">
        <v>228</v>
      </c>
      <c r="D774" t="s">
        <v>25</v>
      </c>
      <c r="E774" t="s">
        <v>33</v>
      </c>
      <c r="F774" t="s">
        <v>40</v>
      </c>
      <c r="G774" t="s">
        <v>20</v>
      </c>
      <c r="H774" t="s">
        <v>28</v>
      </c>
      <c r="I774" t="s">
        <v>61</v>
      </c>
      <c r="J774">
        <v>5</v>
      </c>
      <c r="K774">
        <v>908.94</v>
      </c>
      <c r="L774">
        <v>486.53</v>
      </c>
      <c r="M774">
        <v>4272.0200000000004</v>
      </c>
      <c r="N774">
        <v>2432.65</v>
      </c>
      <c r="O774">
        <v>1839.37</v>
      </c>
      <c r="P774">
        <v>0.06</v>
      </c>
      <c r="Q774" t="s">
        <v>55</v>
      </c>
    </row>
    <row r="775" spans="1:17" x14ac:dyDescent="0.25">
      <c r="A775">
        <v>1773</v>
      </c>
      <c r="B775" s="1">
        <v>45299</v>
      </c>
      <c r="C775" t="s">
        <v>281</v>
      </c>
      <c r="D775" t="s">
        <v>25</v>
      </c>
      <c r="E775" t="s">
        <v>33</v>
      </c>
      <c r="F775" t="s">
        <v>34</v>
      </c>
      <c r="G775" t="s">
        <v>41</v>
      </c>
      <c r="H775" t="s">
        <v>63</v>
      </c>
      <c r="I775" t="s">
        <v>141</v>
      </c>
      <c r="J775">
        <v>6</v>
      </c>
      <c r="K775">
        <v>363.77</v>
      </c>
      <c r="L775">
        <v>285.02</v>
      </c>
      <c r="M775">
        <v>1702.44</v>
      </c>
      <c r="N775">
        <v>1710.12</v>
      </c>
      <c r="O775">
        <v>-7.68</v>
      </c>
      <c r="P775">
        <v>0.22</v>
      </c>
      <c r="Q775" t="s">
        <v>125</v>
      </c>
    </row>
    <row r="776" spans="1:17" x14ac:dyDescent="0.25">
      <c r="A776">
        <v>1774</v>
      </c>
      <c r="B776" s="1">
        <v>45468</v>
      </c>
      <c r="C776" t="s">
        <v>65</v>
      </c>
      <c r="D776" t="s">
        <v>25</v>
      </c>
      <c r="E776" t="s">
        <v>18</v>
      </c>
      <c r="F776" t="s">
        <v>19</v>
      </c>
      <c r="G776" t="s">
        <v>41</v>
      </c>
      <c r="H776" t="s">
        <v>46</v>
      </c>
      <c r="I776" t="s">
        <v>47</v>
      </c>
      <c r="J776">
        <v>2</v>
      </c>
      <c r="K776">
        <v>134.83000000000001</v>
      </c>
      <c r="L776">
        <v>102.46</v>
      </c>
      <c r="M776">
        <v>258.87</v>
      </c>
      <c r="N776">
        <v>204.92</v>
      </c>
      <c r="O776">
        <v>53.95</v>
      </c>
      <c r="P776">
        <v>0.04</v>
      </c>
      <c r="Q776" t="s">
        <v>125</v>
      </c>
    </row>
    <row r="777" spans="1:17" x14ac:dyDescent="0.25">
      <c r="A777">
        <v>1775</v>
      </c>
      <c r="B777" s="1">
        <v>45597</v>
      </c>
      <c r="C777" t="s">
        <v>241</v>
      </c>
      <c r="D777" t="s">
        <v>25</v>
      </c>
      <c r="E777" t="s">
        <v>53</v>
      </c>
      <c r="F777" t="s">
        <v>34</v>
      </c>
      <c r="G777" t="s">
        <v>20</v>
      </c>
      <c r="H777" t="s">
        <v>113</v>
      </c>
      <c r="I777" t="s">
        <v>161</v>
      </c>
      <c r="J777">
        <v>6</v>
      </c>
      <c r="K777">
        <v>304.97000000000003</v>
      </c>
      <c r="L777">
        <v>203.1</v>
      </c>
      <c r="M777">
        <v>1408.96</v>
      </c>
      <c r="N777">
        <v>1218.5999999999999</v>
      </c>
      <c r="O777">
        <v>190.36</v>
      </c>
      <c r="P777">
        <v>0.23</v>
      </c>
      <c r="Q777" t="s">
        <v>38</v>
      </c>
    </row>
    <row r="778" spans="1:17" x14ac:dyDescent="0.25">
      <c r="A778">
        <v>1776</v>
      </c>
      <c r="B778" s="1">
        <v>45084</v>
      </c>
      <c r="C778" t="s">
        <v>276</v>
      </c>
      <c r="D778" t="s">
        <v>25</v>
      </c>
      <c r="E778" t="s">
        <v>53</v>
      </c>
      <c r="F778" t="s">
        <v>40</v>
      </c>
      <c r="G778" t="s">
        <v>41</v>
      </c>
      <c r="H778" t="s">
        <v>46</v>
      </c>
      <c r="I778" t="s">
        <v>57</v>
      </c>
      <c r="J778">
        <v>8</v>
      </c>
      <c r="K778">
        <v>631.72</v>
      </c>
      <c r="L778">
        <v>341.82</v>
      </c>
      <c r="M778">
        <v>4396.7700000000004</v>
      </c>
      <c r="N778">
        <v>2734.56</v>
      </c>
      <c r="O778">
        <v>1662.21</v>
      </c>
      <c r="P778">
        <v>0.13</v>
      </c>
      <c r="Q778" t="s">
        <v>55</v>
      </c>
    </row>
    <row r="779" spans="1:17" x14ac:dyDescent="0.25">
      <c r="A779">
        <v>1777</v>
      </c>
      <c r="B779" s="1">
        <v>45356</v>
      </c>
      <c r="C779" t="s">
        <v>224</v>
      </c>
      <c r="D779" t="s">
        <v>17</v>
      </c>
      <c r="E779" t="s">
        <v>33</v>
      </c>
      <c r="F779" t="s">
        <v>19</v>
      </c>
      <c r="G779" t="s">
        <v>41</v>
      </c>
      <c r="H779" t="s">
        <v>46</v>
      </c>
      <c r="I779" t="s">
        <v>102</v>
      </c>
      <c r="J779">
        <v>3</v>
      </c>
      <c r="K779">
        <v>293.20999999999998</v>
      </c>
      <c r="L779">
        <v>244.69</v>
      </c>
      <c r="M779">
        <v>862.04</v>
      </c>
      <c r="N779">
        <v>734.07</v>
      </c>
      <c r="O779">
        <v>127.97</v>
      </c>
      <c r="P779">
        <v>0.02</v>
      </c>
      <c r="Q779" t="s">
        <v>23</v>
      </c>
    </row>
    <row r="780" spans="1:17" x14ac:dyDescent="0.25">
      <c r="A780">
        <v>1778</v>
      </c>
      <c r="B780" s="1">
        <v>45334</v>
      </c>
      <c r="C780" t="s">
        <v>201</v>
      </c>
      <c r="D780" t="s">
        <v>17</v>
      </c>
      <c r="E780" t="s">
        <v>33</v>
      </c>
      <c r="F780" t="s">
        <v>19</v>
      </c>
      <c r="G780" t="s">
        <v>35</v>
      </c>
      <c r="H780" t="s">
        <v>70</v>
      </c>
      <c r="I780" t="s">
        <v>71</v>
      </c>
      <c r="J780">
        <v>9</v>
      </c>
      <c r="K780">
        <v>780.48</v>
      </c>
      <c r="L780">
        <v>499.74</v>
      </c>
      <c r="M780">
        <v>6462.37</v>
      </c>
      <c r="N780">
        <v>4497.66</v>
      </c>
      <c r="O780">
        <v>1964.71</v>
      </c>
      <c r="P780">
        <v>0.08</v>
      </c>
      <c r="Q780" t="s">
        <v>92</v>
      </c>
    </row>
    <row r="781" spans="1:17" x14ac:dyDescent="0.25">
      <c r="A781">
        <v>1779</v>
      </c>
      <c r="B781" s="1">
        <v>44930</v>
      </c>
      <c r="C781" t="s">
        <v>234</v>
      </c>
      <c r="D781" t="s">
        <v>25</v>
      </c>
      <c r="E781" t="s">
        <v>33</v>
      </c>
      <c r="F781" t="s">
        <v>27</v>
      </c>
      <c r="G781" t="s">
        <v>41</v>
      </c>
      <c r="H781" t="s">
        <v>63</v>
      </c>
      <c r="I781" t="s">
        <v>64</v>
      </c>
      <c r="J781">
        <v>9</v>
      </c>
      <c r="K781">
        <v>262.54000000000002</v>
      </c>
      <c r="L781">
        <v>209.6</v>
      </c>
      <c r="M781">
        <v>2150.1999999999998</v>
      </c>
      <c r="N781">
        <v>1886.4</v>
      </c>
      <c r="O781">
        <v>263.8</v>
      </c>
      <c r="P781">
        <v>0.09</v>
      </c>
      <c r="Q781" t="s">
        <v>30</v>
      </c>
    </row>
    <row r="782" spans="1:17" x14ac:dyDescent="0.25">
      <c r="A782">
        <v>1780</v>
      </c>
      <c r="B782" s="1">
        <v>45492</v>
      </c>
      <c r="C782" t="s">
        <v>109</v>
      </c>
      <c r="D782" t="s">
        <v>25</v>
      </c>
      <c r="E782" t="s">
        <v>33</v>
      </c>
      <c r="F782" t="s">
        <v>19</v>
      </c>
      <c r="G782" t="s">
        <v>35</v>
      </c>
      <c r="H782" t="s">
        <v>36</v>
      </c>
      <c r="I782" t="s">
        <v>100</v>
      </c>
      <c r="J782">
        <v>3</v>
      </c>
      <c r="K782">
        <v>942.34</v>
      </c>
      <c r="L782">
        <v>562.78</v>
      </c>
      <c r="M782">
        <v>2713.94</v>
      </c>
      <c r="N782">
        <v>1688.34</v>
      </c>
      <c r="O782">
        <v>1025.5999999999999</v>
      </c>
      <c r="P782">
        <v>0.04</v>
      </c>
      <c r="Q782" t="s">
        <v>51</v>
      </c>
    </row>
    <row r="783" spans="1:17" x14ac:dyDescent="0.25">
      <c r="A783">
        <v>1781</v>
      </c>
      <c r="B783" s="1">
        <v>45584</v>
      </c>
      <c r="C783" t="s">
        <v>110</v>
      </c>
      <c r="D783" t="s">
        <v>25</v>
      </c>
      <c r="E783" t="s">
        <v>33</v>
      </c>
      <c r="F783" t="s">
        <v>34</v>
      </c>
      <c r="G783" t="s">
        <v>41</v>
      </c>
      <c r="H783" t="s">
        <v>46</v>
      </c>
      <c r="I783" t="s">
        <v>102</v>
      </c>
      <c r="J783">
        <v>10</v>
      </c>
      <c r="K783">
        <v>972.36</v>
      </c>
      <c r="L783">
        <v>596.64</v>
      </c>
      <c r="M783">
        <v>7000.99</v>
      </c>
      <c r="N783">
        <v>5966.4</v>
      </c>
      <c r="O783">
        <v>1034.5899999999999</v>
      </c>
      <c r="P783">
        <v>0.28000000000000003</v>
      </c>
      <c r="Q783" t="s">
        <v>38</v>
      </c>
    </row>
    <row r="784" spans="1:17" x14ac:dyDescent="0.25">
      <c r="A784">
        <v>1782</v>
      </c>
      <c r="B784" s="1">
        <v>45197</v>
      </c>
      <c r="C784" t="s">
        <v>137</v>
      </c>
      <c r="D784" t="s">
        <v>32</v>
      </c>
      <c r="E784" t="s">
        <v>18</v>
      </c>
      <c r="F784" t="s">
        <v>40</v>
      </c>
      <c r="G784" t="s">
        <v>20</v>
      </c>
      <c r="H784" t="s">
        <v>113</v>
      </c>
      <c r="I784" t="s">
        <v>114</v>
      </c>
      <c r="J784">
        <v>6</v>
      </c>
      <c r="K784">
        <v>223.18</v>
      </c>
      <c r="L784">
        <v>186.99</v>
      </c>
      <c r="M784">
        <v>1272.1300000000001</v>
      </c>
      <c r="N784">
        <v>1121.94</v>
      </c>
      <c r="O784">
        <v>150.19</v>
      </c>
      <c r="P784">
        <v>0.05</v>
      </c>
      <c r="Q784" t="s">
        <v>51</v>
      </c>
    </row>
    <row r="785" spans="1:17" x14ac:dyDescent="0.25">
      <c r="A785">
        <v>1783</v>
      </c>
      <c r="B785" s="1">
        <v>45477</v>
      </c>
      <c r="C785" t="s">
        <v>89</v>
      </c>
      <c r="D785" t="s">
        <v>17</v>
      </c>
      <c r="E785" t="s">
        <v>33</v>
      </c>
      <c r="F785" t="s">
        <v>27</v>
      </c>
      <c r="G785" t="s">
        <v>41</v>
      </c>
      <c r="H785" t="s">
        <v>46</v>
      </c>
      <c r="I785" t="s">
        <v>102</v>
      </c>
      <c r="J785">
        <v>10</v>
      </c>
      <c r="K785">
        <v>553.12</v>
      </c>
      <c r="L785">
        <v>434.7</v>
      </c>
      <c r="M785">
        <v>5144.0200000000004</v>
      </c>
      <c r="N785">
        <v>4347</v>
      </c>
      <c r="O785">
        <v>797.02</v>
      </c>
      <c r="P785">
        <v>7.0000000000000007E-2</v>
      </c>
      <c r="Q785" t="s">
        <v>30</v>
      </c>
    </row>
    <row r="786" spans="1:17" x14ac:dyDescent="0.25">
      <c r="A786">
        <v>1784</v>
      </c>
      <c r="B786" s="1">
        <v>45135</v>
      </c>
      <c r="C786" t="s">
        <v>129</v>
      </c>
      <c r="D786" t="s">
        <v>32</v>
      </c>
      <c r="E786" t="s">
        <v>26</v>
      </c>
      <c r="F786" t="s">
        <v>27</v>
      </c>
      <c r="G786" t="s">
        <v>20</v>
      </c>
      <c r="H786" t="s">
        <v>113</v>
      </c>
      <c r="I786" t="s">
        <v>161</v>
      </c>
      <c r="J786">
        <v>7</v>
      </c>
      <c r="K786">
        <v>371.8</v>
      </c>
      <c r="L786">
        <v>303.3</v>
      </c>
      <c r="M786">
        <v>2524.52</v>
      </c>
      <c r="N786">
        <v>2123.1</v>
      </c>
      <c r="O786">
        <v>401.42</v>
      </c>
      <c r="P786">
        <v>0.03</v>
      </c>
      <c r="Q786" t="s">
        <v>92</v>
      </c>
    </row>
    <row r="787" spans="1:17" x14ac:dyDescent="0.25">
      <c r="A787">
        <v>1785</v>
      </c>
      <c r="B787" s="1">
        <v>45397</v>
      </c>
      <c r="C787" t="s">
        <v>291</v>
      </c>
      <c r="D787" t="s">
        <v>25</v>
      </c>
      <c r="E787" t="s">
        <v>26</v>
      </c>
      <c r="F787" t="s">
        <v>27</v>
      </c>
      <c r="G787" t="s">
        <v>41</v>
      </c>
      <c r="H787" t="s">
        <v>42</v>
      </c>
      <c r="I787" t="s">
        <v>43</v>
      </c>
      <c r="J787">
        <v>5</v>
      </c>
      <c r="K787">
        <v>25.94</v>
      </c>
      <c r="L787">
        <v>14.45</v>
      </c>
      <c r="M787">
        <v>123.22</v>
      </c>
      <c r="N787">
        <v>72.25</v>
      </c>
      <c r="O787">
        <v>50.97</v>
      </c>
      <c r="P787">
        <v>0.05</v>
      </c>
      <c r="Q787" t="s">
        <v>75</v>
      </c>
    </row>
    <row r="788" spans="1:17" x14ac:dyDescent="0.25">
      <c r="A788">
        <v>1786</v>
      </c>
      <c r="B788" s="1">
        <v>45630</v>
      </c>
      <c r="C788" t="s">
        <v>72</v>
      </c>
      <c r="D788" t="s">
        <v>25</v>
      </c>
      <c r="E788" t="s">
        <v>26</v>
      </c>
      <c r="F788" t="s">
        <v>34</v>
      </c>
      <c r="G788" t="s">
        <v>35</v>
      </c>
      <c r="H788" t="s">
        <v>36</v>
      </c>
      <c r="I788" t="s">
        <v>37</v>
      </c>
      <c r="J788">
        <v>7</v>
      </c>
      <c r="K788">
        <v>104.73</v>
      </c>
      <c r="L788">
        <v>71.67</v>
      </c>
      <c r="M788">
        <v>571.83000000000004</v>
      </c>
      <c r="N788">
        <v>501.69</v>
      </c>
      <c r="O788">
        <v>70.14</v>
      </c>
      <c r="P788">
        <v>0.22</v>
      </c>
      <c r="Q788" t="s">
        <v>51</v>
      </c>
    </row>
    <row r="789" spans="1:17" x14ac:dyDescent="0.25">
      <c r="A789">
        <v>1787</v>
      </c>
      <c r="B789" s="1">
        <v>45544</v>
      </c>
      <c r="C789" t="s">
        <v>118</v>
      </c>
      <c r="D789" t="s">
        <v>32</v>
      </c>
      <c r="E789" t="s">
        <v>33</v>
      </c>
      <c r="F789" t="s">
        <v>34</v>
      </c>
      <c r="G789" t="s">
        <v>20</v>
      </c>
      <c r="H789" t="s">
        <v>113</v>
      </c>
      <c r="I789" t="s">
        <v>114</v>
      </c>
      <c r="J789">
        <v>3</v>
      </c>
      <c r="K789">
        <v>252.1</v>
      </c>
      <c r="L789">
        <v>133.43</v>
      </c>
      <c r="M789">
        <v>726.05</v>
      </c>
      <c r="N789">
        <v>400.29</v>
      </c>
      <c r="O789">
        <v>325.76</v>
      </c>
      <c r="P789">
        <v>0.04</v>
      </c>
      <c r="Q789" t="s">
        <v>125</v>
      </c>
    </row>
    <row r="790" spans="1:17" x14ac:dyDescent="0.25">
      <c r="A790">
        <v>1788</v>
      </c>
      <c r="B790" s="1">
        <v>44940</v>
      </c>
      <c r="C790" t="s">
        <v>200</v>
      </c>
      <c r="D790" t="s">
        <v>25</v>
      </c>
      <c r="E790" t="s">
        <v>18</v>
      </c>
      <c r="F790" t="s">
        <v>34</v>
      </c>
      <c r="G790" t="s">
        <v>20</v>
      </c>
      <c r="H790" t="s">
        <v>21</v>
      </c>
      <c r="I790" t="s">
        <v>79</v>
      </c>
      <c r="J790">
        <v>10</v>
      </c>
      <c r="K790">
        <v>892.93</v>
      </c>
      <c r="L790">
        <v>701.32</v>
      </c>
      <c r="M790">
        <v>8125.66</v>
      </c>
      <c r="N790">
        <v>7013.2</v>
      </c>
      <c r="O790">
        <v>1112.46</v>
      </c>
      <c r="P790">
        <v>0.09</v>
      </c>
      <c r="Q790" t="s">
        <v>55</v>
      </c>
    </row>
    <row r="791" spans="1:17" x14ac:dyDescent="0.25">
      <c r="A791">
        <v>1789</v>
      </c>
      <c r="B791" s="1">
        <v>45085</v>
      </c>
      <c r="C791" t="s">
        <v>178</v>
      </c>
      <c r="D791" t="s">
        <v>17</v>
      </c>
      <c r="E791" t="s">
        <v>18</v>
      </c>
      <c r="F791" t="s">
        <v>34</v>
      </c>
      <c r="G791" t="s">
        <v>20</v>
      </c>
      <c r="H791" t="s">
        <v>21</v>
      </c>
      <c r="I791" t="s">
        <v>22</v>
      </c>
      <c r="J791">
        <v>9</v>
      </c>
      <c r="K791">
        <v>300.25</v>
      </c>
      <c r="L791">
        <v>203.88</v>
      </c>
      <c r="M791">
        <v>2026.69</v>
      </c>
      <c r="N791">
        <v>1834.92</v>
      </c>
      <c r="O791">
        <v>191.77</v>
      </c>
      <c r="P791">
        <v>0.25</v>
      </c>
      <c r="Q791" t="s">
        <v>92</v>
      </c>
    </row>
    <row r="792" spans="1:17" x14ac:dyDescent="0.25">
      <c r="A792">
        <v>1790</v>
      </c>
      <c r="B792" s="1">
        <v>44928</v>
      </c>
      <c r="C792" t="s">
        <v>199</v>
      </c>
      <c r="D792" t="s">
        <v>25</v>
      </c>
      <c r="E792" t="s">
        <v>26</v>
      </c>
      <c r="F792" t="s">
        <v>27</v>
      </c>
      <c r="G792" t="s">
        <v>35</v>
      </c>
      <c r="H792" t="s">
        <v>36</v>
      </c>
      <c r="I792" t="s">
        <v>37</v>
      </c>
      <c r="J792">
        <v>5</v>
      </c>
      <c r="K792">
        <v>229.75</v>
      </c>
      <c r="L792">
        <v>185.56</v>
      </c>
      <c r="M792">
        <v>1010.9</v>
      </c>
      <c r="N792">
        <v>927.8</v>
      </c>
      <c r="O792">
        <v>83.1</v>
      </c>
      <c r="P792">
        <v>0.12</v>
      </c>
      <c r="Q792" t="s">
        <v>44</v>
      </c>
    </row>
    <row r="793" spans="1:17" x14ac:dyDescent="0.25">
      <c r="A793">
        <v>1791</v>
      </c>
      <c r="B793" s="1">
        <v>45430</v>
      </c>
      <c r="C793" t="s">
        <v>145</v>
      </c>
      <c r="D793" t="s">
        <v>25</v>
      </c>
      <c r="E793" t="s">
        <v>33</v>
      </c>
      <c r="F793" t="s">
        <v>40</v>
      </c>
      <c r="G793" t="s">
        <v>35</v>
      </c>
      <c r="H793" t="s">
        <v>36</v>
      </c>
      <c r="I793" t="s">
        <v>100</v>
      </c>
      <c r="J793">
        <v>6</v>
      </c>
      <c r="K793">
        <v>122.76</v>
      </c>
      <c r="L793">
        <v>101.05</v>
      </c>
      <c r="M793">
        <v>530.32000000000005</v>
      </c>
      <c r="N793">
        <v>606.29999999999995</v>
      </c>
      <c r="O793">
        <v>-75.98</v>
      </c>
      <c r="P793">
        <v>0.28000000000000003</v>
      </c>
      <c r="Q793" t="s">
        <v>51</v>
      </c>
    </row>
    <row r="794" spans="1:17" x14ac:dyDescent="0.25">
      <c r="A794">
        <v>1792</v>
      </c>
      <c r="B794" s="1">
        <v>45546</v>
      </c>
      <c r="C794" t="s">
        <v>293</v>
      </c>
      <c r="D794" t="s">
        <v>32</v>
      </c>
      <c r="E794" t="s">
        <v>18</v>
      </c>
      <c r="F794" t="s">
        <v>19</v>
      </c>
      <c r="G794" t="s">
        <v>41</v>
      </c>
      <c r="H794" t="s">
        <v>46</v>
      </c>
      <c r="I794" t="s">
        <v>47</v>
      </c>
      <c r="J794">
        <v>5</v>
      </c>
      <c r="K794">
        <v>626.63</v>
      </c>
      <c r="L794">
        <v>376.26</v>
      </c>
      <c r="M794">
        <v>2318.5300000000002</v>
      </c>
      <c r="N794">
        <v>1881.3</v>
      </c>
      <c r="O794">
        <v>437.23</v>
      </c>
      <c r="P794">
        <v>0.26</v>
      </c>
      <c r="Q794" t="s">
        <v>30</v>
      </c>
    </row>
    <row r="795" spans="1:17" x14ac:dyDescent="0.25">
      <c r="A795">
        <v>1793</v>
      </c>
      <c r="B795" s="1">
        <v>45438</v>
      </c>
      <c r="C795" t="s">
        <v>174</v>
      </c>
      <c r="D795" t="s">
        <v>32</v>
      </c>
      <c r="E795" t="s">
        <v>33</v>
      </c>
      <c r="F795" t="s">
        <v>34</v>
      </c>
      <c r="G795" t="s">
        <v>20</v>
      </c>
      <c r="H795" t="s">
        <v>113</v>
      </c>
      <c r="I795" t="s">
        <v>114</v>
      </c>
      <c r="J795">
        <v>6</v>
      </c>
      <c r="K795">
        <v>152.04</v>
      </c>
      <c r="L795">
        <v>99.79</v>
      </c>
      <c r="M795">
        <v>693.3</v>
      </c>
      <c r="N795">
        <v>598.74</v>
      </c>
      <c r="O795">
        <v>94.56</v>
      </c>
      <c r="P795">
        <v>0.24</v>
      </c>
      <c r="Q795" t="s">
        <v>55</v>
      </c>
    </row>
    <row r="796" spans="1:17" x14ac:dyDescent="0.25">
      <c r="A796">
        <v>1794</v>
      </c>
      <c r="B796" s="1">
        <v>44995</v>
      </c>
      <c r="C796" t="s">
        <v>275</v>
      </c>
      <c r="D796" t="s">
        <v>32</v>
      </c>
      <c r="E796" t="s">
        <v>18</v>
      </c>
      <c r="F796" t="s">
        <v>19</v>
      </c>
      <c r="G796" t="s">
        <v>20</v>
      </c>
      <c r="H796" t="s">
        <v>28</v>
      </c>
      <c r="I796" t="s">
        <v>81</v>
      </c>
      <c r="J796">
        <v>3</v>
      </c>
      <c r="K796">
        <v>768.7</v>
      </c>
      <c r="L796">
        <v>479.22</v>
      </c>
      <c r="M796">
        <v>1960.19</v>
      </c>
      <c r="N796">
        <v>1437.66</v>
      </c>
      <c r="O796">
        <v>522.53</v>
      </c>
      <c r="P796">
        <v>0.15</v>
      </c>
      <c r="Q796" t="s">
        <v>55</v>
      </c>
    </row>
    <row r="797" spans="1:17" x14ac:dyDescent="0.25">
      <c r="A797">
        <v>1795</v>
      </c>
      <c r="B797" s="1">
        <v>45637</v>
      </c>
      <c r="C797" t="s">
        <v>282</v>
      </c>
      <c r="D797" t="s">
        <v>17</v>
      </c>
      <c r="E797" t="s">
        <v>18</v>
      </c>
      <c r="F797" t="s">
        <v>19</v>
      </c>
      <c r="G797" t="s">
        <v>41</v>
      </c>
      <c r="H797" t="s">
        <v>42</v>
      </c>
      <c r="I797" t="s">
        <v>68</v>
      </c>
      <c r="J797">
        <v>7</v>
      </c>
      <c r="K797">
        <v>551.59</v>
      </c>
      <c r="L797">
        <v>379.8</v>
      </c>
      <c r="M797">
        <v>3281.96</v>
      </c>
      <c r="N797">
        <v>2658.6</v>
      </c>
      <c r="O797">
        <v>623.36</v>
      </c>
      <c r="P797">
        <v>0.15</v>
      </c>
      <c r="Q797" t="s">
        <v>38</v>
      </c>
    </row>
    <row r="798" spans="1:17" x14ac:dyDescent="0.25">
      <c r="A798">
        <v>1796</v>
      </c>
      <c r="B798" s="1">
        <v>45162</v>
      </c>
      <c r="C798" t="s">
        <v>225</v>
      </c>
      <c r="D798" t="s">
        <v>17</v>
      </c>
      <c r="E798" t="s">
        <v>53</v>
      </c>
      <c r="F798" t="s">
        <v>19</v>
      </c>
      <c r="G798" t="s">
        <v>41</v>
      </c>
      <c r="H798" t="s">
        <v>42</v>
      </c>
      <c r="I798" t="s">
        <v>77</v>
      </c>
      <c r="J798">
        <v>6</v>
      </c>
      <c r="K798">
        <v>7.85</v>
      </c>
      <c r="L798">
        <v>6.66</v>
      </c>
      <c r="M798">
        <v>46.63</v>
      </c>
      <c r="N798">
        <v>39.96</v>
      </c>
      <c r="O798">
        <v>6.67</v>
      </c>
      <c r="P798">
        <v>0.01</v>
      </c>
      <c r="Q798" t="s">
        <v>38</v>
      </c>
    </row>
    <row r="799" spans="1:17" x14ac:dyDescent="0.25">
      <c r="A799">
        <v>1797</v>
      </c>
      <c r="B799" s="1">
        <v>45412</v>
      </c>
      <c r="C799" t="s">
        <v>233</v>
      </c>
      <c r="D799" t="s">
        <v>25</v>
      </c>
      <c r="E799" t="s">
        <v>33</v>
      </c>
      <c r="F799" t="s">
        <v>40</v>
      </c>
      <c r="G799" t="s">
        <v>35</v>
      </c>
      <c r="H799" t="s">
        <v>36</v>
      </c>
      <c r="I799" t="s">
        <v>37</v>
      </c>
      <c r="J799">
        <v>8</v>
      </c>
      <c r="K799">
        <v>148.41999999999999</v>
      </c>
      <c r="L799">
        <v>118.54</v>
      </c>
      <c r="M799">
        <v>843.03</v>
      </c>
      <c r="N799">
        <v>948.32</v>
      </c>
      <c r="O799">
        <v>-105.29</v>
      </c>
      <c r="P799">
        <v>0.28999999999999998</v>
      </c>
      <c r="Q799" t="s">
        <v>75</v>
      </c>
    </row>
    <row r="800" spans="1:17" x14ac:dyDescent="0.25">
      <c r="A800">
        <v>1798</v>
      </c>
      <c r="B800" s="1">
        <v>45175</v>
      </c>
      <c r="C800" t="s">
        <v>110</v>
      </c>
      <c r="D800" t="s">
        <v>25</v>
      </c>
      <c r="E800" t="s">
        <v>33</v>
      </c>
      <c r="F800" t="s">
        <v>19</v>
      </c>
      <c r="G800" t="s">
        <v>20</v>
      </c>
      <c r="H800" t="s">
        <v>113</v>
      </c>
      <c r="I800" t="s">
        <v>161</v>
      </c>
      <c r="J800">
        <v>3</v>
      </c>
      <c r="K800">
        <v>380.57</v>
      </c>
      <c r="L800">
        <v>193.79</v>
      </c>
      <c r="M800">
        <v>810.61</v>
      </c>
      <c r="N800">
        <v>581.37</v>
      </c>
      <c r="O800">
        <v>229.24</v>
      </c>
      <c r="P800">
        <v>0.28999999999999998</v>
      </c>
      <c r="Q800" t="s">
        <v>85</v>
      </c>
    </row>
    <row r="801" spans="1:17" x14ac:dyDescent="0.25">
      <c r="A801">
        <v>1799</v>
      </c>
      <c r="B801" s="1">
        <v>44982</v>
      </c>
      <c r="C801" t="s">
        <v>60</v>
      </c>
      <c r="D801" t="s">
        <v>17</v>
      </c>
      <c r="E801" t="s">
        <v>33</v>
      </c>
      <c r="F801" t="s">
        <v>27</v>
      </c>
      <c r="G801" t="s">
        <v>41</v>
      </c>
      <c r="H801" t="s">
        <v>42</v>
      </c>
      <c r="I801" t="s">
        <v>77</v>
      </c>
      <c r="J801">
        <v>3</v>
      </c>
      <c r="K801">
        <v>368.42</v>
      </c>
      <c r="L801">
        <v>194.4</v>
      </c>
      <c r="M801">
        <v>1083.1500000000001</v>
      </c>
      <c r="N801">
        <v>583.20000000000005</v>
      </c>
      <c r="O801">
        <v>499.95</v>
      </c>
      <c r="P801">
        <v>0.02</v>
      </c>
      <c r="Q801" t="s">
        <v>125</v>
      </c>
    </row>
    <row r="802" spans="1:17" x14ac:dyDescent="0.25">
      <c r="A802">
        <v>1800</v>
      </c>
      <c r="B802" s="1">
        <v>45353</v>
      </c>
      <c r="C802" t="s">
        <v>107</v>
      </c>
      <c r="D802" t="s">
        <v>25</v>
      </c>
      <c r="E802" t="s">
        <v>53</v>
      </c>
      <c r="F802" t="s">
        <v>19</v>
      </c>
      <c r="G802" t="s">
        <v>41</v>
      </c>
      <c r="H802" t="s">
        <v>63</v>
      </c>
      <c r="I802" t="s">
        <v>64</v>
      </c>
      <c r="J802">
        <v>5</v>
      </c>
      <c r="K802">
        <v>472.83</v>
      </c>
      <c r="L802">
        <v>355.99</v>
      </c>
      <c r="M802">
        <v>2056.81</v>
      </c>
      <c r="N802">
        <v>1779.95</v>
      </c>
      <c r="O802">
        <v>276.86</v>
      </c>
      <c r="P802">
        <v>0.13</v>
      </c>
      <c r="Q802" t="s">
        <v>51</v>
      </c>
    </row>
    <row r="803" spans="1:17" x14ac:dyDescent="0.25">
      <c r="A803">
        <v>1801</v>
      </c>
      <c r="B803" s="1">
        <v>45220</v>
      </c>
      <c r="C803" t="s">
        <v>109</v>
      </c>
      <c r="D803" t="s">
        <v>25</v>
      </c>
      <c r="E803" t="s">
        <v>33</v>
      </c>
      <c r="F803" t="s">
        <v>19</v>
      </c>
      <c r="G803" t="s">
        <v>41</v>
      </c>
      <c r="H803" t="s">
        <v>42</v>
      </c>
      <c r="I803" t="s">
        <v>77</v>
      </c>
      <c r="J803">
        <v>7</v>
      </c>
      <c r="K803">
        <v>833.52</v>
      </c>
      <c r="L803">
        <v>615.11</v>
      </c>
      <c r="M803">
        <v>4317.63</v>
      </c>
      <c r="N803">
        <v>4305.7700000000004</v>
      </c>
      <c r="O803">
        <v>11.86</v>
      </c>
      <c r="P803">
        <v>0.26</v>
      </c>
      <c r="Q803" t="s">
        <v>38</v>
      </c>
    </row>
    <row r="804" spans="1:17" x14ac:dyDescent="0.25">
      <c r="A804">
        <v>1802</v>
      </c>
      <c r="B804" s="1">
        <v>45655</v>
      </c>
      <c r="C804" t="s">
        <v>257</v>
      </c>
      <c r="D804" t="s">
        <v>17</v>
      </c>
      <c r="E804" t="s">
        <v>18</v>
      </c>
      <c r="F804" t="s">
        <v>19</v>
      </c>
      <c r="G804" t="s">
        <v>35</v>
      </c>
      <c r="H804" t="s">
        <v>36</v>
      </c>
      <c r="I804" t="s">
        <v>37</v>
      </c>
      <c r="J804">
        <v>2</v>
      </c>
      <c r="K804">
        <v>523.89</v>
      </c>
      <c r="L804">
        <v>441.26</v>
      </c>
      <c r="M804">
        <v>1005.87</v>
      </c>
      <c r="N804">
        <v>882.52</v>
      </c>
      <c r="O804">
        <v>123.35</v>
      </c>
      <c r="P804">
        <v>0.04</v>
      </c>
      <c r="Q804" t="s">
        <v>23</v>
      </c>
    </row>
    <row r="805" spans="1:17" x14ac:dyDescent="0.25">
      <c r="A805">
        <v>1803</v>
      </c>
      <c r="B805" s="1">
        <v>45337</v>
      </c>
      <c r="C805" t="s">
        <v>179</v>
      </c>
      <c r="D805" t="s">
        <v>25</v>
      </c>
      <c r="E805" t="s">
        <v>53</v>
      </c>
      <c r="F805" t="s">
        <v>19</v>
      </c>
      <c r="G805" t="s">
        <v>41</v>
      </c>
      <c r="H805" t="s">
        <v>63</v>
      </c>
      <c r="I805" t="s">
        <v>64</v>
      </c>
      <c r="J805">
        <v>2</v>
      </c>
      <c r="K805">
        <v>817.48</v>
      </c>
      <c r="L805">
        <v>542.77</v>
      </c>
      <c r="M805">
        <v>1487.81</v>
      </c>
      <c r="N805">
        <v>1085.54</v>
      </c>
      <c r="O805">
        <v>402.27</v>
      </c>
      <c r="P805">
        <v>0.09</v>
      </c>
      <c r="Q805" t="s">
        <v>75</v>
      </c>
    </row>
    <row r="806" spans="1:17" x14ac:dyDescent="0.25">
      <c r="A806">
        <v>1804</v>
      </c>
      <c r="B806" s="1">
        <v>45316</v>
      </c>
      <c r="C806" t="s">
        <v>228</v>
      </c>
      <c r="D806" t="s">
        <v>32</v>
      </c>
      <c r="E806" t="s">
        <v>53</v>
      </c>
      <c r="F806" t="s">
        <v>19</v>
      </c>
      <c r="G806" t="s">
        <v>35</v>
      </c>
      <c r="H806" t="s">
        <v>36</v>
      </c>
      <c r="I806" t="s">
        <v>87</v>
      </c>
      <c r="J806">
        <v>2</v>
      </c>
      <c r="K806">
        <v>365.89</v>
      </c>
      <c r="L806">
        <v>282.68</v>
      </c>
      <c r="M806">
        <v>658.6</v>
      </c>
      <c r="N806">
        <v>565.36</v>
      </c>
      <c r="O806">
        <v>93.24</v>
      </c>
      <c r="P806">
        <v>0.1</v>
      </c>
      <c r="Q806" t="s">
        <v>23</v>
      </c>
    </row>
    <row r="807" spans="1:17" x14ac:dyDescent="0.25">
      <c r="A807">
        <v>1805</v>
      </c>
      <c r="B807" s="1">
        <v>45215</v>
      </c>
      <c r="C807" t="s">
        <v>285</v>
      </c>
      <c r="D807" t="s">
        <v>25</v>
      </c>
      <c r="E807" t="s">
        <v>33</v>
      </c>
      <c r="F807" t="s">
        <v>19</v>
      </c>
      <c r="G807" t="s">
        <v>41</v>
      </c>
      <c r="H807" t="s">
        <v>42</v>
      </c>
      <c r="I807" t="s">
        <v>68</v>
      </c>
      <c r="J807">
        <v>4</v>
      </c>
      <c r="K807">
        <v>553.92999999999995</v>
      </c>
      <c r="L807">
        <v>400.73</v>
      </c>
      <c r="M807">
        <v>2193.56</v>
      </c>
      <c r="N807">
        <v>1602.92</v>
      </c>
      <c r="O807">
        <v>590.64</v>
      </c>
      <c r="P807">
        <v>0.01</v>
      </c>
      <c r="Q807" t="s">
        <v>30</v>
      </c>
    </row>
    <row r="808" spans="1:17" x14ac:dyDescent="0.25">
      <c r="A808">
        <v>1806</v>
      </c>
      <c r="B808" s="1">
        <v>45014</v>
      </c>
      <c r="C808" t="s">
        <v>204</v>
      </c>
      <c r="D808" t="s">
        <v>25</v>
      </c>
      <c r="E808" t="s">
        <v>53</v>
      </c>
      <c r="F808" t="s">
        <v>34</v>
      </c>
      <c r="G808" t="s">
        <v>20</v>
      </c>
      <c r="H808" t="s">
        <v>28</v>
      </c>
      <c r="I808" t="s">
        <v>90</v>
      </c>
      <c r="J808">
        <v>5</v>
      </c>
      <c r="K808">
        <v>13.44</v>
      </c>
      <c r="L808">
        <v>8.4</v>
      </c>
      <c r="M808">
        <v>61.82</v>
      </c>
      <c r="N808">
        <v>42</v>
      </c>
      <c r="O808">
        <v>19.82</v>
      </c>
      <c r="P808">
        <v>0.08</v>
      </c>
      <c r="Q808" t="s">
        <v>75</v>
      </c>
    </row>
    <row r="809" spans="1:17" x14ac:dyDescent="0.25">
      <c r="A809">
        <v>1807</v>
      </c>
      <c r="B809" s="1">
        <v>45439</v>
      </c>
      <c r="C809" t="s">
        <v>208</v>
      </c>
      <c r="D809" t="s">
        <v>32</v>
      </c>
      <c r="E809" t="s">
        <v>18</v>
      </c>
      <c r="F809" t="s">
        <v>19</v>
      </c>
      <c r="G809" t="s">
        <v>41</v>
      </c>
      <c r="H809" t="s">
        <v>63</v>
      </c>
      <c r="I809" t="s">
        <v>141</v>
      </c>
      <c r="J809">
        <v>6</v>
      </c>
      <c r="K809">
        <v>410.25</v>
      </c>
      <c r="L809">
        <v>311.58999999999997</v>
      </c>
      <c r="M809">
        <v>2387.65</v>
      </c>
      <c r="N809">
        <v>1869.54</v>
      </c>
      <c r="O809">
        <v>518.11</v>
      </c>
      <c r="P809">
        <v>0.03</v>
      </c>
      <c r="Q809" t="s">
        <v>92</v>
      </c>
    </row>
    <row r="810" spans="1:17" x14ac:dyDescent="0.25">
      <c r="A810">
        <v>1808</v>
      </c>
      <c r="B810" s="1">
        <v>44951</v>
      </c>
      <c r="C810" t="s">
        <v>271</v>
      </c>
      <c r="D810" t="s">
        <v>32</v>
      </c>
      <c r="E810" t="s">
        <v>53</v>
      </c>
      <c r="F810" t="s">
        <v>34</v>
      </c>
      <c r="G810" t="s">
        <v>35</v>
      </c>
      <c r="H810" t="s">
        <v>36</v>
      </c>
      <c r="I810" t="s">
        <v>87</v>
      </c>
      <c r="J810">
        <v>8</v>
      </c>
      <c r="K810">
        <v>83.36</v>
      </c>
      <c r="L810">
        <v>59.94</v>
      </c>
      <c r="M810">
        <v>473.48</v>
      </c>
      <c r="N810">
        <v>479.52</v>
      </c>
      <c r="O810">
        <v>-6.04</v>
      </c>
      <c r="P810">
        <v>0.28999999999999998</v>
      </c>
      <c r="Q810" t="s">
        <v>23</v>
      </c>
    </row>
    <row r="811" spans="1:17" x14ac:dyDescent="0.25">
      <c r="A811">
        <v>1809</v>
      </c>
      <c r="B811" s="1">
        <v>45147</v>
      </c>
      <c r="C811" t="s">
        <v>202</v>
      </c>
      <c r="D811" t="s">
        <v>17</v>
      </c>
      <c r="E811" t="s">
        <v>26</v>
      </c>
      <c r="F811" t="s">
        <v>19</v>
      </c>
      <c r="G811" t="s">
        <v>41</v>
      </c>
      <c r="H811" t="s">
        <v>63</v>
      </c>
      <c r="I811" t="s">
        <v>64</v>
      </c>
      <c r="J811">
        <v>10</v>
      </c>
      <c r="K811">
        <v>653.14</v>
      </c>
      <c r="L811">
        <v>539.22</v>
      </c>
      <c r="M811">
        <v>5878.26</v>
      </c>
      <c r="N811">
        <v>5392.2</v>
      </c>
      <c r="O811">
        <v>486.06</v>
      </c>
      <c r="P811">
        <v>0.1</v>
      </c>
      <c r="Q811" t="s">
        <v>92</v>
      </c>
    </row>
    <row r="812" spans="1:17" x14ac:dyDescent="0.25">
      <c r="A812">
        <v>1810</v>
      </c>
      <c r="B812" s="1">
        <v>45274</v>
      </c>
      <c r="C812" t="s">
        <v>255</v>
      </c>
      <c r="D812" t="s">
        <v>17</v>
      </c>
      <c r="E812" t="s">
        <v>53</v>
      </c>
      <c r="F812" t="s">
        <v>34</v>
      </c>
      <c r="G812" t="s">
        <v>41</v>
      </c>
      <c r="H812" t="s">
        <v>63</v>
      </c>
      <c r="I812" t="s">
        <v>117</v>
      </c>
      <c r="J812">
        <v>4</v>
      </c>
      <c r="K812">
        <v>212.78</v>
      </c>
      <c r="L812">
        <v>151.85</v>
      </c>
      <c r="M812">
        <v>834.1</v>
      </c>
      <c r="N812">
        <v>607.4</v>
      </c>
      <c r="O812">
        <v>226.7</v>
      </c>
      <c r="P812">
        <v>0.02</v>
      </c>
      <c r="Q812" t="s">
        <v>92</v>
      </c>
    </row>
    <row r="813" spans="1:17" x14ac:dyDescent="0.25">
      <c r="A813">
        <v>1811</v>
      </c>
      <c r="B813" s="1">
        <v>45507</v>
      </c>
      <c r="C813" t="s">
        <v>136</v>
      </c>
      <c r="D813" t="s">
        <v>25</v>
      </c>
      <c r="E813" t="s">
        <v>33</v>
      </c>
      <c r="F813" t="s">
        <v>19</v>
      </c>
      <c r="G813" t="s">
        <v>35</v>
      </c>
      <c r="H813" t="s">
        <v>70</v>
      </c>
      <c r="I813" t="s">
        <v>98</v>
      </c>
      <c r="J813">
        <v>8</v>
      </c>
      <c r="K813">
        <v>98.64</v>
      </c>
      <c r="L813">
        <v>60.15</v>
      </c>
      <c r="M813">
        <v>568.16999999999996</v>
      </c>
      <c r="N813">
        <v>481.2</v>
      </c>
      <c r="O813">
        <v>86.97</v>
      </c>
      <c r="P813">
        <v>0.28000000000000003</v>
      </c>
      <c r="Q813" t="s">
        <v>92</v>
      </c>
    </row>
    <row r="814" spans="1:17" x14ac:dyDescent="0.25">
      <c r="A814">
        <v>1812</v>
      </c>
      <c r="B814" s="1">
        <v>44996</v>
      </c>
      <c r="C814" t="s">
        <v>198</v>
      </c>
      <c r="D814" t="s">
        <v>32</v>
      </c>
      <c r="E814" t="s">
        <v>18</v>
      </c>
      <c r="F814" t="s">
        <v>34</v>
      </c>
      <c r="G814" t="s">
        <v>20</v>
      </c>
      <c r="H814" t="s">
        <v>21</v>
      </c>
      <c r="I814" t="s">
        <v>79</v>
      </c>
      <c r="J814">
        <v>5</v>
      </c>
      <c r="K814">
        <v>986.21</v>
      </c>
      <c r="L814">
        <v>830.85</v>
      </c>
      <c r="M814">
        <v>3796.91</v>
      </c>
      <c r="N814">
        <v>4154.25</v>
      </c>
      <c r="O814">
        <v>-357.34</v>
      </c>
      <c r="P814">
        <v>0.23</v>
      </c>
      <c r="Q814" t="s">
        <v>55</v>
      </c>
    </row>
    <row r="815" spans="1:17" x14ac:dyDescent="0.25">
      <c r="A815">
        <v>1813</v>
      </c>
      <c r="B815" s="1">
        <v>45592</v>
      </c>
      <c r="C815" t="s">
        <v>242</v>
      </c>
      <c r="D815" t="s">
        <v>25</v>
      </c>
      <c r="E815" t="s">
        <v>53</v>
      </c>
      <c r="F815" t="s">
        <v>34</v>
      </c>
      <c r="G815" t="s">
        <v>35</v>
      </c>
      <c r="H815" t="s">
        <v>49</v>
      </c>
      <c r="I815" t="s">
        <v>50</v>
      </c>
      <c r="J815">
        <v>7</v>
      </c>
      <c r="K815">
        <v>857.72</v>
      </c>
      <c r="L815">
        <v>704.19</v>
      </c>
      <c r="M815">
        <v>5763.88</v>
      </c>
      <c r="N815">
        <v>4929.33</v>
      </c>
      <c r="O815">
        <v>834.55</v>
      </c>
      <c r="P815">
        <v>0.04</v>
      </c>
      <c r="Q815" t="s">
        <v>85</v>
      </c>
    </row>
    <row r="816" spans="1:17" x14ac:dyDescent="0.25">
      <c r="A816">
        <v>1814</v>
      </c>
      <c r="B816" s="1">
        <v>45451</v>
      </c>
      <c r="C816" t="s">
        <v>294</v>
      </c>
      <c r="D816" t="s">
        <v>32</v>
      </c>
      <c r="E816" t="s">
        <v>18</v>
      </c>
      <c r="F816" t="s">
        <v>34</v>
      </c>
      <c r="G816" t="s">
        <v>41</v>
      </c>
      <c r="H816" t="s">
        <v>46</v>
      </c>
      <c r="I816" t="s">
        <v>102</v>
      </c>
      <c r="J816">
        <v>8</v>
      </c>
      <c r="K816">
        <v>266.51</v>
      </c>
      <c r="L816">
        <v>214.92</v>
      </c>
      <c r="M816">
        <v>1705.66</v>
      </c>
      <c r="N816">
        <v>1719.36</v>
      </c>
      <c r="O816">
        <v>-13.7</v>
      </c>
      <c r="P816">
        <v>0.2</v>
      </c>
      <c r="Q816" t="s">
        <v>125</v>
      </c>
    </row>
    <row r="817" spans="1:17" x14ac:dyDescent="0.25">
      <c r="A817">
        <v>1815</v>
      </c>
      <c r="B817" s="1">
        <v>45586</v>
      </c>
      <c r="C817" t="s">
        <v>112</v>
      </c>
      <c r="D817" t="s">
        <v>25</v>
      </c>
      <c r="E817" t="s">
        <v>33</v>
      </c>
      <c r="F817" t="s">
        <v>19</v>
      </c>
      <c r="G817" t="s">
        <v>20</v>
      </c>
      <c r="H817" t="s">
        <v>28</v>
      </c>
      <c r="I817" t="s">
        <v>61</v>
      </c>
      <c r="J817">
        <v>3</v>
      </c>
      <c r="K817">
        <v>572.28</v>
      </c>
      <c r="L817">
        <v>457.16</v>
      </c>
      <c r="M817">
        <v>1596.66</v>
      </c>
      <c r="N817">
        <v>1371.48</v>
      </c>
      <c r="O817">
        <v>225.18</v>
      </c>
      <c r="P817">
        <v>7.0000000000000007E-2</v>
      </c>
      <c r="Q817" t="s">
        <v>55</v>
      </c>
    </row>
    <row r="818" spans="1:17" x14ac:dyDescent="0.25">
      <c r="A818">
        <v>1816</v>
      </c>
      <c r="B818" s="1">
        <v>45612</v>
      </c>
      <c r="C818" t="s">
        <v>210</v>
      </c>
      <c r="D818" t="s">
        <v>32</v>
      </c>
      <c r="E818" t="s">
        <v>53</v>
      </c>
      <c r="F818" t="s">
        <v>27</v>
      </c>
      <c r="G818" t="s">
        <v>20</v>
      </c>
      <c r="H818" t="s">
        <v>21</v>
      </c>
      <c r="I818" t="s">
        <v>132</v>
      </c>
      <c r="J818">
        <v>2</v>
      </c>
      <c r="K818">
        <v>917.87</v>
      </c>
      <c r="L818">
        <v>755.29</v>
      </c>
      <c r="M818">
        <v>1413.52</v>
      </c>
      <c r="N818">
        <v>1510.58</v>
      </c>
      <c r="O818">
        <v>-97.06</v>
      </c>
      <c r="P818">
        <v>0.23</v>
      </c>
      <c r="Q818" t="s">
        <v>23</v>
      </c>
    </row>
    <row r="819" spans="1:17" x14ac:dyDescent="0.25">
      <c r="A819">
        <v>1817</v>
      </c>
      <c r="B819" s="1">
        <v>45338</v>
      </c>
      <c r="C819" t="s">
        <v>171</v>
      </c>
      <c r="D819" t="s">
        <v>32</v>
      </c>
      <c r="E819" t="s">
        <v>18</v>
      </c>
      <c r="F819" t="s">
        <v>27</v>
      </c>
      <c r="G819" t="s">
        <v>20</v>
      </c>
      <c r="H819" t="s">
        <v>113</v>
      </c>
      <c r="I819" t="s">
        <v>161</v>
      </c>
      <c r="J819">
        <v>8</v>
      </c>
      <c r="K819">
        <v>118.75</v>
      </c>
      <c r="L819">
        <v>78.27</v>
      </c>
      <c r="M819">
        <v>798</v>
      </c>
      <c r="N819">
        <v>626.16</v>
      </c>
      <c r="O819">
        <v>171.84</v>
      </c>
      <c r="P819">
        <v>0.16</v>
      </c>
      <c r="Q819" t="s">
        <v>55</v>
      </c>
    </row>
    <row r="820" spans="1:17" x14ac:dyDescent="0.25">
      <c r="A820">
        <v>1818</v>
      </c>
      <c r="B820" s="1">
        <v>45076</v>
      </c>
      <c r="C820" t="s">
        <v>244</v>
      </c>
      <c r="D820" t="s">
        <v>32</v>
      </c>
      <c r="E820" t="s">
        <v>33</v>
      </c>
      <c r="F820" t="s">
        <v>27</v>
      </c>
      <c r="G820" t="s">
        <v>20</v>
      </c>
      <c r="H820" t="s">
        <v>28</v>
      </c>
      <c r="I820" t="s">
        <v>61</v>
      </c>
      <c r="J820">
        <v>8</v>
      </c>
      <c r="K820">
        <v>217.35</v>
      </c>
      <c r="L820">
        <v>124.76</v>
      </c>
      <c r="M820">
        <v>1721.41</v>
      </c>
      <c r="N820">
        <v>998.08</v>
      </c>
      <c r="O820">
        <v>723.33</v>
      </c>
      <c r="P820">
        <v>0.01</v>
      </c>
      <c r="Q820" t="s">
        <v>75</v>
      </c>
    </row>
    <row r="821" spans="1:17" x14ac:dyDescent="0.25">
      <c r="A821">
        <v>1819</v>
      </c>
      <c r="B821" s="1">
        <v>45203</v>
      </c>
      <c r="C821" t="s">
        <v>101</v>
      </c>
      <c r="D821" t="s">
        <v>25</v>
      </c>
      <c r="E821" t="s">
        <v>33</v>
      </c>
      <c r="F821" t="s">
        <v>19</v>
      </c>
      <c r="G821" t="s">
        <v>20</v>
      </c>
      <c r="H821" t="s">
        <v>28</v>
      </c>
      <c r="I821" t="s">
        <v>61</v>
      </c>
      <c r="J821">
        <v>2</v>
      </c>
      <c r="K821">
        <v>301.85000000000002</v>
      </c>
      <c r="L821">
        <v>226.17</v>
      </c>
      <c r="M821">
        <v>446.74</v>
      </c>
      <c r="N821">
        <v>452.34</v>
      </c>
      <c r="O821">
        <v>-5.6</v>
      </c>
      <c r="P821">
        <v>0.26</v>
      </c>
      <c r="Q821" t="s">
        <v>38</v>
      </c>
    </row>
    <row r="822" spans="1:17" x14ac:dyDescent="0.25">
      <c r="A822">
        <v>1820</v>
      </c>
      <c r="B822" s="1">
        <v>45146</v>
      </c>
      <c r="C822" t="s">
        <v>212</v>
      </c>
      <c r="D822" t="s">
        <v>32</v>
      </c>
      <c r="E822" t="s">
        <v>26</v>
      </c>
      <c r="F822" t="s">
        <v>34</v>
      </c>
      <c r="G822" t="s">
        <v>20</v>
      </c>
      <c r="H822" t="s">
        <v>28</v>
      </c>
      <c r="I822" t="s">
        <v>29</v>
      </c>
      <c r="J822">
        <v>5</v>
      </c>
      <c r="K822">
        <v>168.71</v>
      </c>
      <c r="L822">
        <v>104.98</v>
      </c>
      <c r="M822">
        <v>733.89</v>
      </c>
      <c r="N822">
        <v>524.9</v>
      </c>
      <c r="O822">
        <v>208.99</v>
      </c>
      <c r="P822">
        <v>0.13</v>
      </c>
      <c r="Q822" t="s">
        <v>55</v>
      </c>
    </row>
    <row r="823" spans="1:17" x14ac:dyDescent="0.25">
      <c r="A823">
        <v>1821</v>
      </c>
      <c r="B823" s="1">
        <v>45475</v>
      </c>
      <c r="C823" t="s">
        <v>97</v>
      </c>
      <c r="D823" t="s">
        <v>25</v>
      </c>
      <c r="E823" t="s">
        <v>53</v>
      </c>
      <c r="F823" t="s">
        <v>40</v>
      </c>
      <c r="G823" t="s">
        <v>41</v>
      </c>
      <c r="H823" t="s">
        <v>63</v>
      </c>
      <c r="I823" t="s">
        <v>117</v>
      </c>
      <c r="J823">
        <v>1</v>
      </c>
      <c r="K823">
        <v>563.1</v>
      </c>
      <c r="L823">
        <v>457.7</v>
      </c>
      <c r="M823">
        <v>529.30999999999995</v>
      </c>
      <c r="N823">
        <v>457.7</v>
      </c>
      <c r="O823">
        <v>71.61</v>
      </c>
      <c r="P823">
        <v>0.06</v>
      </c>
      <c r="Q823" t="s">
        <v>125</v>
      </c>
    </row>
    <row r="824" spans="1:17" x14ac:dyDescent="0.25">
      <c r="A824">
        <v>1822</v>
      </c>
      <c r="B824" s="1">
        <v>45558</v>
      </c>
      <c r="C824" t="s">
        <v>216</v>
      </c>
      <c r="D824" t="s">
        <v>17</v>
      </c>
      <c r="E824" t="s">
        <v>18</v>
      </c>
      <c r="F824" t="s">
        <v>34</v>
      </c>
      <c r="G824" t="s">
        <v>20</v>
      </c>
      <c r="H824" t="s">
        <v>28</v>
      </c>
      <c r="I824" t="s">
        <v>81</v>
      </c>
      <c r="J824">
        <v>8</v>
      </c>
      <c r="K824">
        <v>864.98</v>
      </c>
      <c r="L824">
        <v>466.88</v>
      </c>
      <c r="M824">
        <v>4913.09</v>
      </c>
      <c r="N824">
        <v>3735.04</v>
      </c>
      <c r="O824">
        <v>1178.05</v>
      </c>
      <c r="P824">
        <v>0.28999999999999998</v>
      </c>
      <c r="Q824" t="s">
        <v>75</v>
      </c>
    </row>
    <row r="825" spans="1:17" x14ac:dyDescent="0.25">
      <c r="A825">
        <v>1823</v>
      </c>
      <c r="B825" s="1">
        <v>45196</v>
      </c>
      <c r="C825" t="s">
        <v>164</v>
      </c>
      <c r="D825" t="s">
        <v>25</v>
      </c>
      <c r="E825" t="s">
        <v>53</v>
      </c>
      <c r="F825" t="s">
        <v>19</v>
      </c>
      <c r="G825" t="s">
        <v>41</v>
      </c>
      <c r="H825" t="s">
        <v>46</v>
      </c>
      <c r="I825" t="s">
        <v>102</v>
      </c>
      <c r="J825">
        <v>10</v>
      </c>
      <c r="K825">
        <v>101.96</v>
      </c>
      <c r="L825">
        <v>58.78</v>
      </c>
      <c r="M825">
        <v>723.92</v>
      </c>
      <c r="N825">
        <v>587.79999999999995</v>
      </c>
      <c r="O825">
        <v>136.12</v>
      </c>
      <c r="P825">
        <v>0.28999999999999998</v>
      </c>
      <c r="Q825" t="s">
        <v>75</v>
      </c>
    </row>
    <row r="826" spans="1:17" x14ac:dyDescent="0.25">
      <c r="A826">
        <v>1824</v>
      </c>
      <c r="B826" s="1">
        <v>45640</v>
      </c>
      <c r="C826" t="s">
        <v>295</v>
      </c>
      <c r="D826" t="s">
        <v>25</v>
      </c>
      <c r="E826" t="s">
        <v>53</v>
      </c>
      <c r="F826" t="s">
        <v>19</v>
      </c>
      <c r="G826" t="s">
        <v>35</v>
      </c>
      <c r="H826" t="s">
        <v>36</v>
      </c>
      <c r="I826" t="s">
        <v>87</v>
      </c>
      <c r="J826">
        <v>10</v>
      </c>
      <c r="K826">
        <v>955.33</v>
      </c>
      <c r="L826">
        <v>601.47</v>
      </c>
      <c r="M826">
        <v>8502.44</v>
      </c>
      <c r="N826">
        <v>6014.7</v>
      </c>
      <c r="O826">
        <v>2487.7399999999998</v>
      </c>
      <c r="P826">
        <v>0.11</v>
      </c>
      <c r="Q826" t="s">
        <v>30</v>
      </c>
    </row>
    <row r="827" spans="1:17" x14ac:dyDescent="0.25">
      <c r="A827">
        <v>1825</v>
      </c>
      <c r="B827" s="1">
        <v>45241</v>
      </c>
      <c r="C827" t="s">
        <v>209</v>
      </c>
      <c r="D827" t="s">
        <v>25</v>
      </c>
      <c r="E827" t="s">
        <v>53</v>
      </c>
      <c r="F827" t="s">
        <v>27</v>
      </c>
      <c r="G827" t="s">
        <v>35</v>
      </c>
      <c r="H827" t="s">
        <v>49</v>
      </c>
      <c r="I827" t="s">
        <v>50</v>
      </c>
      <c r="J827">
        <v>6</v>
      </c>
      <c r="K827">
        <v>829.04</v>
      </c>
      <c r="L827">
        <v>538.09</v>
      </c>
      <c r="M827">
        <v>3531.71</v>
      </c>
      <c r="N827">
        <v>3228.54</v>
      </c>
      <c r="O827">
        <v>303.17</v>
      </c>
      <c r="P827">
        <v>0.28999999999999998</v>
      </c>
      <c r="Q827" t="s">
        <v>85</v>
      </c>
    </row>
    <row r="828" spans="1:17" x14ac:dyDescent="0.25">
      <c r="A828">
        <v>1826</v>
      </c>
      <c r="B828" s="1">
        <v>45043</v>
      </c>
      <c r="C828" t="s">
        <v>242</v>
      </c>
      <c r="D828" t="s">
        <v>32</v>
      </c>
      <c r="E828" t="s">
        <v>53</v>
      </c>
      <c r="F828" t="s">
        <v>40</v>
      </c>
      <c r="G828" t="s">
        <v>20</v>
      </c>
      <c r="H828" t="s">
        <v>113</v>
      </c>
      <c r="I828" t="s">
        <v>161</v>
      </c>
      <c r="J828">
        <v>3</v>
      </c>
      <c r="K828">
        <v>545.04999999999995</v>
      </c>
      <c r="L828">
        <v>345.31</v>
      </c>
      <c r="M828">
        <v>1226.3599999999999</v>
      </c>
      <c r="N828">
        <v>1035.93</v>
      </c>
      <c r="O828">
        <v>190.43</v>
      </c>
      <c r="P828">
        <v>0.25</v>
      </c>
      <c r="Q828" t="s">
        <v>75</v>
      </c>
    </row>
    <row r="829" spans="1:17" x14ac:dyDescent="0.25">
      <c r="A829">
        <v>1827</v>
      </c>
      <c r="B829" s="1">
        <v>45576</v>
      </c>
      <c r="C829" t="s">
        <v>240</v>
      </c>
      <c r="D829" t="s">
        <v>17</v>
      </c>
      <c r="E829" t="s">
        <v>33</v>
      </c>
      <c r="F829" t="s">
        <v>34</v>
      </c>
      <c r="G829" t="s">
        <v>20</v>
      </c>
      <c r="H829" t="s">
        <v>21</v>
      </c>
      <c r="I829" t="s">
        <v>22</v>
      </c>
      <c r="J829">
        <v>10</v>
      </c>
      <c r="K829">
        <v>932.83</v>
      </c>
      <c r="L829">
        <v>500.26</v>
      </c>
      <c r="M829">
        <v>7276.07</v>
      </c>
      <c r="N829">
        <v>5002.6000000000004</v>
      </c>
      <c r="O829">
        <v>2273.4699999999998</v>
      </c>
      <c r="P829">
        <v>0.22</v>
      </c>
      <c r="Q829" t="s">
        <v>125</v>
      </c>
    </row>
    <row r="830" spans="1:17" x14ac:dyDescent="0.25">
      <c r="A830">
        <v>1828</v>
      </c>
      <c r="B830" s="1">
        <v>45484</v>
      </c>
      <c r="C830" t="s">
        <v>279</v>
      </c>
      <c r="D830" t="s">
        <v>32</v>
      </c>
      <c r="E830" t="s">
        <v>33</v>
      </c>
      <c r="F830" t="s">
        <v>40</v>
      </c>
      <c r="G830" t="s">
        <v>35</v>
      </c>
      <c r="H830" t="s">
        <v>36</v>
      </c>
      <c r="I830" t="s">
        <v>87</v>
      </c>
      <c r="J830">
        <v>8</v>
      </c>
      <c r="K830">
        <v>553.83000000000004</v>
      </c>
      <c r="L830">
        <v>299.11</v>
      </c>
      <c r="M830">
        <v>3278.67</v>
      </c>
      <c r="N830">
        <v>2392.88</v>
      </c>
      <c r="O830">
        <v>885.79</v>
      </c>
      <c r="P830">
        <v>0.26</v>
      </c>
      <c r="Q830" t="s">
        <v>44</v>
      </c>
    </row>
    <row r="831" spans="1:17" x14ac:dyDescent="0.25">
      <c r="A831">
        <v>1829</v>
      </c>
      <c r="B831" s="1">
        <v>45286</v>
      </c>
      <c r="C831" t="s">
        <v>169</v>
      </c>
      <c r="D831" t="s">
        <v>32</v>
      </c>
      <c r="E831" t="s">
        <v>53</v>
      </c>
      <c r="F831" t="s">
        <v>27</v>
      </c>
      <c r="G831" t="s">
        <v>20</v>
      </c>
      <c r="H831" t="s">
        <v>28</v>
      </c>
      <c r="I831" t="s">
        <v>81</v>
      </c>
      <c r="J831">
        <v>9</v>
      </c>
      <c r="K831">
        <v>287.19</v>
      </c>
      <c r="L831">
        <v>232.01</v>
      </c>
      <c r="M831">
        <v>2377.9299999999998</v>
      </c>
      <c r="N831">
        <v>2088.09</v>
      </c>
      <c r="O831">
        <v>289.83999999999997</v>
      </c>
      <c r="P831">
        <v>0.08</v>
      </c>
      <c r="Q831" t="s">
        <v>75</v>
      </c>
    </row>
    <row r="832" spans="1:17" x14ac:dyDescent="0.25">
      <c r="A832">
        <v>1830</v>
      </c>
      <c r="B832" s="1">
        <v>45616</v>
      </c>
      <c r="C832" t="s">
        <v>178</v>
      </c>
      <c r="D832" t="s">
        <v>32</v>
      </c>
      <c r="E832" t="s">
        <v>33</v>
      </c>
      <c r="F832" t="s">
        <v>34</v>
      </c>
      <c r="G832" t="s">
        <v>20</v>
      </c>
      <c r="H832" t="s">
        <v>21</v>
      </c>
      <c r="I832" t="s">
        <v>54</v>
      </c>
      <c r="J832">
        <v>9</v>
      </c>
      <c r="K832">
        <v>820.93</v>
      </c>
      <c r="L832">
        <v>582.84</v>
      </c>
      <c r="M832">
        <v>6649.53</v>
      </c>
      <c r="N832">
        <v>5245.56</v>
      </c>
      <c r="O832">
        <v>1403.97</v>
      </c>
      <c r="P832">
        <v>0.1</v>
      </c>
      <c r="Q832" t="s">
        <v>125</v>
      </c>
    </row>
    <row r="833" spans="1:17" x14ac:dyDescent="0.25">
      <c r="A833">
        <v>1831</v>
      </c>
      <c r="B833" s="1">
        <v>45367</v>
      </c>
      <c r="C833" t="s">
        <v>229</v>
      </c>
      <c r="D833" t="s">
        <v>32</v>
      </c>
      <c r="E833" t="s">
        <v>26</v>
      </c>
      <c r="F833" t="s">
        <v>27</v>
      </c>
      <c r="G833" t="s">
        <v>20</v>
      </c>
      <c r="H833" t="s">
        <v>113</v>
      </c>
      <c r="I833" t="s">
        <v>153</v>
      </c>
      <c r="J833">
        <v>3</v>
      </c>
      <c r="K833">
        <v>939.69</v>
      </c>
      <c r="L833">
        <v>598.25</v>
      </c>
      <c r="M833">
        <v>2198.87</v>
      </c>
      <c r="N833">
        <v>1794.75</v>
      </c>
      <c r="O833">
        <v>404.12</v>
      </c>
      <c r="P833">
        <v>0.22</v>
      </c>
      <c r="Q833" t="s">
        <v>75</v>
      </c>
    </row>
    <row r="834" spans="1:17" x14ac:dyDescent="0.25">
      <c r="A834">
        <v>1832</v>
      </c>
      <c r="B834" s="1">
        <v>45252</v>
      </c>
      <c r="C834" t="s">
        <v>243</v>
      </c>
      <c r="D834" t="s">
        <v>32</v>
      </c>
      <c r="E834" t="s">
        <v>26</v>
      </c>
      <c r="F834" t="s">
        <v>34</v>
      </c>
      <c r="G834" t="s">
        <v>41</v>
      </c>
      <c r="H834" t="s">
        <v>42</v>
      </c>
      <c r="I834" t="s">
        <v>43</v>
      </c>
      <c r="J834">
        <v>2</v>
      </c>
      <c r="K834">
        <v>633.28</v>
      </c>
      <c r="L834">
        <v>490.47</v>
      </c>
      <c r="M834">
        <v>949.92</v>
      </c>
      <c r="N834">
        <v>980.94</v>
      </c>
      <c r="O834">
        <v>-31.02</v>
      </c>
      <c r="P834">
        <v>0.25</v>
      </c>
      <c r="Q834" t="s">
        <v>30</v>
      </c>
    </row>
    <row r="835" spans="1:17" x14ac:dyDescent="0.25">
      <c r="A835">
        <v>1833</v>
      </c>
      <c r="B835" s="1">
        <v>45493</v>
      </c>
      <c r="C835" t="s">
        <v>216</v>
      </c>
      <c r="D835" t="s">
        <v>25</v>
      </c>
      <c r="E835" t="s">
        <v>33</v>
      </c>
      <c r="F835" t="s">
        <v>34</v>
      </c>
      <c r="G835" t="s">
        <v>20</v>
      </c>
      <c r="H835" t="s">
        <v>28</v>
      </c>
      <c r="I835" t="s">
        <v>90</v>
      </c>
      <c r="J835">
        <v>10</v>
      </c>
      <c r="K835">
        <v>157.28</v>
      </c>
      <c r="L835">
        <v>112.67</v>
      </c>
      <c r="M835">
        <v>1321.15</v>
      </c>
      <c r="N835">
        <v>1126.7</v>
      </c>
      <c r="O835">
        <v>194.45</v>
      </c>
      <c r="P835">
        <v>0.16</v>
      </c>
      <c r="Q835" t="s">
        <v>44</v>
      </c>
    </row>
    <row r="836" spans="1:17" x14ac:dyDescent="0.25">
      <c r="A836">
        <v>1834</v>
      </c>
      <c r="B836" s="1">
        <v>45512</v>
      </c>
      <c r="C836" t="s">
        <v>280</v>
      </c>
      <c r="D836" t="s">
        <v>17</v>
      </c>
      <c r="E836" t="s">
        <v>26</v>
      </c>
      <c r="F836" t="s">
        <v>27</v>
      </c>
      <c r="G836" t="s">
        <v>41</v>
      </c>
      <c r="H836" t="s">
        <v>63</v>
      </c>
      <c r="I836" t="s">
        <v>117</v>
      </c>
      <c r="J836">
        <v>3</v>
      </c>
      <c r="K836">
        <v>243.52</v>
      </c>
      <c r="L836">
        <v>198.29</v>
      </c>
      <c r="M836">
        <v>664.81</v>
      </c>
      <c r="N836">
        <v>594.87</v>
      </c>
      <c r="O836">
        <v>69.94</v>
      </c>
      <c r="P836">
        <v>0.09</v>
      </c>
      <c r="Q836" t="s">
        <v>38</v>
      </c>
    </row>
    <row r="837" spans="1:17" x14ac:dyDescent="0.25">
      <c r="A837">
        <v>1835</v>
      </c>
      <c r="B837" s="1">
        <v>45178</v>
      </c>
      <c r="C837" t="s">
        <v>97</v>
      </c>
      <c r="D837" t="s">
        <v>32</v>
      </c>
      <c r="E837" t="s">
        <v>18</v>
      </c>
      <c r="F837" t="s">
        <v>34</v>
      </c>
      <c r="G837" t="s">
        <v>35</v>
      </c>
      <c r="H837" t="s">
        <v>36</v>
      </c>
      <c r="I837" t="s">
        <v>87</v>
      </c>
      <c r="J837">
        <v>1</v>
      </c>
      <c r="K837">
        <v>640.19000000000005</v>
      </c>
      <c r="L837">
        <v>449.91</v>
      </c>
      <c r="M837">
        <v>620.98</v>
      </c>
      <c r="N837">
        <v>449.91</v>
      </c>
      <c r="O837">
        <v>171.07</v>
      </c>
      <c r="P837">
        <v>0.03</v>
      </c>
      <c r="Q837" t="s">
        <v>55</v>
      </c>
    </row>
    <row r="838" spans="1:17" x14ac:dyDescent="0.25">
      <c r="A838">
        <v>1836</v>
      </c>
      <c r="B838" s="1">
        <v>45537</v>
      </c>
      <c r="C838" t="s">
        <v>251</v>
      </c>
      <c r="D838" t="s">
        <v>25</v>
      </c>
      <c r="E838" t="s">
        <v>18</v>
      </c>
      <c r="F838" t="s">
        <v>40</v>
      </c>
      <c r="G838" t="s">
        <v>20</v>
      </c>
      <c r="H838" t="s">
        <v>21</v>
      </c>
      <c r="I838" t="s">
        <v>22</v>
      </c>
      <c r="J838">
        <v>8</v>
      </c>
      <c r="K838">
        <v>845.4</v>
      </c>
      <c r="L838">
        <v>692.76</v>
      </c>
      <c r="M838">
        <v>6357.41</v>
      </c>
      <c r="N838">
        <v>5542.08</v>
      </c>
      <c r="O838">
        <v>815.33</v>
      </c>
      <c r="P838">
        <v>0.06</v>
      </c>
      <c r="Q838" t="s">
        <v>44</v>
      </c>
    </row>
    <row r="839" spans="1:17" x14ac:dyDescent="0.25">
      <c r="A839">
        <v>1837</v>
      </c>
      <c r="B839" s="1">
        <v>45429</v>
      </c>
      <c r="C839" t="s">
        <v>200</v>
      </c>
      <c r="D839" t="s">
        <v>32</v>
      </c>
      <c r="E839" t="s">
        <v>33</v>
      </c>
      <c r="F839" t="s">
        <v>27</v>
      </c>
      <c r="G839" t="s">
        <v>41</v>
      </c>
      <c r="H839" t="s">
        <v>42</v>
      </c>
      <c r="I839" t="s">
        <v>77</v>
      </c>
      <c r="J839">
        <v>7</v>
      </c>
      <c r="K839">
        <v>378.38</v>
      </c>
      <c r="L839">
        <v>230.72</v>
      </c>
      <c r="M839">
        <v>1933.52</v>
      </c>
      <c r="N839">
        <v>1615.04</v>
      </c>
      <c r="O839">
        <v>318.48</v>
      </c>
      <c r="P839">
        <v>0.27</v>
      </c>
      <c r="Q839" t="s">
        <v>92</v>
      </c>
    </row>
    <row r="840" spans="1:17" x14ac:dyDescent="0.25">
      <c r="A840">
        <v>1838</v>
      </c>
      <c r="B840" s="1">
        <v>45111</v>
      </c>
      <c r="C840" t="s">
        <v>296</v>
      </c>
      <c r="D840" t="s">
        <v>25</v>
      </c>
      <c r="E840" t="s">
        <v>33</v>
      </c>
      <c r="F840" t="s">
        <v>34</v>
      </c>
      <c r="G840" t="s">
        <v>35</v>
      </c>
      <c r="H840" t="s">
        <v>49</v>
      </c>
      <c r="I840" t="s">
        <v>50</v>
      </c>
      <c r="J840">
        <v>10</v>
      </c>
      <c r="K840">
        <v>601.99</v>
      </c>
      <c r="L840">
        <v>302.05</v>
      </c>
      <c r="M840">
        <v>5056.72</v>
      </c>
      <c r="N840">
        <v>3020.5</v>
      </c>
      <c r="O840">
        <v>2036.22</v>
      </c>
      <c r="P840">
        <v>0.16</v>
      </c>
      <c r="Q840" t="s">
        <v>30</v>
      </c>
    </row>
    <row r="841" spans="1:17" x14ac:dyDescent="0.25">
      <c r="A841">
        <v>1839</v>
      </c>
      <c r="B841" s="1">
        <v>45051</v>
      </c>
      <c r="C841" t="s">
        <v>83</v>
      </c>
      <c r="D841" t="s">
        <v>25</v>
      </c>
      <c r="E841" t="s">
        <v>33</v>
      </c>
      <c r="F841" t="s">
        <v>19</v>
      </c>
      <c r="G841" t="s">
        <v>20</v>
      </c>
      <c r="H841" t="s">
        <v>28</v>
      </c>
      <c r="I841" t="s">
        <v>90</v>
      </c>
      <c r="J841">
        <v>4</v>
      </c>
      <c r="K841">
        <v>34.35</v>
      </c>
      <c r="L841">
        <v>18.84</v>
      </c>
      <c r="M841">
        <v>133.28</v>
      </c>
      <c r="N841">
        <v>75.36</v>
      </c>
      <c r="O841">
        <v>57.92</v>
      </c>
      <c r="P841">
        <v>0.03</v>
      </c>
      <c r="Q841" t="s">
        <v>92</v>
      </c>
    </row>
    <row r="842" spans="1:17" x14ac:dyDescent="0.25">
      <c r="A842">
        <v>1840</v>
      </c>
      <c r="B842" s="1">
        <v>45201</v>
      </c>
      <c r="C842" t="s">
        <v>76</v>
      </c>
      <c r="D842" t="s">
        <v>25</v>
      </c>
      <c r="E842" t="s">
        <v>33</v>
      </c>
      <c r="F842" t="s">
        <v>40</v>
      </c>
      <c r="G842" t="s">
        <v>41</v>
      </c>
      <c r="H842" t="s">
        <v>63</v>
      </c>
      <c r="I842" t="s">
        <v>64</v>
      </c>
      <c r="J842">
        <v>5</v>
      </c>
      <c r="K842">
        <v>469.71</v>
      </c>
      <c r="L842">
        <v>367.86</v>
      </c>
      <c r="M842">
        <v>2043.24</v>
      </c>
      <c r="N842">
        <v>1839.3</v>
      </c>
      <c r="O842">
        <v>203.94</v>
      </c>
      <c r="P842">
        <v>0.13</v>
      </c>
      <c r="Q842" t="s">
        <v>75</v>
      </c>
    </row>
    <row r="843" spans="1:17" x14ac:dyDescent="0.25">
      <c r="A843">
        <v>1841</v>
      </c>
      <c r="B843" s="1">
        <v>45124</v>
      </c>
      <c r="C843" t="s">
        <v>56</v>
      </c>
      <c r="D843" t="s">
        <v>25</v>
      </c>
      <c r="E843" t="s">
        <v>18</v>
      </c>
      <c r="F843" t="s">
        <v>27</v>
      </c>
      <c r="G843" t="s">
        <v>20</v>
      </c>
      <c r="H843" t="s">
        <v>113</v>
      </c>
      <c r="I843" t="s">
        <v>161</v>
      </c>
      <c r="J843">
        <v>5</v>
      </c>
      <c r="K843">
        <v>169.82</v>
      </c>
      <c r="L843">
        <v>97.14</v>
      </c>
      <c r="M843">
        <v>662.3</v>
      </c>
      <c r="N843">
        <v>485.7</v>
      </c>
      <c r="O843">
        <v>176.6</v>
      </c>
      <c r="P843">
        <v>0.22</v>
      </c>
      <c r="Q843" t="s">
        <v>75</v>
      </c>
    </row>
    <row r="844" spans="1:17" x14ac:dyDescent="0.25">
      <c r="A844">
        <v>1842</v>
      </c>
      <c r="B844" s="1">
        <v>45383</v>
      </c>
      <c r="C844" t="s">
        <v>282</v>
      </c>
      <c r="D844" t="s">
        <v>17</v>
      </c>
      <c r="E844" t="s">
        <v>18</v>
      </c>
      <c r="F844" t="s">
        <v>40</v>
      </c>
      <c r="G844" t="s">
        <v>41</v>
      </c>
      <c r="H844" t="s">
        <v>42</v>
      </c>
      <c r="I844" t="s">
        <v>43</v>
      </c>
      <c r="J844">
        <v>7</v>
      </c>
      <c r="K844">
        <v>432.17</v>
      </c>
      <c r="L844">
        <v>301.87</v>
      </c>
      <c r="M844">
        <v>2692.42</v>
      </c>
      <c r="N844">
        <v>2113.09</v>
      </c>
      <c r="O844">
        <v>579.33000000000004</v>
      </c>
      <c r="P844">
        <v>0.11</v>
      </c>
      <c r="Q844" t="s">
        <v>44</v>
      </c>
    </row>
    <row r="845" spans="1:17" x14ac:dyDescent="0.25">
      <c r="A845">
        <v>1843</v>
      </c>
      <c r="B845" s="1">
        <v>45387</v>
      </c>
      <c r="C845" t="s">
        <v>233</v>
      </c>
      <c r="D845" t="s">
        <v>25</v>
      </c>
      <c r="E845" t="s">
        <v>18</v>
      </c>
      <c r="F845" t="s">
        <v>27</v>
      </c>
      <c r="G845" t="s">
        <v>35</v>
      </c>
      <c r="H845" t="s">
        <v>70</v>
      </c>
      <c r="I845" t="s">
        <v>84</v>
      </c>
      <c r="J845">
        <v>9</v>
      </c>
      <c r="K845">
        <v>355.49</v>
      </c>
      <c r="L845">
        <v>181.47</v>
      </c>
      <c r="M845">
        <v>3039.44</v>
      </c>
      <c r="N845">
        <v>1633.23</v>
      </c>
      <c r="O845">
        <v>1406.21</v>
      </c>
      <c r="P845">
        <v>0.05</v>
      </c>
      <c r="Q845" t="s">
        <v>85</v>
      </c>
    </row>
    <row r="846" spans="1:17" x14ac:dyDescent="0.25">
      <c r="A846">
        <v>1844</v>
      </c>
      <c r="B846" s="1">
        <v>45366</v>
      </c>
      <c r="C846" t="s">
        <v>62</v>
      </c>
      <c r="D846" t="s">
        <v>32</v>
      </c>
      <c r="E846" t="s">
        <v>26</v>
      </c>
      <c r="F846" t="s">
        <v>34</v>
      </c>
      <c r="G846" t="s">
        <v>20</v>
      </c>
      <c r="H846" t="s">
        <v>113</v>
      </c>
      <c r="I846" t="s">
        <v>153</v>
      </c>
      <c r="J846">
        <v>6</v>
      </c>
      <c r="K846">
        <v>149.31</v>
      </c>
      <c r="L846">
        <v>91.09</v>
      </c>
      <c r="M846">
        <v>895.86</v>
      </c>
      <c r="N846">
        <v>546.54</v>
      </c>
      <c r="O846">
        <v>349.32</v>
      </c>
      <c r="P846">
        <v>0</v>
      </c>
      <c r="Q846" t="s">
        <v>51</v>
      </c>
    </row>
    <row r="847" spans="1:17" x14ac:dyDescent="0.25">
      <c r="A847">
        <v>1845</v>
      </c>
      <c r="B847" s="1">
        <v>45263</v>
      </c>
      <c r="C847" t="s">
        <v>267</v>
      </c>
      <c r="D847" t="s">
        <v>17</v>
      </c>
      <c r="E847" t="s">
        <v>18</v>
      </c>
      <c r="F847" t="s">
        <v>19</v>
      </c>
      <c r="G847" t="s">
        <v>41</v>
      </c>
      <c r="H847" t="s">
        <v>42</v>
      </c>
      <c r="I847" t="s">
        <v>68</v>
      </c>
      <c r="J847">
        <v>5</v>
      </c>
      <c r="K847">
        <v>603.79</v>
      </c>
      <c r="L847">
        <v>413.32</v>
      </c>
      <c r="M847">
        <v>2928.38</v>
      </c>
      <c r="N847">
        <v>2066.6</v>
      </c>
      <c r="O847">
        <v>861.78</v>
      </c>
      <c r="P847">
        <v>0.03</v>
      </c>
      <c r="Q847" t="s">
        <v>30</v>
      </c>
    </row>
    <row r="848" spans="1:17" x14ac:dyDescent="0.25">
      <c r="A848">
        <v>1846</v>
      </c>
      <c r="B848" s="1">
        <v>45549</v>
      </c>
      <c r="C848" t="s">
        <v>245</v>
      </c>
      <c r="D848" t="s">
        <v>17</v>
      </c>
      <c r="E848" t="s">
        <v>33</v>
      </c>
      <c r="F848" t="s">
        <v>27</v>
      </c>
      <c r="G848" t="s">
        <v>41</v>
      </c>
      <c r="H848" t="s">
        <v>46</v>
      </c>
      <c r="I848" t="s">
        <v>57</v>
      </c>
      <c r="J848">
        <v>6</v>
      </c>
      <c r="K848">
        <v>202.16</v>
      </c>
      <c r="L848">
        <v>104.59</v>
      </c>
      <c r="M848">
        <v>1031.02</v>
      </c>
      <c r="N848">
        <v>627.54</v>
      </c>
      <c r="O848">
        <v>403.48</v>
      </c>
      <c r="P848">
        <v>0.15</v>
      </c>
      <c r="Q848" t="s">
        <v>51</v>
      </c>
    </row>
    <row r="849" spans="1:17" x14ac:dyDescent="0.25">
      <c r="A849">
        <v>1847</v>
      </c>
      <c r="B849" s="1">
        <v>45208</v>
      </c>
      <c r="C849" t="s">
        <v>225</v>
      </c>
      <c r="D849" t="s">
        <v>25</v>
      </c>
      <c r="E849" t="s">
        <v>53</v>
      </c>
      <c r="F849" t="s">
        <v>19</v>
      </c>
      <c r="G849" t="s">
        <v>41</v>
      </c>
      <c r="H849" t="s">
        <v>46</v>
      </c>
      <c r="I849" t="s">
        <v>102</v>
      </c>
      <c r="J849">
        <v>7</v>
      </c>
      <c r="K849">
        <v>240.24</v>
      </c>
      <c r="L849">
        <v>121.91</v>
      </c>
      <c r="M849">
        <v>1664.86</v>
      </c>
      <c r="N849">
        <v>853.37</v>
      </c>
      <c r="O849">
        <v>811.49</v>
      </c>
      <c r="P849">
        <v>0.01</v>
      </c>
      <c r="Q849" t="s">
        <v>125</v>
      </c>
    </row>
    <row r="850" spans="1:17" x14ac:dyDescent="0.25">
      <c r="A850">
        <v>1848</v>
      </c>
      <c r="B850" s="1">
        <v>44931</v>
      </c>
      <c r="C850" t="s">
        <v>158</v>
      </c>
      <c r="D850" t="s">
        <v>32</v>
      </c>
      <c r="E850" t="s">
        <v>26</v>
      </c>
      <c r="F850" t="s">
        <v>27</v>
      </c>
      <c r="G850" t="s">
        <v>20</v>
      </c>
      <c r="H850" t="s">
        <v>113</v>
      </c>
      <c r="I850" t="s">
        <v>161</v>
      </c>
      <c r="J850">
        <v>1</v>
      </c>
      <c r="K850">
        <v>340.7</v>
      </c>
      <c r="L850">
        <v>172.29</v>
      </c>
      <c r="M850">
        <v>293</v>
      </c>
      <c r="N850">
        <v>172.29</v>
      </c>
      <c r="O850">
        <v>120.71</v>
      </c>
      <c r="P850">
        <v>0.14000000000000001</v>
      </c>
      <c r="Q850" t="s">
        <v>75</v>
      </c>
    </row>
    <row r="851" spans="1:17" x14ac:dyDescent="0.25">
      <c r="A851">
        <v>1849</v>
      </c>
      <c r="B851" s="1">
        <v>45235</v>
      </c>
      <c r="C851" t="s">
        <v>255</v>
      </c>
      <c r="D851" t="s">
        <v>32</v>
      </c>
      <c r="E851" t="s">
        <v>53</v>
      </c>
      <c r="F851" t="s">
        <v>34</v>
      </c>
      <c r="G851" t="s">
        <v>41</v>
      </c>
      <c r="H851" t="s">
        <v>46</v>
      </c>
      <c r="I851" t="s">
        <v>57</v>
      </c>
      <c r="J851">
        <v>10</v>
      </c>
      <c r="K851">
        <v>51.84</v>
      </c>
      <c r="L851">
        <v>31.33</v>
      </c>
      <c r="M851">
        <v>362.88</v>
      </c>
      <c r="N851">
        <v>313.3</v>
      </c>
      <c r="O851">
        <v>49.58</v>
      </c>
      <c r="P851">
        <v>0.3</v>
      </c>
      <c r="Q851" t="s">
        <v>55</v>
      </c>
    </row>
    <row r="852" spans="1:17" x14ac:dyDescent="0.25">
      <c r="A852">
        <v>1850</v>
      </c>
      <c r="B852" s="1">
        <v>45583</v>
      </c>
      <c r="C852" t="s">
        <v>215</v>
      </c>
      <c r="D852" t="s">
        <v>32</v>
      </c>
      <c r="E852" t="s">
        <v>33</v>
      </c>
      <c r="F852" t="s">
        <v>34</v>
      </c>
      <c r="G852" t="s">
        <v>20</v>
      </c>
      <c r="H852" t="s">
        <v>21</v>
      </c>
      <c r="I852" t="s">
        <v>22</v>
      </c>
      <c r="J852">
        <v>3</v>
      </c>
      <c r="K852">
        <v>109.61</v>
      </c>
      <c r="L852">
        <v>67.19</v>
      </c>
      <c r="M852">
        <v>259.77999999999997</v>
      </c>
      <c r="N852">
        <v>201.57</v>
      </c>
      <c r="O852">
        <v>58.21</v>
      </c>
      <c r="P852">
        <v>0.21</v>
      </c>
      <c r="Q852" t="s">
        <v>75</v>
      </c>
    </row>
    <row r="853" spans="1:17" x14ac:dyDescent="0.25">
      <c r="A853">
        <v>1851</v>
      </c>
      <c r="B853" s="1">
        <v>45158</v>
      </c>
      <c r="C853" t="s">
        <v>145</v>
      </c>
      <c r="D853" t="s">
        <v>25</v>
      </c>
      <c r="E853" t="s">
        <v>18</v>
      </c>
      <c r="F853" t="s">
        <v>34</v>
      </c>
      <c r="G853" t="s">
        <v>41</v>
      </c>
      <c r="H853" t="s">
        <v>42</v>
      </c>
      <c r="I853" t="s">
        <v>68</v>
      </c>
      <c r="J853">
        <v>1</v>
      </c>
      <c r="K853">
        <v>115.25</v>
      </c>
      <c r="L853">
        <v>95.83</v>
      </c>
      <c r="M853">
        <v>112.94</v>
      </c>
      <c r="N853">
        <v>95.83</v>
      </c>
      <c r="O853">
        <v>17.11</v>
      </c>
      <c r="P853">
        <v>0.02</v>
      </c>
      <c r="Q853" t="s">
        <v>85</v>
      </c>
    </row>
    <row r="854" spans="1:17" x14ac:dyDescent="0.25">
      <c r="A854">
        <v>1852</v>
      </c>
      <c r="B854" s="1">
        <v>45631</v>
      </c>
      <c r="C854" t="s">
        <v>271</v>
      </c>
      <c r="D854" t="s">
        <v>32</v>
      </c>
      <c r="E854" t="s">
        <v>18</v>
      </c>
      <c r="F854" t="s">
        <v>19</v>
      </c>
      <c r="G854" t="s">
        <v>20</v>
      </c>
      <c r="H854" t="s">
        <v>113</v>
      </c>
      <c r="I854" t="s">
        <v>153</v>
      </c>
      <c r="J854">
        <v>2</v>
      </c>
      <c r="K854">
        <v>130.66</v>
      </c>
      <c r="L854">
        <v>104.75</v>
      </c>
      <c r="M854">
        <v>201.22</v>
      </c>
      <c r="N854">
        <v>209.5</v>
      </c>
      <c r="O854">
        <v>-8.2799999999999994</v>
      </c>
      <c r="P854">
        <v>0.23</v>
      </c>
      <c r="Q854" t="s">
        <v>75</v>
      </c>
    </row>
    <row r="855" spans="1:17" x14ac:dyDescent="0.25">
      <c r="A855">
        <v>1853</v>
      </c>
      <c r="B855" s="1">
        <v>45579</v>
      </c>
      <c r="C855" t="s">
        <v>201</v>
      </c>
      <c r="D855" t="s">
        <v>25</v>
      </c>
      <c r="E855" t="s">
        <v>26</v>
      </c>
      <c r="F855" t="s">
        <v>27</v>
      </c>
      <c r="G855" t="s">
        <v>41</v>
      </c>
      <c r="H855" t="s">
        <v>46</v>
      </c>
      <c r="I855" t="s">
        <v>57</v>
      </c>
      <c r="J855">
        <v>6</v>
      </c>
      <c r="K855">
        <v>773.78</v>
      </c>
      <c r="L855">
        <v>517.62</v>
      </c>
      <c r="M855">
        <v>4503.3999999999996</v>
      </c>
      <c r="N855">
        <v>3105.72</v>
      </c>
      <c r="O855">
        <v>1397.68</v>
      </c>
      <c r="P855">
        <v>0.03</v>
      </c>
      <c r="Q855" t="s">
        <v>30</v>
      </c>
    </row>
    <row r="856" spans="1:17" x14ac:dyDescent="0.25">
      <c r="A856">
        <v>1854</v>
      </c>
      <c r="B856" s="1">
        <v>45655</v>
      </c>
      <c r="C856" t="s">
        <v>210</v>
      </c>
      <c r="D856" t="s">
        <v>17</v>
      </c>
      <c r="E856" t="s">
        <v>26</v>
      </c>
      <c r="F856" t="s">
        <v>19</v>
      </c>
      <c r="G856" t="s">
        <v>41</v>
      </c>
      <c r="H856" t="s">
        <v>42</v>
      </c>
      <c r="I856" t="s">
        <v>77</v>
      </c>
      <c r="J856">
        <v>8</v>
      </c>
      <c r="K856">
        <v>64.97</v>
      </c>
      <c r="L856">
        <v>32.78</v>
      </c>
      <c r="M856">
        <v>488.57</v>
      </c>
      <c r="N856">
        <v>262.24</v>
      </c>
      <c r="O856">
        <v>226.33</v>
      </c>
      <c r="P856">
        <v>0.06</v>
      </c>
      <c r="Q856" t="s">
        <v>75</v>
      </c>
    </row>
    <row r="857" spans="1:17" x14ac:dyDescent="0.25">
      <c r="A857">
        <v>1855</v>
      </c>
      <c r="B857" s="1">
        <v>45119</v>
      </c>
      <c r="C857" t="s">
        <v>135</v>
      </c>
      <c r="D857" t="s">
        <v>32</v>
      </c>
      <c r="E857" t="s">
        <v>26</v>
      </c>
      <c r="F857" t="s">
        <v>40</v>
      </c>
      <c r="G857" t="s">
        <v>35</v>
      </c>
      <c r="H857" t="s">
        <v>70</v>
      </c>
      <c r="I857" t="s">
        <v>71</v>
      </c>
      <c r="J857">
        <v>3</v>
      </c>
      <c r="K857">
        <v>848.57</v>
      </c>
      <c r="L857">
        <v>455.67</v>
      </c>
      <c r="M857">
        <v>2443.88</v>
      </c>
      <c r="N857">
        <v>1367.01</v>
      </c>
      <c r="O857">
        <v>1076.8699999999999</v>
      </c>
      <c r="P857">
        <v>0.04</v>
      </c>
      <c r="Q857" t="s">
        <v>85</v>
      </c>
    </row>
    <row r="858" spans="1:17" x14ac:dyDescent="0.25">
      <c r="A858">
        <v>1856</v>
      </c>
      <c r="B858" s="1">
        <v>45321</v>
      </c>
      <c r="C858" t="s">
        <v>220</v>
      </c>
      <c r="D858" t="s">
        <v>17</v>
      </c>
      <c r="E858" t="s">
        <v>26</v>
      </c>
      <c r="F858" t="s">
        <v>27</v>
      </c>
      <c r="G858" t="s">
        <v>20</v>
      </c>
      <c r="H858" t="s">
        <v>21</v>
      </c>
      <c r="I858" t="s">
        <v>54</v>
      </c>
      <c r="J858">
        <v>7</v>
      </c>
      <c r="K858">
        <v>168.38</v>
      </c>
      <c r="L858">
        <v>102.29</v>
      </c>
      <c r="M858">
        <v>872.21</v>
      </c>
      <c r="N858">
        <v>716.03</v>
      </c>
      <c r="O858">
        <v>156.18</v>
      </c>
      <c r="P858">
        <v>0.26</v>
      </c>
      <c r="Q858" t="s">
        <v>44</v>
      </c>
    </row>
    <row r="859" spans="1:17" x14ac:dyDescent="0.25">
      <c r="A859">
        <v>1857</v>
      </c>
      <c r="B859" s="1">
        <v>45077</v>
      </c>
      <c r="C859" t="s">
        <v>297</v>
      </c>
      <c r="D859" t="s">
        <v>25</v>
      </c>
      <c r="E859" t="s">
        <v>33</v>
      </c>
      <c r="F859" t="s">
        <v>19</v>
      </c>
      <c r="G859" t="s">
        <v>20</v>
      </c>
      <c r="H859" t="s">
        <v>28</v>
      </c>
      <c r="I859" t="s">
        <v>81</v>
      </c>
      <c r="J859">
        <v>5</v>
      </c>
      <c r="K859">
        <v>33.44</v>
      </c>
      <c r="L859">
        <v>24.47</v>
      </c>
      <c r="M859">
        <v>143.79</v>
      </c>
      <c r="N859">
        <v>122.35</v>
      </c>
      <c r="O859">
        <v>21.44</v>
      </c>
      <c r="P859">
        <v>0.14000000000000001</v>
      </c>
      <c r="Q859" t="s">
        <v>30</v>
      </c>
    </row>
    <row r="860" spans="1:17" x14ac:dyDescent="0.25">
      <c r="A860">
        <v>1858</v>
      </c>
      <c r="B860" s="1">
        <v>45048</v>
      </c>
      <c r="C860" t="s">
        <v>186</v>
      </c>
      <c r="D860" t="s">
        <v>25</v>
      </c>
      <c r="E860" t="s">
        <v>18</v>
      </c>
      <c r="F860" t="s">
        <v>27</v>
      </c>
      <c r="G860" t="s">
        <v>20</v>
      </c>
      <c r="H860" t="s">
        <v>21</v>
      </c>
      <c r="I860" t="s">
        <v>79</v>
      </c>
      <c r="J860">
        <v>9</v>
      </c>
      <c r="K860">
        <v>433.69</v>
      </c>
      <c r="L860">
        <v>267.5</v>
      </c>
      <c r="M860">
        <v>3395.79</v>
      </c>
      <c r="N860">
        <v>2407.5</v>
      </c>
      <c r="O860">
        <v>988.29</v>
      </c>
      <c r="P860">
        <v>0.13</v>
      </c>
      <c r="Q860" t="s">
        <v>85</v>
      </c>
    </row>
    <row r="861" spans="1:17" x14ac:dyDescent="0.25">
      <c r="A861">
        <v>1859</v>
      </c>
      <c r="B861" s="1">
        <v>45027</v>
      </c>
      <c r="C861" t="s">
        <v>176</v>
      </c>
      <c r="D861" t="s">
        <v>32</v>
      </c>
      <c r="E861" t="s">
        <v>53</v>
      </c>
      <c r="F861" t="s">
        <v>19</v>
      </c>
      <c r="G861" t="s">
        <v>35</v>
      </c>
      <c r="H861" t="s">
        <v>36</v>
      </c>
      <c r="I861" t="s">
        <v>37</v>
      </c>
      <c r="J861">
        <v>3</v>
      </c>
      <c r="K861">
        <v>596.08000000000004</v>
      </c>
      <c r="L861">
        <v>408.52</v>
      </c>
      <c r="M861">
        <v>1520</v>
      </c>
      <c r="N861">
        <v>1225.56</v>
      </c>
      <c r="O861">
        <v>294.44</v>
      </c>
      <c r="P861">
        <v>0.15</v>
      </c>
      <c r="Q861" t="s">
        <v>75</v>
      </c>
    </row>
    <row r="862" spans="1:17" x14ac:dyDescent="0.25">
      <c r="A862">
        <v>1860</v>
      </c>
      <c r="B862" s="1">
        <v>45038</v>
      </c>
      <c r="C862" t="s">
        <v>254</v>
      </c>
      <c r="D862" t="s">
        <v>17</v>
      </c>
      <c r="E862" t="s">
        <v>26</v>
      </c>
      <c r="F862" t="s">
        <v>34</v>
      </c>
      <c r="G862" t="s">
        <v>20</v>
      </c>
      <c r="H862" t="s">
        <v>21</v>
      </c>
      <c r="I862" t="s">
        <v>22</v>
      </c>
      <c r="J862">
        <v>1</v>
      </c>
      <c r="K862">
        <v>577.35</v>
      </c>
      <c r="L862">
        <v>336.92</v>
      </c>
      <c r="M862">
        <v>484.97</v>
      </c>
      <c r="N862">
        <v>336.92</v>
      </c>
      <c r="O862">
        <v>148.05000000000001</v>
      </c>
      <c r="P862">
        <v>0.16</v>
      </c>
      <c r="Q862" t="s">
        <v>30</v>
      </c>
    </row>
    <row r="863" spans="1:17" x14ac:dyDescent="0.25">
      <c r="A863">
        <v>1861</v>
      </c>
      <c r="B863" s="1">
        <v>45158</v>
      </c>
      <c r="C863" t="s">
        <v>269</v>
      </c>
      <c r="D863" t="s">
        <v>17</v>
      </c>
      <c r="E863" t="s">
        <v>53</v>
      </c>
      <c r="F863" t="s">
        <v>27</v>
      </c>
      <c r="G863" t="s">
        <v>35</v>
      </c>
      <c r="H863" t="s">
        <v>36</v>
      </c>
      <c r="I863" t="s">
        <v>87</v>
      </c>
      <c r="J863">
        <v>5</v>
      </c>
      <c r="K863">
        <v>497.7</v>
      </c>
      <c r="L863">
        <v>278.64</v>
      </c>
      <c r="M863">
        <v>2339.19</v>
      </c>
      <c r="N863">
        <v>1393.2</v>
      </c>
      <c r="O863">
        <v>945.99</v>
      </c>
      <c r="P863">
        <v>0.06</v>
      </c>
      <c r="Q863" t="s">
        <v>30</v>
      </c>
    </row>
    <row r="864" spans="1:17" x14ac:dyDescent="0.25">
      <c r="A864">
        <v>1862</v>
      </c>
      <c r="B864" s="1">
        <v>45649</v>
      </c>
      <c r="C864" t="s">
        <v>103</v>
      </c>
      <c r="D864" t="s">
        <v>17</v>
      </c>
      <c r="E864" t="s">
        <v>33</v>
      </c>
      <c r="F864" t="s">
        <v>34</v>
      </c>
      <c r="G864" t="s">
        <v>20</v>
      </c>
      <c r="H864" t="s">
        <v>113</v>
      </c>
      <c r="I864" t="s">
        <v>161</v>
      </c>
      <c r="J864">
        <v>10</v>
      </c>
      <c r="K864">
        <v>479.37</v>
      </c>
      <c r="L864">
        <v>290.91000000000003</v>
      </c>
      <c r="M864">
        <v>3499.4</v>
      </c>
      <c r="N864">
        <v>2909.1</v>
      </c>
      <c r="O864">
        <v>590.29999999999995</v>
      </c>
      <c r="P864">
        <v>0.27</v>
      </c>
      <c r="Q864" t="s">
        <v>23</v>
      </c>
    </row>
    <row r="865" spans="1:17" x14ac:dyDescent="0.25">
      <c r="A865">
        <v>1863</v>
      </c>
      <c r="B865" s="1">
        <v>45101</v>
      </c>
      <c r="C865" t="s">
        <v>159</v>
      </c>
      <c r="D865" t="s">
        <v>25</v>
      </c>
      <c r="E865" t="s">
        <v>26</v>
      </c>
      <c r="F865" t="s">
        <v>19</v>
      </c>
      <c r="G865" t="s">
        <v>35</v>
      </c>
      <c r="H865" t="s">
        <v>49</v>
      </c>
      <c r="I865" t="s">
        <v>66</v>
      </c>
      <c r="J865">
        <v>1</v>
      </c>
      <c r="K865">
        <v>667.7</v>
      </c>
      <c r="L865">
        <v>433.85</v>
      </c>
      <c r="M865">
        <v>661.02</v>
      </c>
      <c r="N865">
        <v>433.85</v>
      </c>
      <c r="O865">
        <v>227.17</v>
      </c>
      <c r="P865">
        <v>0.01</v>
      </c>
      <c r="Q865" t="s">
        <v>30</v>
      </c>
    </row>
    <row r="866" spans="1:17" x14ac:dyDescent="0.25">
      <c r="A866">
        <v>1864</v>
      </c>
      <c r="B866" s="1">
        <v>45005</v>
      </c>
      <c r="C866" t="s">
        <v>58</v>
      </c>
      <c r="D866" t="s">
        <v>25</v>
      </c>
      <c r="E866" t="s">
        <v>18</v>
      </c>
      <c r="F866" t="s">
        <v>27</v>
      </c>
      <c r="G866" t="s">
        <v>41</v>
      </c>
      <c r="H866" t="s">
        <v>42</v>
      </c>
      <c r="I866" t="s">
        <v>68</v>
      </c>
      <c r="J866">
        <v>4</v>
      </c>
      <c r="K866">
        <v>475.21</v>
      </c>
      <c r="L866">
        <v>245.12</v>
      </c>
      <c r="M866">
        <v>1881.83</v>
      </c>
      <c r="N866">
        <v>980.48</v>
      </c>
      <c r="O866">
        <v>901.35</v>
      </c>
      <c r="P866">
        <v>0.01</v>
      </c>
      <c r="Q866" t="s">
        <v>30</v>
      </c>
    </row>
    <row r="867" spans="1:17" x14ac:dyDescent="0.25">
      <c r="A867">
        <v>1865</v>
      </c>
      <c r="B867" s="1">
        <v>45160</v>
      </c>
      <c r="C867" t="s">
        <v>218</v>
      </c>
      <c r="D867" t="s">
        <v>25</v>
      </c>
      <c r="E867" t="s">
        <v>26</v>
      </c>
      <c r="F867" t="s">
        <v>34</v>
      </c>
      <c r="G867" t="s">
        <v>20</v>
      </c>
      <c r="H867" t="s">
        <v>28</v>
      </c>
      <c r="I867" t="s">
        <v>29</v>
      </c>
      <c r="J867">
        <v>8</v>
      </c>
      <c r="K867">
        <v>493.21</v>
      </c>
      <c r="L867">
        <v>307.16000000000003</v>
      </c>
      <c r="M867">
        <v>3314.37</v>
      </c>
      <c r="N867">
        <v>2457.2800000000002</v>
      </c>
      <c r="O867">
        <v>857.09</v>
      </c>
      <c r="P867">
        <v>0.16</v>
      </c>
      <c r="Q867" t="s">
        <v>55</v>
      </c>
    </row>
    <row r="868" spans="1:17" x14ac:dyDescent="0.25">
      <c r="A868">
        <v>1866</v>
      </c>
      <c r="B868" s="1">
        <v>45186</v>
      </c>
      <c r="C868" t="s">
        <v>298</v>
      </c>
      <c r="D868" t="s">
        <v>25</v>
      </c>
      <c r="E868" t="s">
        <v>18</v>
      </c>
      <c r="F868" t="s">
        <v>40</v>
      </c>
      <c r="G868" t="s">
        <v>41</v>
      </c>
      <c r="H868" t="s">
        <v>46</v>
      </c>
      <c r="I868" t="s">
        <v>102</v>
      </c>
      <c r="J868">
        <v>10</v>
      </c>
      <c r="K868">
        <v>486.93</v>
      </c>
      <c r="L868">
        <v>289.47000000000003</v>
      </c>
      <c r="M868">
        <v>4090.21</v>
      </c>
      <c r="N868">
        <v>2894.7</v>
      </c>
      <c r="O868">
        <v>1195.51</v>
      </c>
      <c r="P868">
        <v>0.16</v>
      </c>
      <c r="Q868" t="s">
        <v>51</v>
      </c>
    </row>
    <row r="869" spans="1:17" x14ac:dyDescent="0.25">
      <c r="A869">
        <v>1867</v>
      </c>
      <c r="B869" s="1">
        <v>45078</v>
      </c>
      <c r="C869" t="s">
        <v>147</v>
      </c>
      <c r="D869" t="s">
        <v>25</v>
      </c>
      <c r="E869" t="s">
        <v>26</v>
      </c>
      <c r="F869" t="s">
        <v>40</v>
      </c>
      <c r="G869" t="s">
        <v>35</v>
      </c>
      <c r="H869" t="s">
        <v>36</v>
      </c>
      <c r="I869" t="s">
        <v>87</v>
      </c>
      <c r="J869">
        <v>10</v>
      </c>
      <c r="K869">
        <v>742.31</v>
      </c>
      <c r="L869">
        <v>624.02</v>
      </c>
      <c r="M869">
        <v>6606.56</v>
      </c>
      <c r="N869">
        <v>6240.2</v>
      </c>
      <c r="O869">
        <v>366.36</v>
      </c>
      <c r="P869">
        <v>0.11</v>
      </c>
      <c r="Q869" t="s">
        <v>44</v>
      </c>
    </row>
    <row r="870" spans="1:17" x14ac:dyDescent="0.25">
      <c r="A870">
        <v>1868</v>
      </c>
      <c r="B870" s="1">
        <v>45125</v>
      </c>
      <c r="C870" t="s">
        <v>39</v>
      </c>
      <c r="D870" t="s">
        <v>17</v>
      </c>
      <c r="E870" t="s">
        <v>33</v>
      </c>
      <c r="F870" t="s">
        <v>40</v>
      </c>
      <c r="G870" t="s">
        <v>41</v>
      </c>
      <c r="H870" t="s">
        <v>63</v>
      </c>
      <c r="I870" t="s">
        <v>64</v>
      </c>
      <c r="J870">
        <v>8</v>
      </c>
      <c r="K870">
        <v>987.4</v>
      </c>
      <c r="L870">
        <v>796.47</v>
      </c>
      <c r="M870">
        <v>7504.24</v>
      </c>
      <c r="N870">
        <v>6371.76</v>
      </c>
      <c r="O870">
        <v>1132.48</v>
      </c>
      <c r="P870">
        <v>0.05</v>
      </c>
      <c r="Q870" t="s">
        <v>85</v>
      </c>
    </row>
    <row r="871" spans="1:17" x14ac:dyDescent="0.25">
      <c r="A871">
        <v>1869</v>
      </c>
      <c r="B871" s="1">
        <v>45266</v>
      </c>
      <c r="C871" t="s">
        <v>282</v>
      </c>
      <c r="D871" t="s">
        <v>32</v>
      </c>
      <c r="E871" t="s">
        <v>18</v>
      </c>
      <c r="F871" t="s">
        <v>40</v>
      </c>
      <c r="G871" t="s">
        <v>20</v>
      </c>
      <c r="H871" t="s">
        <v>21</v>
      </c>
      <c r="I871" t="s">
        <v>54</v>
      </c>
      <c r="J871">
        <v>10</v>
      </c>
      <c r="K871">
        <v>127.35</v>
      </c>
      <c r="L871">
        <v>99.12</v>
      </c>
      <c r="M871">
        <v>1057</v>
      </c>
      <c r="N871">
        <v>991.2</v>
      </c>
      <c r="O871">
        <v>65.8</v>
      </c>
      <c r="P871">
        <v>0.17</v>
      </c>
      <c r="Q871" t="s">
        <v>85</v>
      </c>
    </row>
    <row r="872" spans="1:17" x14ac:dyDescent="0.25">
      <c r="A872">
        <v>1870</v>
      </c>
      <c r="B872" s="1">
        <v>45222</v>
      </c>
      <c r="C872" t="s">
        <v>16</v>
      </c>
      <c r="D872" t="s">
        <v>32</v>
      </c>
      <c r="E872" t="s">
        <v>26</v>
      </c>
      <c r="F872" t="s">
        <v>27</v>
      </c>
      <c r="G872" t="s">
        <v>41</v>
      </c>
      <c r="H872" t="s">
        <v>42</v>
      </c>
      <c r="I872" t="s">
        <v>43</v>
      </c>
      <c r="J872">
        <v>5</v>
      </c>
      <c r="K872">
        <v>625.67999999999995</v>
      </c>
      <c r="L872">
        <v>458.32</v>
      </c>
      <c r="M872">
        <v>2846.84</v>
      </c>
      <c r="N872">
        <v>2291.6</v>
      </c>
      <c r="O872">
        <v>555.24</v>
      </c>
      <c r="P872">
        <v>0.09</v>
      </c>
      <c r="Q872" t="s">
        <v>30</v>
      </c>
    </row>
    <row r="873" spans="1:17" x14ac:dyDescent="0.25">
      <c r="A873">
        <v>1871</v>
      </c>
      <c r="B873" s="1">
        <v>44993</v>
      </c>
      <c r="C873" t="s">
        <v>263</v>
      </c>
      <c r="D873" t="s">
        <v>25</v>
      </c>
      <c r="E873" t="s">
        <v>53</v>
      </c>
      <c r="F873" t="s">
        <v>34</v>
      </c>
      <c r="G873" t="s">
        <v>20</v>
      </c>
      <c r="H873" t="s">
        <v>28</v>
      </c>
      <c r="I873" t="s">
        <v>90</v>
      </c>
      <c r="J873">
        <v>1</v>
      </c>
      <c r="K873">
        <v>490.92</v>
      </c>
      <c r="L873">
        <v>246.33</v>
      </c>
      <c r="M873">
        <v>436.92</v>
      </c>
      <c r="N873">
        <v>246.33</v>
      </c>
      <c r="O873">
        <v>190.59</v>
      </c>
      <c r="P873">
        <v>0.11</v>
      </c>
      <c r="Q873" t="s">
        <v>51</v>
      </c>
    </row>
    <row r="874" spans="1:17" x14ac:dyDescent="0.25">
      <c r="A874">
        <v>1872</v>
      </c>
      <c r="B874" s="1">
        <v>44978</v>
      </c>
      <c r="C874" t="s">
        <v>56</v>
      </c>
      <c r="D874" t="s">
        <v>32</v>
      </c>
      <c r="E874" t="s">
        <v>18</v>
      </c>
      <c r="F874" t="s">
        <v>19</v>
      </c>
      <c r="G874" t="s">
        <v>20</v>
      </c>
      <c r="H874" t="s">
        <v>113</v>
      </c>
      <c r="I874" t="s">
        <v>153</v>
      </c>
      <c r="J874">
        <v>3</v>
      </c>
      <c r="K874">
        <v>995.93</v>
      </c>
      <c r="L874">
        <v>566.54</v>
      </c>
      <c r="M874">
        <v>2449.9899999999998</v>
      </c>
      <c r="N874">
        <v>1699.62</v>
      </c>
      <c r="O874">
        <v>750.37</v>
      </c>
      <c r="P874">
        <v>0.18</v>
      </c>
      <c r="Q874" t="s">
        <v>44</v>
      </c>
    </row>
    <row r="875" spans="1:17" x14ac:dyDescent="0.25">
      <c r="A875">
        <v>1873</v>
      </c>
      <c r="B875" s="1">
        <v>45224</v>
      </c>
      <c r="C875" t="s">
        <v>178</v>
      </c>
      <c r="D875" t="s">
        <v>32</v>
      </c>
      <c r="E875" t="s">
        <v>18</v>
      </c>
      <c r="F875" t="s">
        <v>19</v>
      </c>
      <c r="G875" t="s">
        <v>41</v>
      </c>
      <c r="H875" t="s">
        <v>63</v>
      </c>
      <c r="I875" t="s">
        <v>117</v>
      </c>
      <c r="J875">
        <v>7</v>
      </c>
      <c r="K875">
        <v>402.12</v>
      </c>
      <c r="L875">
        <v>328.31</v>
      </c>
      <c r="M875">
        <v>2054.83</v>
      </c>
      <c r="N875">
        <v>2298.17</v>
      </c>
      <c r="O875">
        <v>-243.34</v>
      </c>
      <c r="P875">
        <v>0.27</v>
      </c>
      <c r="Q875" t="s">
        <v>30</v>
      </c>
    </row>
    <row r="876" spans="1:17" x14ac:dyDescent="0.25">
      <c r="A876">
        <v>1874</v>
      </c>
      <c r="B876" s="1">
        <v>45538</v>
      </c>
      <c r="C876" t="s">
        <v>56</v>
      </c>
      <c r="D876" t="s">
        <v>17</v>
      </c>
      <c r="E876" t="s">
        <v>53</v>
      </c>
      <c r="F876" t="s">
        <v>40</v>
      </c>
      <c r="G876" t="s">
        <v>41</v>
      </c>
      <c r="H876" t="s">
        <v>42</v>
      </c>
      <c r="I876" t="s">
        <v>43</v>
      </c>
      <c r="J876">
        <v>4</v>
      </c>
      <c r="K876">
        <v>253.77</v>
      </c>
      <c r="L876">
        <v>163.86</v>
      </c>
      <c r="M876">
        <v>954.18</v>
      </c>
      <c r="N876">
        <v>655.44</v>
      </c>
      <c r="O876">
        <v>298.74</v>
      </c>
      <c r="P876">
        <v>0.06</v>
      </c>
      <c r="Q876" t="s">
        <v>30</v>
      </c>
    </row>
    <row r="877" spans="1:17" x14ac:dyDescent="0.25">
      <c r="A877">
        <v>1875</v>
      </c>
      <c r="B877" s="1">
        <v>45014</v>
      </c>
      <c r="C877" t="s">
        <v>198</v>
      </c>
      <c r="D877" t="s">
        <v>17</v>
      </c>
      <c r="E877" t="s">
        <v>53</v>
      </c>
      <c r="F877" t="s">
        <v>19</v>
      </c>
      <c r="G877" t="s">
        <v>35</v>
      </c>
      <c r="H877" t="s">
        <v>49</v>
      </c>
      <c r="I877" t="s">
        <v>66</v>
      </c>
      <c r="J877">
        <v>3</v>
      </c>
      <c r="K877">
        <v>528.94000000000005</v>
      </c>
      <c r="L877">
        <v>392.97</v>
      </c>
      <c r="M877">
        <v>1348.8</v>
      </c>
      <c r="N877">
        <v>1178.9100000000001</v>
      </c>
      <c r="O877">
        <v>169.89</v>
      </c>
      <c r="P877">
        <v>0.15</v>
      </c>
      <c r="Q877" t="s">
        <v>85</v>
      </c>
    </row>
    <row r="878" spans="1:17" x14ac:dyDescent="0.25">
      <c r="A878">
        <v>1876</v>
      </c>
      <c r="B878" s="1">
        <v>45406</v>
      </c>
      <c r="C878" t="s">
        <v>223</v>
      </c>
      <c r="D878" t="s">
        <v>32</v>
      </c>
      <c r="E878" t="s">
        <v>53</v>
      </c>
      <c r="F878" t="s">
        <v>27</v>
      </c>
      <c r="G878" t="s">
        <v>35</v>
      </c>
      <c r="H878" t="s">
        <v>36</v>
      </c>
      <c r="I878" t="s">
        <v>100</v>
      </c>
      <c r="J878">
        <v>1</v>
      </c>
      <c r="K878">
        <v>957.7</v>
      </c>
      <c r="L878">
        <v>619.94000000000005</v>
      </c>
      <c r="M878">
        <v>737.43</v>
      </c>
      <c r="N878">
        <v>619.94000000000005</v>
      </c>
      <c r="O878">
        <v>117.49</v>
      </c>
      <c r="P878">
        <v>0.23</v>
      </c>
      <c r="Q878" t="s">
        <v>125</v>
      </c>
    </row>
    <row r="879" spans="1:17" x14ac:dyDescent="0.25">
      <c r="A879">
        <v>1877</v>
      </c>
      <c r="B879" s="1">
        <v>45236</v>
      </c>
      <c r="C879" t="s">
        <v>105</v>
      </c>
      <c r="D879" t="s">
        <v>17</v>
      </c>
      <c r="E879" t="s">
        <v>18</v>
      </c>
      <c r="F879" t="s">
        <v>19</v>
      </c>
      <c r="G879" t="s">
        <v>41</v>
      </c>
      <c r="H879" t="s">
        <v>63</v>
      </c>
      <c r="I879" t="s">
        <v>64</v>
      </c>
      <c r="J879">
        <v>5</v>
      </c>
      <c r="K879">
        <v>58.27</v>
      </c>
      <c r="L879">
        <v>46.37</v>
      </c>
      <c r="M879">
        <v>279.7</v>
      </c>
      <c r="N879">
        <v>231.85</v>
      </c>
      <c r="O879">
        <v>47.85</v>
      </c>
      <c r="P879">
        <v>0.04</v>
      </c>
      <c r="Q879" t="s">
        <v>51</v>
      </c>
    </row>
    <row r="880" spans="1:17" x14ac:dyDescent="0.25">
      <c r="A880">
        <v>1878</v>
      </c>
      <c r="B880" s="1">
        <v>45400</v>
      </c>
      <c r="C880" t="s">
        <v>167</v>
      </c>
      <c r="D880" t="s">
        <v>17</v>
      </c>
      <c r="E880" t="s">
        <v>53</v>
      </c>
      <c r="F880" t="s">
        <v>34</v>
      </c>
      <c r="G880" t="s">
        <v>20</v>
      </c>
      <c r="H880" t="s">
        <v>21</v>
      </c>
      <c r="I880" t="s">
        <v>54</v>
      </c>
      <c r="J880">
        <v>2</v>
      </c>
      <c r="K880">
        <v>336.82</v>
      </c>
      <c r="L880">
        <v>179.89</v>
      </c>
      <c r="M880">
        <v>613.01</v>
      </c>
      <c r="N880">
        <v>359.78</v>
      </c>
      <c r="O880">
        <v>253.23</v>
      </c>
      <c r="P880">
        <v>0.09</v>
      </c>
      <c r="Q880" t="s">
        <v>55</v>
      </c>
    </row>
    <row r="881" spans="1:17" x14ac:dyDescent="0.25">
      <c r="A881">
        <v>1879</v>
      </c>
      <c r="B881" s="1">
        <v>45634</v>
      </c>
      <c r="C881" t="s">
        <v>239</v>
      </c>
      <c r="D881" t="s">
        <v>25</v>
      </c>
      <c r="E881" t="s">
        <v>33</v>
      </c>
      <c r="F881" t="s">
        <v>34</v>
      </c>
      <c r="G881" t="s">
        <v>41</v>
      </c>
      <c r="H881" t="s">
        <v>42</v>
      </c>
      <c r="I881" t="s">
        <v>43</v>
      </c>
      <c r="J881">
        <v>3</v>
      </c>
      <c r="K881">
        <v>564.24</v>
      </c>
      <c r="L881">
        <v>473.14</v>
      </c>
      <c r="M881">
        <v>1625.01</v>
      </c>
      <c r="N881">
        <v>1419.42</v>
      </c>
      <c r="O881">
        <v>205.59</v>
      </c>
      <c r="P881">
        <v>0.04</v>
      </c>
      <c r="Q881" t="s">
        <v>92</v>
      </c>
    </row>
    <row r="882" spans="1:17" x14ac:dyDescent="0.25">
      <c r="A882">
        <v>1880</v>
      </c>
      <c r="B882" s="1">
        <v>45235</v>
      </c>
      <c r="C882" t="s">
        <v>235</v>
      </c>
      <c r="D882" t="s">
        <v>17</v>
      </c>
      <c r="E882" t="s">
        <v>33</v>
      </c>
      <c r="F882" t="s">
        <v>27</v>
      </c>
      <c r="G882" t="s">
        <v>41</v>
      </c>
      <c r="H882" t="s">
        <v>63</v>
      </c>
      <c r="I882" t="s">
        <v>141</v>
      </c>
      <c r="J882">
        <v>2</v>
      </c>
      <c r="K882">
        <v>71.81</v>
      </c>
      <c r="L882">
        <v>39.75</v>
      </c>
      <c r="M882">
        <v>106.28</v>
      </c>
      <c r="N882">
        <v>79.5</v>
      </c>
      <c r="O882">
        <v>26.78</v>
      </c>
      <c r="P882">
        <v>0.26</v>
      </c>
      <c r="Q882" t="s">
        <v>38</v>
      </c>
    </row>
    <row r="883" spans="1:17" x14ac:dyDescent="0.25">
      <c r="A883">
        <v>1881</v>
      </c>
      <c r="B883" s="1">
        <v>45026</v>
      </c>
      <c r="C883" t="s">
        <v>261</v>
      </c>
      <c r="D883" t="s">
        <v>25</v>
      </c>
      <c r="E883" t="s">
        <v>53</v>
      </c>
      <c r="F883" t="s">
        <v>34</v>
      </c>
      <c r="G883" t="s">
        <v>41</v>
      </c>
      <c r="H883" t="s">
        <v>46</v>
      </c>
      <c r="I883" t="s">
        <v>57</v>
      </c>
      <c r="J883">
        <v>1</v>
      </c>
      <c r="K883">
        <v>926.41</v>
      </c>
      <c r="L883">
        <v>560.45000000000005</v>
      </c>
      <c r="M883">
        <v>787.45</v>
      </c>
      <c r="N883">
        <v>560.45000000000005</v>
      </c>
      <c r="O883">
        <v>227</v>
      </c>
      <c r="P883">
        <v>0.15</v>
      </c>
      <c r="Q883" t="s">
        <v>92</v>
      </c>
    </row>
    <row r="884" spans="1:17" x14ac:dyDescent="0.25">
      <c r="A884">
        <v>1882</v>
      </c>
      <c r="B884" s="1">
        <v>45167</v>
      </c>
      <c r="C884" t="s">
        <v>142</v>
      </c>
      <c r="D884" t="s">
        <v>17</v>
      </c>
      <c r="E884" t="s">
        <v>18</v>
      </c>
      <c r="F884" t="s">
        <v>27</v>
      </c>
      <c r="G884" t="s">
        <v>41</v>
      </c>
      <c r="H884" t="s">
        <v>63</v>
      </c>
      <c r="I884" t="s">
        <v>141</v>
      </c>
      <c r="J884">
        <v>7</v>
      </c>
      <c r="K884">
        <v>150.52000000000001</v>
      </c>
      <c r="L884">
        <v>76.400000000000006</v>
      </c>
      <c r="M884">
        <v>1011.49</v>
      </c>
      <c r="N884">
        <v>534.79999999999995</v>
      </c>
      <c r="O884">
        <v>476.69</v>
      </c>
      <c r="P884">
        <v>0.04</v>
      </c>
      <c r="Q884" t="s">
        <v>23</v>
      </c>
    </row>
    <row r="885" spans="1:17" x14ac:dyDescent="0.25">
      <c r="A885">
        <v>1883</v>
      </c>
      <c r="B885" s="1">
        <v>45101</v>
      </c>
      <c r="C885" t="s">
        <v>164</v>
      </c>
      <c r="D885" t="s">
        <v>17</v>
      </c>
      <c r="E885" t="s">
        <v>26</v>
      </c>
      <c r="F885" t="s">
        <v>27</v>
      </c>
      <c r="G885" t="s">
        <v>35</v>
      </c>
      <c r="H885" t="s">
        <v>49</v>
      </c>
      <c r="I885" t="s">
        <v>50</v>
      </c>
      <c r="J885">
        <v>2</v>
      </c>
      <c r="K885">
        <v>959.3</v>
      </c>
      <c r="L885">
        <v>645.16999999999996</v>
      </c>
      <c r="M885">
        <v>1534.88</v>
      </c>
      <c r="N885">
        <v>1290.3399999999999</v>
      </c>
      <c r="O885">
        <v>244.54</v>
      </c>
      <c r="P885">
        <v>0.2</v>
      </c>
      <c r="Q885" t="s">
        <v>75</v>
      </c>
    </row>
    <row r="886" spans="1:17" x14ac:dyDescent="0.25">
      <c r="A886">
        <v>1884</v>
      </c>
      <c r="B886" s="1">
        <v>45322</v>
      </c>
      <c r="C886" t="s">
        <v>97</v>
      </c>
      <c r="D886" t="s">
        <v>25</v>
      </c>
      <c r="E886" t="s">
        <v>53</v>
      </c>
      <c r="F886" t="s">
        <v>27</v>
      </c>
      <c r="G886" t="s">
        <v>35</v>
      </c>
      <c r="H886" t="s">
        <v>36</v>
      </c>
      <c r="I886" t="s">
        <v>87</v>
      </c>
      <c r="J886">
        <v>5</v>
      </c>
      <c r="K886">
        <v>459.8</v>
      </c>
      <c r="L886">
        <v>320.7</v>
      </c>
      <c r="M886">
        <v>2299</v>
      </c>
      <c r="N886">
        <v>1603.5</v>
      </c>
      <c r="O886">
        <v>695.5</v>
      </c>
      <c r="P886">
        <v>0</v>
      </c>
      <c r="Q886" t="s">
        <v>30</v>
      </c>
    </row>
    <row r="887" spans="1:17" x14ac:dyDescent="0.25">
      <c r="A887">
        <v>1885</v>
      </c>
      <c r="B887" s="1">
        <v>44961</v>
      </c>
      <c r="C887" t="s">
        <v>74</v>
      </c>
      <c r="D887" t="s">
        <v>17</v>
      </c>
      <c r="E887" t="s">
        <v>53</v>
      </c>
      <c r="F887" t="s">
        <v>34</v>
      </c>
      <c r="G887" t="s">
        <v>35</v>
      </c>
      <c r="H887" t="s">
        <v>36</v>
      </c>
      <c r="I887" t="s">
        <v>37</v>
      </c>
      <c r="J887">
        <v>8</v>
      </c>
      <c r="K887">
        <v>280.52</v>
      </c>
      <c r="L887">
        <v>236.65</v>
      </c>
      <c r="M887">
        <v>1997.3</v>
      </c>
      <c r="N887">
        <v>1893.2</v>
      </c>
      <c r="O887">
        <v>104.1</v>
      </c>
      <c r="P887">
        <v>0.11</v>
      </c>
      <c r="Q887" t="s">
        <v>38</v>
      </c>
    </row>
    <row r="888" spans="1:17" x14ac:dyDescent="0.25">
      <c r="A888">
        <v>1886</v>
      </c>
      <c r="B888" s="1">
        <v>45142</v>
      </c>
      <c r="C888" t="s">
        <v>274</v>
      </c>
      <c r="D888" t="s">
        <v>17</v>
      </c>
      <c r="E888" t="s">
        <v>53</v>
      </c>
      <c r="F888" t="s">
        <v>34</v>
      </c>
      <c r="G888" t="s">
        <v>20</v>
      </c>
      <c r="H888" t="s">
        <v>113</v>
      </c>
      <c r="I888" t="s">
        <v>114</v>
      </c>
      <c r="J888">
        <v>6</v>
      </c>
      <c r="K888">
        <v>657.65</v>
      </c>
      <c r="L888">
        <v>458.45</v>
      </c>
      <c r="M888">
        <v>3393.47</v>
      </c>
      <c r="N888">
        <v>2750.7</v>
      </c>
      <c r="O888">
        <v>642.77</v>
      </c>
      <c r="P888">
        <v>0.14000000000000001</v>
      </c>
      <c r="Q888" t="s">
        <v>92</v>
      </c>
    </row>
    <row r="889" spans="1:17" x14ac:dyDescent="0.25">
      <c r="A889">
        <v>1887</v>
      </c>
      <c r="B889" s="1">
        <v>45212</v>
      </c>
      <c r="C889" t="s">
        <v>167</v>
      </c>
      <c r="D889" t="s">
        <v>17</v>
      </c>
      <c r="E889" t="s">
        <v>18</v>
      </c>
      <c r="F889" t="s">
        <v>27</v>
      </c>
      <c r="G889" t="s">
        <v>20</v>
      </c>
      <c r="H889" t="s">
        <v>113</v>
      </c>
      <c r="I889" t="s">
        <v>153</v>
      </c>
      <c r="J889">
        <v>7</v>
      </c>
      <c r="K889">
        <v>962.74</v>
      </c>
      <c r="L889">
        <v>685.51</v>
      </c>
      <c r="M889">
        <v>6402.22</v>
      </c>
      <c r="N889">
        <v>4798.57</v>
      </c>
      <c r="O889">
        <v>1603.65</v>
      </c>
      <c r="P889">
        <v>0.05</v>
      </c>
      <c r="Q889" t="s">
        <v>38</v>
      </c>
    </row>
    <row r="890" spans="1:17" x14ac:dyDescent="0.25">
      <c r="A890">
        <v>1888</v>
      </c>
      <c r="B890" s="1">
        <v>45601</v>
      </c>
      <c r="C890" t="s">
        <v>88</v>
      </c>
      <c r="D890" t="s">
        <v>25</v>
      </c>
      <c r="E890" t="s">
        <v>18</v>
      </c>
      <c r="F890" t="s">
        <v>40</v>
      </c>
      <c r="G890" t="s">
        <v>41</v>
      </c>
      <c r="H890" t="s">
        <v>63</v>
      </c>
      <c r="I890" t="s">
        <v>117</v>
      </c>
      <c r="J890">
        <v>2</v>
      </c>
      <c r="K890">
        <v>49.7</v>
      </c>
      <c r="L890">
        <v>39.67</v>
      </c>
      <c r="M890">
        <v>94.43</v>
      </c>
      <c r="N890">
        <v>79.34</v>
      </c>
      <c r="O890">
        <v>15.09</v>
      </c>
      <c r="P890">
        <v>0.05</v>
      </c>
      <c r="Q890" t="s">
        <v>44</v>
      </c>
    </row>
    <row r="891" spans="1:17" x14ac:dyDescent="0.25">
      <c r="A891">
        <v>1889</v>
      </c>
      <c r="B891" s="1">
        <v>45608</v>
      </c>
      <c r="C891" t="s">
        <v>266</v>
      </c>
      <c r="D891" t="s">
        <v>17</v>
      </c>
      <c r="E891" t="s">
        <v>53</v>
      </c>
      <c r="F891" t="s">
        <v>40</v>
      </c>
      <c r="G891" t="s">
        <v>20</v>
      </c>
      <c r="H891" t="s">
        <v>113</v>
      </c>
      <c r="I891" t="s">
        <v>114</v>
      </c>
      <c r="J891">
        <v>2</v>
      </c>
      <c r="K891">
        <v>900.3</v>
      </c>
      <c r="L891">
        <v>504.98</v>
      </c>
      <c r="M891">
        <v>1314.44</v>
      </c>
      <c r="N891">
        <v>1009.96</v>
      </c>
      <c r="O891">
        <v>304.48</v>
      </c>
      <c r="P891">
        <v>0.27</v>
      </c>
      <c r="Q891" t="s">
        <v>75</v>
      </c>
    </row>
    <row r="892" spans="1:17" x14ac:dyDescent="0.25">
      <c r="A892">
        <v>1890</v>
      </c>
      <c r="B892" s="1">
        <v>44992</v>
      </c>
      <c r="C892" t="s">
        <v>127</v>
      </c>
      <c r="D892" t="s">
        <v>32</v>
      </c>
      <c r="E892" t="s">
        <v>33</v>
      </c>
      <c r="F892" t="s">
        <v>34</v>
      </c>
      <c r="G892" t="s">
        <v>41</v>
      </c>
      <c r="H892" t="s">
        <v>42</v>
      </c>
      <c r="I892" t="s">
        <v>68</v>
      </c>
      <c r="J892">
        <v>6</v>
      </c>
      <c r="K892">
        <v>608.5</v>
      </c>
      <c r="L892">
        <v>483.29</v>
      </c>
      <c r="M892">
        <v>2628.72</v>
      </c>
      <c r="N892">
        <v>2899.74</v>
      </c>
      <c r="O892">
        <v>-271.02</v>
      </c>
      <c r="P892">
        <v>0.28000000000000003</v>
      </c>
      <c r="Q892" t="s">
        <v>85</v>
      </c>
    </row>
    <row r="893" spans="1:17" x14ac:dyDescent="0.25">
      <c r="A893">
        <v>1891</v>
      </c>
      <c r="B893" s="1">
        <v>45037</v>
      </c>
      <c r="C893" t="s">
        <v>140</v>
      </c>
      <c r="D893" t="s">
        <v>32</v>
      </c>
      <c r="E893" t="s">
        <v>26</v>
      </c>
      <c r="F893" t="s">
        <v>19</v>
      </c>
      <c r="G893" t="s">
        <v>20</v>
      </c>
      <c r="H893" t="s">
        <v>28</v>
      </c>
      <c r="I893" t="s">
        <v>61</v>
      </c>
      <c r="J893">
        <v>8</v>
      </c>
      <c r="K893">
        <v>680.45</v>
      </c>
      <c r="L893">
        <v>393.93</v>
      </c>
      <c r="M893">
        <v>4246.01</v>
      </c>
      <c r="N893">
        <v>3151.44</v>
      </c>
      <c r="O893">
        <v>1094.57</v>
      </c>
      <c r="P893">
        <v>0.22</v>
      </c>
      <c r="Q893" t="s">
        <v>75</v>
      </c>
    </row>
    <row r="894" spans="1:17" x14ac:dyDescent="0.25">
      <c r="A894">
        <v>1892</v>
      </c>
      <c r="B894" s="1">
        <v>45468</v>
      </c>
      <c r="C894" t="s">
        <v>167</v>
      </c>
      <c r="D894" t="s">
        <v>25</v>
      </c>
      <c r="E894" t="s">
        <v>33</v>
      </c>
      <c r="F894" t="s">
        <v>34</v>
      </c>
      <c r="G894" t="s">
        <v>41</v>
      </c>
      <c r="H894" t="s">
        <v>63</v>
      </c>
      <c r="I894" t="s">
        <v>141</v>
      </c>
      <c r="J894">
        <v>4</v>
      </c>
      <c r="K894">
        <v>38.07</v>
      </c>
      <c r="L894">
        <v>20.91</v>
      </c>
      <c r="M894">
        <v>152.28</v>
      </c>
      <c r="N894">
        <v>83.64</v>
      </c>
      <c r="O894">
        <v>68.64</v>
      </c>
      <c r="P894">
        <v>0</v>
      </c>
      <c r="Q894" t="s">
        <v>75</v>
      </c>
    </row>
    <row r="895" spans="1:17" x14ac:dyDescent="0.25">
      <c r="A895">
        <v>1893</v>
      </c>
      <c r="B895" s="1">
        <v>45508</v>
      </c>
      <c r="C895" t="s">
        <v>209</v>
      </c>
      <c r="D895" t="s">
        <v>25</v>
      </c>
      <c r="E895" t="s">
        <v>18</v>
      </c>
      <c r="F895" t="s">
        <v>19</v>
      </c>
      <c r="G895" t="s">
        <v>41</v>
      </c>
      <c r="H895" t="s">
        <v>63</v>
      </c>
      <c r="I895" t="s">
        <v>64</v>
      </c>
      <c r="J895">
        <v>9</v>
      </c>
      <c r="K895">
        <v>498.69</v>
      </c>
      <c r="L895">
        <v>394.63</v>
      </c>
      <c r="M895">
        <v>3725.21</v>
      </c>
      <c r="N895">
        <v>3551.67</v>
      </c>
      <c r="O895">
        <v>173.54</v>
      </c>
      <c r="P895">
        <v>0.17</v>
      </c>
      <c r="Q895" t="s">
        <v>55</v>
      </c>
    </row>
    <row r="896" spans="1:17" x14ac:dyDescent="0.25">
      <c r="A896">
        <v>1894</v>
      </c>
      <c r="B896" s="1">
        <v>45439</v>
      </c>
      <c r="C896" t="s">
        <v>134</v>
      </c>
      <c r="D896" t="s">
        <v>17</v>
      </c>
      <c r="E896" t="s">
        <v>26</v>
      </c>
      <c r="F896" t="s">
        <v>34</v>
      </c>
      <c r="G896" t="s">
        <v>35</v>
      </c>
      <c r="H896" t="s">
        <v>49</v>
      </c>
      <c r="I896" t="s">
        <v>59</v>
      </c>
      <c r="J896">
        <v>7</v>
      </c>
      <c r="K896">
        <v>874.61</v>
      </c>
      <c r="L896">
        <v>611.53</v>
      </c>
      <c r="M896">
        <v>5877.38</v>
      </c>
      <c r="N896">
        <v>4280.71</v>
      </c>
      <c r="O896">
        <v>1596.67</v>
      </c>
      <c r="P896">
        <v>0.04</v>
      </c>
      <c r="Q896" t="s">
        <v>38</v>
      </c>
    </row>
    <row r="897" spans="1:17" x14ac:dyDescent="0.25">
      <c r="A897">
        <v>1895</v>
      </c>
      <c r="B897" s="1">
        <v>45232</v>
      </c>
      <c r="C897" t="s">
        <v>251</v>
      </c>
      <c r="D897" t="s">
        <v>32</v>
      </c>
      <c r="E897" t="s">
        <v>26</v>
      </c>
      <c r="F897" t="s">
        <v>34</v>
      </c>
      <c r="G897" t="s">
        <v>41</v>
      </c>
      <c r="H897" t="s">
        <v>63</v>
      </c>
      <c r="I897" t="s">
        <v>117</v>
      </c>
      <c r="J897">
        <v>1</v>
      </c>
      <c r="K897">
        <v>227.9</v>
      </c>
      <c r="L897">
        <v>188.98</v>
      </c>
      <c r="M897">
        <v>164.09</v>
      </c>
      <c r="N897">
        <v>188.98</v>
      </c>
      <c r="O897">
        <v>-24.89</v>
      </c>
      <c r="P897">
        <v>0.28000000000000003</v>
      </c>
      <c r="Q897" t="s">
        <v>30</v>
      </c>
    </row>
    <row r="898" spans="1:17" x14ac:dyDescent="0.25">
      <c r="A898">
        <v>1896</v>
      </c>
      <c r="B898" s="1">
        <v>45326</v>
      </c>
      <c r="C898" t="s">
        <v>157</v>
      </c>
      <c r="D898" t="s">
        <v>25</v>
      </c>
      <c r="E898" t="s">
        <v>26</v>
      </c>
      <c r="F898" t="s">
        <v>40</v>
      </c>
      <c r="G898" t="s">
        <v>20</v>
      </c>
      <c r="H898" t="s">
        <v>113</v>
      </c>
      <c r="I898" t="s">
        <v>161</v>
      </c>
      <c r="J898">
        <v>4</v>
      </c>
      <c r="K898">
        <v>853.93</v>
      </c>
      <c r="L898">
        <v>705.46</v>
      </c>
      <c r="M898">
        <v>2903.36</v>
      </c>
      <c r="N898">
        <v>2821.84</v>
      </c>
      <c r="O898">
        <v>81.52</v>
      </c>
      <c r="P898">
        <v>0.15</v>
      </c>
      <c r="Q898" t="s">
        <v>75</v>
      </c>
    </row>
    <row r="899" spans="1:17" x14ac:dyDescent="0.25">
      <c r="A899">
        <v>1897</v>
      </c>
      <c r="B899" s="1">
        <v>45560</v>
      </c>
      <c r="C899" t="s">
        <v>262</v>
      </c>
      <c r="D899" t="s">
        <v>17</v>
      </c>
      <c r="E899" t="s">
        <v>33</v>
      </c>
      <c r="F899" t="s">
        <v>27</v>
      </c>
      <c r="G899" t="s">
        <v>35</v>
      </c>
      <c r="H899" t="s">
        <v>70</v>
      </c>
      <c r="I899" t="s">
        <v>98</v>
      </c>
      <c r="J899">
        <v>1</v>
      </c>
      <c r="K899">
        <v>341.36</v>
      </c>
      <c r="L899">
        <v>201.85</v>
      </c>
      <c r="M899">
        <v>307.22000000000003</v>
      </c>
      <c r="N899">
        <v>201.85</v>
      </c>
      <c r="O899">
        <v>105.37</v>
      </c>
      <c r="P899">
        <v>0.1</v>
      </c>
      <c r="Q899" t="s">
        <v>51</v>
      </c>
    </row>
    <row r="900" spans="1:17" x14ac:dyDescent="0.25">
      <c r="A900">
        <v>1898</v>
      </c>
      <c r="B900" s="1">
        <v>45069</v>
      </c>
      <c r="C900" t="s">
        <v>229</v>
      </c>
      <c r="D900" t="s">
        <v>17</v>
      </c>
      <c r="E900" t="s">
        <v>18</v>
      </c>
      <c r="F900" t="s">
        <v>34</v>
      </c>
      <c r="G900" t="s">
        <v>20</v>
      </c>
      <c r="H900" t="s">
        <v>28</v>
      </c>
      <c r="I900" t="s">
        <v>90</v>
      </c>
      <c r="J900">
        <v>10</v>
      </c>
      <c r="K900">
        <v>904.8</v>
      </c>
      <c r="L900">
        <v>675.05</v>
      </c>
      <c r="M900">
        <v>6966.96</v>
      </c>
      <c r="N900">
        <v>6750.5</v>
      </c>
      <c r="O900">
        <v>216.46</v>
      </c>
      <c r="P900">
        <v>0.23</v>
      </c>
      <c r="Q900" t="s">
        <v>51</v>
      </c>
    </row>
    <row r="901" spans="1:17" x14ac:dyDescent="0.25">
      <c r="A901">
        <v>1899</v>
      </c>
      <c r="B901" s="1">
        <v>45281</v>
      </c>
      <c r="C901" t="s">
        <v>118</v>
      </c>
      <c r="D901" t="s">
        <v>17</v>
      </c>
      <c r="E901" t="s">
        <v>33</v>
      </c>
      <c r="F901" t="s">
        <v>27</v>
      </c>
      <c r="G901" t="s">
        <v>20</v>
      </c>
      <c r="H901" t="s">
        <v>28</v>
      </c>
      <c r="I901" t="s">
        <v>90</v>
      </c>
      <c r="J901">
        <v>2</v>
      </c>
      <c r="K901">
        <v>40.42</v>
      </c>
      <c r="L901">
        <v>27.39</v>
      </c>
      <c r="M901">
        <v>64.67</v>
      </c>
      <c r="N901">
        <v>54.78</v>
      </c>
      <c r="O901">
        <v>9.89</v>
      </c>
      <c r="P901">
        <v>0.2</v>
      </c>
      <c r="Q901" t="s">
        <v>75</v>
      </c>
    </row>
    <row r="902" spans="1:17" x14ac:dyDescent="0.25">
      <c r="A902">
        <v>1900</v>
      </c>
      <c r="B902" s="1">
        <v>45416</v>
      </c>
      <c r="C902" t="s">
        <v>108</v>
      </c>
      <c r="D902" t="s">
        <v>25</v>
      </c>
      <c r="E902" t="s">
        <v>33</v>
      </c>
      <c r="F902" t="s">
        <v>34</v>
      </c>
      <c r="G902" t="s">
        <v>20</v>
      </c>
      <c r="H902" t="s">
        <v>21</v>
      </c>
      <c r="I902" t="s">
        <v>79</v>
      </c>
      <c r="J902">
        <v>1</v>
      </c>
      <c r="K902">
        <v>554.73</v>
      </c>
      <c r="L902">
        <v>287.49</v>
      </c>
      <c r="M902">
        <v>427.14</v>
      </c>
      <c r="N902">
        <v>287.49</v>
      </c>
      <c r="O902">
        <v>139.65</v>
      </c>
      <c r="P902">
        <v>0.23</v>
      </c>
      <c r="Q902" t="s">
        <v>92</v>
      </c>
    </row>
    <row r="903" spans="1:17" x14ac:dyDescent="0.25">
      <c r="A903">
        <v>1901</v>
      </c>
      <c r="B903" s="1">
        <v>45367</v>
      </c>
      <c r="C903" t="s">
        <v>290</v>
      </c>
      <c r="D903" t="s">
        <v>17</v>
      </c>
      <c r="E903" t="s">
        <v>26</v>
      </c>
      <c r="F903" t="s">
        <v>34</v>
      </c>
      <c r="G903" t="s">
        <v>35</v>
      </c>
      <c r="H903" t="s">
        <v>36</v>
      </c>
      <c r="I903" t="s">
        <v>100</v>
      </c>
      <c r="J903">
        <v>6</v>
      </c>
      <c r="K903">
        <v>355.03</v>
      </c>
      <c r="L903">
        <v>220.15</v>
      </c>
      <c r="M903">
        <v>1533.73</v>
      </c>
      <c r="N903">
        <v>1320.9</v>
      </c>
      <c r="O903">
        <v>212.83</v>
      </c>
      <c r="P903">
        <v>0.28000000000000003</v>
      </c>
      <c r="Q903" t="s">
        <v>23</v>
      </c>
    </row>
    <row r="904" spans="1:17" x14ac:dyDescent="0.25">
      <c r="A904">
        <v>1902</v>
      </c>
      <c r="B904" s="1">
        <v>45164</v>
      </c>
      <c r="C904" t="s">
        <v>275</v>
      </c>
      <c r="D904" t="s">
        <v>25</v>
      </c>
      <c r="E904" t="s">
        <v>26</v>
      </c>
      <c r="F904" t="s">
        <v>27</v>
      </c>
      <c r="G904" t="s">
        <v>41</v>
      </c>
      <c r="H904" t="s">
        <v>63</v>
      </c>
      <c r="I904" t="s">
        <v>64</v>
      </c>
      <c r="J904">
        <v>1</v>
      </c>
      <c r="K904">
        <v>990.98</v>
      </c>
      <c r="L904">
        <v>500.66</v>
      </c>
      <c r="M904">
        <v>772.96</v>
      </c>
      <c r="N904">
        <v>500.66</v>
      </c>
      <c r="O904">
        <v>272.3</v>
      </c>
      <c r="P904">
        <v>0.22</v>
      </c>
      <c r="Q904" t="s">
        <v>51</v>
      </c>
    </row>
    <row r="905" spans="1:17" x14ac:dyDescent="0.25">
      <c r="A905">
        <v>1903</v>
      </c>
      <c r="B905" s="1">
        <v>45005</v>
      </c>
      <c r="C905" t="s">
        <v>276</v>
      </c>
      <c r="D905" t="s">
        <v>32</v>
      </c>
      <c r="E905" t="s">
        <v>26</v>
      </c>
      <c r="F905" t="s">
        <v>40</v>
      </c>
      <c r="G905" t="s">
        <v>20</v>
      </c>
      <c r="H905" t="s">
        <v>28</v>
      </c>
      <c r="I905" t="s">
        <v>29</v>
      </c>
      <c r="J905">
        <v>10</v>
      </c>
      <c r="K905">
        <v>656.93</v>
      </c>
      <c r="L905">
        <v>384.62</v>
      </c>
      <c r="M905">
        <v>5978.06</v>
      </c>
      <c r="N905">
        <v>3846.2</v>
      </c>
      <c r="O905">
        <v>2131.86</v>
      </c>
      <c r="P905">
        <v>0.09</v>
      </c>
      <c r="Q905" t="s">
        <v>125</v>
      </c>
    </row>
    <row r="906" spans="1:17" x14ac:dyDescent="0.25">
      <c r="A906">
        <v>1904</v>
      </c>
      <c r="B906" s="1">
        <v>45334</v>
      </c>
      <c r="C906" t="s">
        <v>201</v>
      </c>
      <c r="D906" t="s">
        <v>25</v>
      </c>
      <c r="E906" t="s">
        <v>33</v>
      </c>
      <c r="F906" t="s">
        <v>34</v>
      </c>
      <c r="G906" t="s">
        <v>35</v>
      </c>
      <c r="H906" t="s">
        <v>70</v>
      </c>
      <c r="I906" t="s">
        <v>98</v>
      </c>
      <c r="J906">
        <v>8</v>
      </c>
      <c r="K906">
        <v>706.73</v>
      </c>
      <c r="L906">
        <v>554.57000000000005</v>
      </c>
      <c r="M906">
        <v>4127.3</v>
      </c>
      <c r="N906">
        <v>4436.5600000000004</v>
      </c>
      <c r="O906">
        <v>-309.26</v>
      </c>
      <c r="P906">
        <v>0.27</v>
      </c>
      <c r="Q906" t="s">
        <v>23</v>
      </c>
    </row>
    <row r="907" spans="1:17" x14ac:dyDescent="0.25">
      <c r="A907">
        <v>1905</v>
      </c>
      <c r="B907" s="1">
        <v>45381</v>
      </c>
      <c r="C907" t="s">
        <v>138</v>
      </c>
      <c r="D907" t="s">
        <v>32</v>
      </c>
      <c r="E907" t="s">
        <v>18</v>
      </c>
      <c r="F907" t="s">
        <v>19</v>
      </c>
      <c r="G907" t="s">
        <v>41</v>
      </c>
      <c r="H907" t="s">
        <v>46</v>
      </c>
      <c r="I907" t="s">
        <v>57</v>
      </c>
      <c r="J907">
        <v>9</v>
      </c>
      <c r="K907">
        <v>505.93</v>
      </c>
      <c r="L907">
        <v>262.52999999999997</v>
      </c>
      <c r="M907">
        <v>3323.96</v>
      </c>
      <c r="N907">
        <v>2362.77</v>
      </c>
      <c r="O907">
        <v>961.19</v>
      </c>
      <c r="P907">
        <v>0.27</v>
      </c>
      <c r="Q907" t="s">
        <v>125</v>
      </c>
    </row>
    <row r="908" spans="1:17" x14ac:dyDescent="0.25">
      <c r="A908">
        <v>1906</v>
      </c>
      <c r="B908" s="1">
        <v>45424</v>
      </c>
      <c r="C908" t="s">
        <v>116</v>
      </c>
      <c r="D908" t="s">
        <v>25</v>
      </c>
      <c r="E908" t="s">
        <v>26</v>
      </c>
      <c r="F908" t="s">
        <v>19</v>
      </c>
      <c r="G908" t="s">
        <v>35</v>
      </c>
      <c r="H908" t="s">
        <v>70</v>
      </c>
      <c r="I908" t="s">
        <v>84</v>
      </c>
      <c r="J908">
        <v>4</v>
      </c>
      <c r="K908">
        <v>127.13</v>
      </c>
      <c r="L908">
        <v>95.82</v>
      </c>
      <c r="M908">
        <v>386.48</v>
      </c>
      <c r="N908">
        <v>383.28</v>
      </c>
      <c r="O908">
        <v>3.2</v>
      </c>
      <c r="P908">
        <v>0.24</v>
      </c>
      <c r="Q908" t="s">
        <v>51</v>
      </c>
    </row>
    <row r="909" spans="1:17" x14ac:dyDescent="0.25">
      <c r="A909">
        <v>1907</v>
      </c>
      <c r="B909" s="1">
        <v>45167</v>
      </c>
      <c r="C909" t="s">
        <v>140</v>
      </c>
      <c r="D909" t="s">
        <v>17</v>
      </c>
      <c r="E909" t="s">
        <v>53</v>
      </c>
      <c r="F909" t="s">
        <v>34</v>
      </c>
      <c r="G909" t="s">
        <v>20</v>
      </c>
      <c r="H909" t="s">
        <v>28</v>
      </c>
      <c r="I909" t="s">
        <v>90</v>
      </c>
      <c r="J909">
        <v>5</v>
      </c>
      <c r="K909">
        <v>281.58</v>
      </c>
      <c r="L909">
        <v>178.65</v>
      </c>
      <c r="M909">
        <v>1055.92</v>
      </c>
      <c r="N909">
        <v>893.25</v>
      </c>
      <c r="O909">
        <v>162.66999999999999</v>
      </c>
      <c r="P909">
        <v>0.25</v>
      </c>
      <c r="Q909" t="s">
        <v>44</v>
      </c>
    </row>
    <row r="910" spans="1:17" x14ac:dyDescent="0.25">
      <c r="A910">
        <v>1908</v>
      </c>
      <c r="B910" s="1">
        <v>44988</v>
      </c>
      <c r="C910" t="s">
        <v>95</v>
      </c>
      <c r="D910" t="s">
        <v>17</v>
      </c>
      <c r="E910" t="s">
        <v>53</v>
      </c>
      <c r="F910" t="s">
        <v>27</v>
      </c>
      <c r="G910" t="s">
        <v>20</v>
      </c>
      <c r="H910" t="s">
        <v>28</v>
      </c>
      <c r="I910" t="s">
        <v>61</v>
      </c>
      <c r="J910">
        <v>8</v>
      </c>
      <c r="K910">
        <v>49.19</v>
      </c>
      <c r="L910">
        <v>28.14</v>
      </c>
      <c r="M910">
        <v>369.91</v>
      </c>
      <c r="N910">
        <v>225.12</v>
      </c>
      <c r="O910">
        <v>144.79</v>
      </c>
      <c r="P910">
        <v>0.06</v>
      </c>
      <c r="Q910" t="s">
        <v>75</v>
      </c>
    </row>
    <row r="911" spans="1:17" x14ac:dyDescent="0.25">
      <c r="A911">
        <v>1909</v>
      </c>
      <c r="B911" s="1">
        <v>45472</v>
      </c>
      <c r="C911" t="s">
        <v>176</v>
      </c>
      <c r="D911" t="s">
        <v>32</v>
      </c>
      <c r="E911" t="s">
        <v>33</v>
      </c>
      <c r="F911" t="s">
        <v>40</v>
      </c>
      <c r="G911" t="s">
        <v>20</v>
      </c>
      <c r="H911" t="s">
        <v>113</v>
      </c>
      <c r="I911" t="s">
        <v>153</v>
      </c>
      <c r="J911">
        <v>5</v>
      </c>
      <c r="K911">
        <v>811.19</v>
      </c>
      <c r="L911">
        <v>573.38</v>
      </c>
      <c r="M911">
        <v>3123.08</v>
      </c>
      <c r="N911">
        <v>2866.9</v>
      </c>
      <c r="O911">
        <v>256.18</v>
      </c>
      <c r="P911">
        <v>0.23</v>
      </c>
      <c r="Q911" t="s">
        <v>85</v>
      </c>
    </row>
    <row r="912" spans="1:17" x14ac:dyDescent="0.25">
      <c r="A912">
        <v>1910</v>
      </c>
      <c r="B912" s="1">
        <v>45563</v>
      </c>
      <c r="C912" t="s">
        <v>147</v>
      </c>
      <c r="D912" t="s">
        <v>32</v>
      </c>
      <c r="E912" t="s">
        <v>33</v>
      </c>
      <c r="F912" t="s">
        <v>34</v>
      </c>
      <c r="G912" t="s">
        <v>41</v>
      </c>
      <c r="H912" t="s">
        <v>46</v>
      </c>
      <c r="I912" t="s">
        <v>102</v>
      </c>
      <c r="J912">
        <v>5</v>
      </c>
      <c r="K912">
        <v>859.22</v>
      </c>
      <c r="L912">
        <v>711.68</v>
      </c>
      <c r="M912">
        <v>3694.65</v>
      </c>
      <c r="N912">
        <v>3558.4</v>
      </c>
      <c r="O912">
        <v>136.25</v>
      </c>
      <c r="P912">
        <v>0.14000000000000001</v>
      </c>
      <c r="Q912" t="s">
        <v>125</v>
      </c>
    </row>
    <row r="913" spans="1:17" x14ac:dyDescent="0.25">
      <c r="A913">
        <v>1911</v>
      </c>
      <c r="B913" s="1">
        <v>45508</v>
      </c>
      <c r="C913" t="s">
        <v>67</v>
      </c>
      <c r="D913" t="s">
        <v>32</v>
      </c>
      <c r="E913" t="s">
        <v>26</v>
      </c>
      <c r="F913" t="s">
        <v>27</v>
      </c>
      <c r="G913" t="s">
        <v>35</v>
      </c>
      <c r="H913" t="s">
        <v>70</v>
      </c>
      <c r="I913" t="s">
        <v>98</v>
      </c>
      <c r="J913">
        <v>3</v>
      </c>
      <c r="K913">
        <v>908.17</v>
      </c>
      <c r="L913">
        <v>543.30999999999995</v>
      </c>
      <c r="M913">
        <v>2179.61</v>
      </c>
      <c r="N913">
        <v>1629.93</v>
      </c>
      <c r="O913">
        <v>549.67999999999995</v>
      </c>
      <c r="P913">
        <v>0.2</v>
      </c>
      <c r="Q913" t="s">
        <v>30</v>
      </c>
    </row>
    <row r="914" spans="1:17" x14ac:dyDescent="0.25">
      <c r="A914">
        <v>1912</v>
      </c>
      <c r="B914" s="1">
        <v>45014</v>
      </c>
      <c r="C914" t="s">
        <v>31</v>
      </c>
      <c r="D914" t="s">
        <v>17</v>
      </c>
      <c r="E914" t="s">
        <v>18</v>
      </c>
      <c r="F914" t="s">
        <v>40</v>
      </c>
      <c r="G914" t="s">
        <v>41</v>
      </c>
      <c r="H914" t="s">
        <v>46</v>
      </c>
      <c r="I914" t="s">
        <v>47</v>
      </c>
      <c r="J914">
        <v>10</v>
      </c>
      <c r="K914">
        <v>277.89999999999998</v>
      </c>
      <c r="L914">
        <v>165.09</v>
      </c>
      <c r="M914">
        <v>2556.6799999999998</v>
      </c>
      <c r="N914">
        <v>1650.9</v>
      </c>
      <c r="O914">
        <v>905.78</v>
      </c>
      <c r="P914">
        <v>0.08</v>
      </c>
      <c r="Q914" t="s">
        <v>125</v>
      </c>
    </row>
    <row r="915" spans="1:17" x14ac:dyDescent="0.25">
      <c r="A915">
        <v>1913</v>
      </c>
      <c r="B915" s="1">
        <v>44939</v>
      </c>
      <c r="C915" t="s">
        <v>168</v>
      </c>
      <c r="D915" t="s">
        <v>17</v>
      </c>
      <c r="E915" t="s">
        <v>18</v>
      </c>
      <c r="F915" t="s">
        <v>40</v>
      </c>
      <c r="G915" t="s">
        <v>20</v>
      </c>
      <c r="H915" t="s">
        <v>28</v>
      </c>
      <c r="I915" t="s">
        <v>61</v>
      </c>
      <c r="J915">
        <v>1</v>
      </c>
      <c r="K915">
        <v>442.71</v>
      </c>
      <c r="L915">
        <v>293.63</v>
      </c>
      <c r="M915">
        <v>314.32</v>
      </c>
      <c r="N915">
        <v>293.63</v>
      </c>
      <c r="O915">
        <v>20.69</v>
      </c>
      <c r="P915">
        <v>0.28999999999999998</v>
      </c>
      <c r="Q915" t="s">
        <v>55</v>
      </c>
    </row>
    <row r="916" spans="1:17" x14ac:dyDescent="0.25">
      <c r="A916">
        <v>1914</v>
      </c>
      <c r="B916" s="1">
        <v>45580</v>
      </c>
      <c r="C916" t="s">
        <v>194</v>
      </c>
      <c r="D916" t="s">
        <v>25</v>
      </c>
      <c r="E916" t="s">
        <v>53</v>
      </c>
      <c r="F916" t="s">
        <v>34</v>
      </c>
      <c r="G916" t="s">
        <v>41</v>
      </c>
      <c r="H916" t="s">
        <v>42</v>
      </c>
      <c r="I916" t="s">
        <v>68</v>
      </c>
      <c r="J916">
        <v>10</v>
      </c>
      <c r="K916">
        <v>553.69000000000005</v>
      </c>
      <c r="L916">
        <v>461.59</v>
      </c>
      <c r="M916">
        <v>4817.1000000000004</v>
      </c>
      <c r="N916">
        <v>4615.8999999999996</v>
      </c>
      <c r="O916">
        <v>201.2</v>
      </c>
      <c r="P916">
        <v>0.13</v>
      </c>
      <c r="Q916" t="s">
        <v>30</v>
      </c>
    </row>
    <row r="917" spans="1:17" x14ac:dyDescent="0.25">
      <c r="A917">
        <v>1915</v>
      </c>
      <c r="B917" s="1">
        <v>45209</v>
      </c>
      <c r="C917" t="s">
        <v>95</v>
      </c>
      <c r="D917" t="s">
        <v>32</v>
      </c>
      <c r="E917" t="s">
        <v>26</v>
      </c>
      <c r="F917" t="s">
        <v>19</v>
      </c>
      <c r="G917" t="s">
        <v>41</v>
      </c>
      <c r="H917" t="s">
        <v>42</v>
      </c>
      <c r="I917" t="s">
        <v>77</v>
      </c>
      <c r="J917">
        <v>10</v>
      </c>
      <c r="K917">
        <v>657.7</v>
      </c>
      <c r="L917">
        <v>382.41</v>
      </c>
      <c r="M917">
        <v>5261.6</v>
      </c>
      <c r="N917">
        <v>3824.1</v>
      </c>
      <c r="O917">
        <v>1437.5</v>
      </c>
      <c r="P917">
        <v>0.2</v>
      </c>
      <c r="Q917" t="s">
        <v>92</v>
      </c>
    </row>
    <row r="918" spans="1:17" x14ac:dyDescent="0.25">
      <c r="A918">
        <v>1916</v>
      </c>
      <c r="B918" s="1">
        <v>45627</v>
      </c>
      <c r="C918" t="s">
        <v>209</v>
      </c>
      <c r="D918" t="s">
        <v>32</v>
      </c>
      <c r="E918" t="s">
        <v>18</v>
      </c>
      <c r="F918" t="s">
        <v>34</v>
      </c>
      <c r="G918" t="s">
        <v>41</v>
      </c>
      <c r="H918" t="s">
        <v>63</v>
      </c>
      <c r="I918" t="s">
        <v>141</v>
      </c>
      <c r="J918">
        <v>1</v>
      </c>
      <c r="K918">
        <v>951.95</v>
      </c>
      <c r="L918">
        <v>806.48</v>
      </c>
      <c r="M918">
        <v>675.88</v>
      </c>
      <c r="N918">
        <v>806.48</v>
      </c>
      <c r="O918">
        <v>-130.6</v>
      </c>
      <c r="P918">
        <v>0.28999999999999998</v>
      </c>
      <c r="Q918" t="s">
        <v>51</v>
      </c>
    </row>
    <row r="919" spans="1:17" x14ac:dyDescent="0.25">
      <c r="A919">
        <v>1917</v>
      </c>
      <c r="B919" s="1">
        <v>45621</v>
      </c>
      <c r="C919" t="s">
        <v>142</v>
      </c>
      <c r="D919" t="s">
        <v>32</v>
      </c>
      <c r="E919" t="s">
        <v>33</v>
      </c>
      <c r="F919" t="s">
        <v>19</v>
      </c>
      <c r="G919" t="s">
        <v>35</v>
      </c>
      <c r="H919" t="s">
        <v>36</v>
      </c>
      <c r="I919" t="s">
        <v>87</v>
      </c>
      <c r="J919">
        <v>9</v>
      </c>
      <c r="K919">
        <v>446.59</v>
      </c>
      <c r="L919">
        <v>303.17</v>
      </c>
      <c r="M919">
        <v>3737.96</v>
      </c>
      <c r="N919">
        <v>2728.53</v>
      </c>
      <c r="O919">
        <v>1009.43</v>
      </c>
      <c r="P919">
        <v>7.0000000000000007E-2</v>
      </c>
      <c r="Q919" t="s">
        <v>85</v>
      </c>
    </row>
    <row r="920" spans="1:17" x14ac:dyDescent="0.25">
      <c r="A920">
        <v>1918</v>
      </c>
      <c r="B920" s="1">
        <v>45511</v>
      </c>
      <c r="C920" t="s">
        <v>239</v>
      </c>
      <c r="D920" t="s">
        <v>17</v>
      </c>
      <c r="E920" t="s">
        <v>53</v>
      </c>
      <c r="F920" t="s">
        <v>34</v>
      </c>
      <c r="G920" t="s">
        <v>41</v>
      </c>
      <c r="H920" t="s">
        <v>46</v>
      </c>
      <c r="I920" t="s">
        <v>57</v>
      </c>
      <c r="J920">
        <v>3</v>
      </c>
      <c r="K920">
        <v>29.57</v>
      </c>
      <c r="L920">
        <v>21.07</v>
      </c>
      <c r="M920">
        <v>78.95</v>
      </c>
      <c r="N920">
        <v>63.21</v>
      </c>
      <c r="O920">
        <v>15.74</v>
      </c>
      <c r="P920">
        <v>0.11</v>
      </c>
      <c r="Q920" t="s">
        <v>75</v>
      </c>
    </row>
    <row r="921" spans="1:17" x14ac:dyDescent="0.25">
      <c r="A921">
        <v>1919</v>
      </c>
      <c r="B921" s="1">
        <v>45594</v>
      </c>
      <c r="C921" t="s">
        <v>298</v>
      </c>
      <c r="D921" t="s">
        <v>32</v>
      </c>
      <c r="E921" t="s">
        <v>33</v>
      </c>
      <c r="F921" t="s">
        <v>19</v>
      </c>
      <c r="G921" t="s">
        <v>35</v>
      </c>
      <c r="H921" t="s">
        <v>36</v>
      </c>
      <c r="I921" t="s">
        <v>37</v>
      </c>
      <c r="J921">
        <v>3</v>
      </c>
      <c r="K921">
        <v>912.31</v>
      </c>
      <c r="L921">
        <v>464.31</v>
      </c>
      <c r="M921">
        <v>2244.2800000000002</v>
      </c>
      <c r="N921">
        <v>1392.93</v>
      </c>
      <c r="O921">
        <v>851.35</v>
      </c>
      <c r="P921">
        <v>0.18</v>
      </c>
      <c r="Q921" t="s">
        <v>85</v>
      </c>
    </row>
    <row r="922" spans="1:17" x14ac:dyDescent="0.25">
      <c r="A922">
        <v>1920</v>
      </c>
      <c r="B922" s="1">
        <v>45450</v>
      </c>
      <c r="C922" t="s">
        <v>97</v>
      </c>
      <c r="D922" t="s">
        <v>17</v>
      </c>
      <c r="E922" t="s">
        <v>18</v>
      </c>
      <c r="F922" t="s">
        <v>19</v>
      </c>
      <c r="G922" t="s">
        <v>35</v>
      </c>
      <c r="H922" t="s">
        <v>70</v>
      </c>
      <c r="I922" t="s">
        <v>98</v>
      </c>
      <c r="J922">
        <v>3</v>
      </c>
      <c r="K922">
        <v>384.18</v>
      </c>
      <c r="L922">
        <v>326.26</v>
      </c>
      <c r="M922">
        <v>1129.49</v>
      </c>
      <c r="N922">
        <v>978.78</v>
      </c>
      <c r="O922">
        <v>150.71</v>
      </c>
      <c r="P922">
        <v>0.02</v>
      </c>
      <c r="Q922" t="s">
        <v>44</v>
      </c>
    </row>
    <row r="923" spans="1:17" x14ac:dyDescent="0.25">
      <c r="A923">
        <v>1921</v>
      </c>
      <c r="B923" s="1">
        <v>45156</v>
      </c>
      <c r="C923" t="s">
        <v>93</v>
      </c>
      <c r="D923" t="s">
        <v>17</v>
      </c>
      <c r="E923" t="s">
        <v>53</v>
      </c>
      <c r="F923" t="s">
        <v>34</v>
      </c>
      <c r="G923" t="s">
        <v>41</v>
      </c>
      <c r="H923" t="s">
        <v>42</v>
      </c>
      <c r="I923" t="s">
        <v>43</v>
      </c>
      <c r="J923">
        <v>8</v>
      </c>
      <c r="K923">
        <v>660.9</v>
      </c>
      <c r="L923">
        <v>450.81</v>
      </c>
      <c r="M923">
        <v>4758.4799999999996</v>
      </c>
      <c r="N923">
        <v>3606.48</v>
      </c>
      <c r="O923">
        <v>1152</v>
      </c>
      <c r="P923">
        <v>0.1</v>
      </c>
      <c r="Q923" t="s">
        <v>23</v>
      </c>
    </row>
    <row r="924" spans="1:17" x14ac:dyDescent="0.25">
      <c r="A924">
        <v>1922</v>
      </c>
      <c r="B924" s="1">
        <v>45516</v>
      </c>
      <c r="C924" t="s">
        <v>144</v>
      </c>
      <c r="D924" t="s">
        <v>25</v>
      </c>
      <c r="E924" t="s">
        <v>18</v>
      </c>
      <c r="F924" t="s">
        <v>19</v>
      </c>
      <c r="G924" t="s">
        <v>35</v>
      </c>
      <c r="H924" t="s">
        <v>36</v>
      </c>
      <c r="I924" t="s">
        <v>37</v>
      </c>
      <c r="J924">
        <v>6</v>
      </c>
      <c r="K924">
        <v>749.45</v>
      </c>
      <c r="L924">
        <v>405</v>
      </c>
      <c r="M924">
        <v>4181.93</v>
      </c>
      <c r="N924">
        <v>2430</v>
      </c>
      <c r="O924">
        <v>1751.93</v>
      </c>
      <c r="P924">
        <v>7.0000000000000007E-2</v>
      </c>
      <c r="Q924" t="s">
        <v>75</v>
      </c>
    </row>
    <row r="925" spans="1:17" x14ac:dyDescent="0.25">
      <c r="A925">
        <v>1923</v>
      </c>
      <c r="B925" s="1">
        <v>45297</v>
      </c>
      <c r="C925" t="s">
        <v>210</v>
      </c>
      <c r="D925" t="s">
        <v>17</v>
      </c>
      <c r="E925" t="s">
        <v>33</v>
      </c>
      <c r="F925" t="s">
        <v>40</v>
      </c>
      <c r="G925" t="s">
        <v>41</v>
      </c>
      <c r="H925" t="s">
        <v>46</v>
      </c>
      <c r="I925" t="s">
        <v>102</v>
      </c>
      <c r="J925">
        <v>4</v>
      </c>
      <c r="K925">
        <v>451.72</v>
      </c>
      <c r="L925">
        <v>292.08</v>
      </c>
      <c r="M925">
        <v>1499.71</v>
      </c>
      <c r="N925">
        <v>1168.32</v>
      </c>
      <c r="O925">
        <v>331.39</v>
      </c>
      <c r="P925">
        <v>0.17</v>
      </c>
      <c r="Q925" t="s">
        <v>92</v>
      </c>
    </row>
    <row r="926" spans="1:17" x14ac:dyDescent="0.25">
      <c r="A926">
        <v>1924</v>
      </c>
      <c r="B926" s="1">
        <v>45477</v>
      </c>
      <c r="C926" t="s">
        <v>31</v>
      </c>
      <c r="D926" t="s">
        <v>32</v>
      </c>
      <c r="E926" t="s">
        <v>26</v>
      </c>
      <c r="F926" t="s">
        <v>40</v>
      </c>
      <c r="G926" t="s">
        <v>35</v>
      </c>
      <c r="H926" t="s">
        <v>49</v>
      </c>
      <c r="I926" t="s">
        <v>50</v>
      </c>
      <c r="J926">
        <v>2</v>
      </c>
      <c r="K926">
        <v>86.1</v>
      </c>
      <c r="L926">
        <v>55.74</v>
      </c>
      <c r="M926">
        <v>122.26</v>
      </c>
      <c r="N926">
        <v>111.48</v>
      </c>
      <c r="O926">
        <v>10.78</v>
      </c>
      <c r="P926">
        <v>0.28999999999999998</v>
      </c>
      <c r="Q926" t="s">
        <v>125</v>
      </c>
    </row>
    <row r="927" spans="1:17" x14ac:dyDescent="0.25">
      <c r="A927">
        <v>1925</v>
      </c>
      <c r="B927" s="1">
        <v>45433</v>
      </c>
      <c r="C927" t="s">
        <v>212</v>
      </c>
      <c r="D927" t="s">
        <v>25</v>
      </c>
      <c r="E927" t="s">
        <v>26</v>
      </c>
      <c r="F927" t="s">
        <v>27</v>
      </c>
      <c r="G927" t="s">
        <v>20</v>
      </c>
      <c r="H927" t="s">
        <v>21</v>
      </c>
      <c r="I927" t="s">
        <v>22</v>
      </c>
      <c r="J927">
        <v>7</v>
      </c>
      <c r="K927">
        <v>267.06</v>
      </c>
      <c r="L927">
        <v>185.37</v>
      </c>
      <c r="M927">
        <v>1345.98</v>
      </c>
      <c r="N927">
        <v>1297.5899999999999</v>
      </c>
      <c r="O927">
        <v>48.39</v>
      </c>
      <c r="P927">
        <v>0.28000000000000003</v>
      </c>
      <c r="Q927" t="s">
        <v>44</v>
      </c>
    </row>
    <row r="928" spans="1:17" x14ac:dyDescent="0.25">
      <c r="A928">
        <v>1926</v>
      </c>
      <c r="B928" s="1">
        <v>45056</v>
      </c>
      <c r="C928" t="s">
        <v>52</v>
      </c>
      <c r="D928" t="s">
        <v>32</v>
      </c>
      <c r="E928" t="s">
        <v>33</v>
      </c>
      <c r="F928" t="s">
        <v>19</v>
      </c>
      <c r="G928" t="s">
        <v>20</v>
      </c>
      <c r="H928" t="s">
        <v>21</v>
      </c>
      <c r="I928" t="s">
        <v>79</v>
      </c>
      <c r="J928">
        <v>7</v>
      </c>
      <c r="K928">
        <v>357.6</v>
      </c>
      <c r="L928">
        <v>229.15</v>
      </c>
      <c r="M928">
        <v>2077.66</v>
      </c>
      <c r="N928">
        <v>1604.05</v>
      </c>
      <c r="O928">
        <v>473.61</v>
      </c>
      <c r="P928">
        <v>0.17</v>
      </c>
      <c r="Q928" t="s">
        <v>30</v>
      </c>
    </row>
    <row r="929" spans="1:17" x14ac:dyDescent="0.25">
      <c r="A929">
        <v>1927</v>
      </c>
      <c r="B929" s="1">
        <v>45048</v>
      </c>
      <c r="C929" t="s">
        <v>274</v>
      </c>
      <c r="D929" t="s">
        <v>32</v>
      </c>
      <c r="E929" t="s">
        <v>33</v>
      </c>
      <c r="F929" t="s">
        <v>34</v>
      </c>
      <c r="G929" t="s">
        <v>20</v>
      </c>
      <c r="H929" t="s">
        <v>113</v>
      </c>
      <c r="I929" t="s">
        <v>153</v>
      </c>
      <c r="J929">
        <v>8</v>
      </c>
      <c r="K929">
        <v>911.12</v>
      </c>
      <c r="L929">
        <v>656.73</v>
      </c>
      <c r="M929">
        <v>5685.39</v>
      </c>
      <c r="N929">
        <v>5253.84</v>
      </c>
      <c r="O929">
        <v>431.55</v>
      </c>
      <c r="P929">
        <v>0.22</v>
      </c>
      <c r="Q929" t="s">
        <v>75</v>
      </c>
    </row>
    <row r="930" spans="1:17" x14ac:dyDescent="0.25">
      <c r="A930">
        <v>1928</v>
      </c>
      <c r="B930" s="1">
        <v>45223</v>
      </c>
      <c r="C930" t="s">
        <v>173</v>
      </c>
      <c r="D930" t="s">
        <v>17</v>
      </c>
      <c r="E930" t="s">
        <v>26</v>
      </c>
      <c r="F930" t="s">
        <v>19</v>
      </c>
      <c r="G930" t="s">
        <v>41</v>
      </c>
      <c r="H930" t="s">
        <v>63</v>
      </c>
      <c r="I930" t="s">
        <v>64</v>
      </c>
      <c r="J930">
        <v>2</v>
      </c>
      <c r="K930">
        <v>156.5</v>
      </c>
      <c r="L930">
        <v>78.680000000000007</v>
      </c>
      <c r="M930">
        <v>256.66000000000003</v>
      </c>
      <c r="N930">
        <v>157.36000000000001</v>
      </c>
      <c r="O930">
        <v>99.3</v>
      </c>
      <c r="P930">
        <v>0.18</v>
      </c>
      <c r="Q930" t="s">
        <v>55</v>
      </c>
    </row>
    <row r="931" spans="1:17" x14ac:dyDescent="0.25">
      <c r="A931">
        <v>1929</v>
      </c>
      <c r="B931" s="1">
        <v>45315</v>
      </c>
      <c r="C931" t="s">
        <v>298</v>
      </c>
      <c r="D931" t="s">
        <v>25</v>
      </c>
      <c r="E931" t="s">
        <v>18</v>
      </c>
      <c r="F931" t="s">
        <v>34</v>
      </c>
      <c r="G931" t="s">
        <v>20</v>
      </c>
      <c r="H931" t="s">
        <v>28</v>
      </c>
      <c r="I931" t="s">
        <v>61</v>
      </c>
      <c r="J931">
        <v>6</v>
      </c>
      <c r="K931">
        <v>53.05</v>
      </c>
      <c r="L931">
        <v>36.14</v>
      </c>
      <c r="M931">
        <v>267.37</v>
      </c>
      <c r="N931">
        <v>216.84</v>
      </c>
      <c r="O931">
        <v>50.53</v>
      </c>
      <c r="P931">
        <v>0.16</v>
      </c>
      <c r="Q931" t="s">
        <v>38</v>
      </c>
    </row>
    <row r="932" spans="1:17" x14ac:dyDescent="0.25">
      <c r="A932">
        <v>1930</v>
      </c>
      <c r="B932" s="1">
        <v>45363</v>
      </c>
      <c r="C932" t="s">
        <v>255</v>
      </c>
      <c r="D932" t="s">
        <v>32</v>
      </c>
      <c r="E932" t="s">
        <v>18</v>
      </c>
      <c r="F932" t="s">
        <v>19</v>
      </c>
      <c r="G932" t="s">
        <v>20</v>
      </c>
      <c r="H932" t="s">
        <v>21</v>
      </c>
      <c r="I932" t="s">
        <v>132</v>
      </c>
      <c r="J932">
        <v>7</v>
      </c>
      <c r="K932">
        <v>521.54</v>
      </c>
      <c r="L932">
        <v>365.76</v>
      </c>
      <c r="M932">
        <v>2993.64</v>
      </c>
      <c r="N932">
        <v>2560.3200000000002</v>
      </c>
      <c r="O932">
        <v>433.32</v>
      </c>
      <c r="P932">
        <v>0.18</v>
      </c>
      <c r="Q932" t="s">
        <v>44</v>
      </c>
    </row>
    <row r="933" spans="1:17" x14ac:dyDescent="0.25">
      <c r="A933">
        <v>1931</v>
      </c>
      <c r="B933" s="1">
        <v>45282</v>
      </c>
      <c r="C933" t="s">
        <v>56</v>
      </c>
      <c r="D933" t="s">
        <v>25</v>
      </c>
      <c r="E933" t="s">
        <v>18</v>
      </c>
      <c r="F933" t="s">
        <v>40</v>
      </c>
      <c r="G933" t="s">
        <v>35</v>
      </c>
      <c r="H933" t="s">
        <v>49</v>
      </c>
      <c r="I933" t="s">
        <v>66</v>
      </c>
      <c r="J933">
        <v>3</v>
      </c>
      <c r="K933">
        <v>292.04000000000002</v>
      </c>
      <c r="L933">
        <v>239.82</v>
      </c>
      <c r="M933">
        <v>613.28</v>
      </c>
      <c r="N933">
        <v>719.46</v>
      </c>
      <c r="O933">
        <v>-106.18</v>
      </c>
      <c r="P933">
        <v>0.3</v>
      </c>
      <c r="Q933" t="s">
        <v>44</v>
      </c>
    </row>
    <row r="934" spans="1:17" x14ac:dyDescent="0.25">
      <c r="A934">
        <v>1932</v>
      </c>
      <c r="B934" s="1">
        <v>45164</v>
      </c>
      <c r="C934" t="s">
        <v>235</v>
      </c>
      <c r="D934" t="s">
        <v>25</v>
      </c>
      <c r="E934" t="s">
        <v>33</v>
      </c>
      <c r="F934" t="s">
        <v>19</v>
      </c>
      <c r="G934" t="s">
        <v>41</v>
      </c>
      <c r="H934" t="s">
        <v>63</v>
      </c>
      <c r="I934" t="s">
        <v>141</v>
      </c>
      <c r="J934">
        <v>1</v>
      </c>
      <c r="K934">
        <v>600.4</v>
      </c>
      <c r="L934">
        <v>308.55</v>
      </c>
      <c r="M934">
        <v>438.29</v>
      </c>
      <c r="N934">
        <v>308.55</v>
      </c>
      <c r="O934">
        <v>129.74</v>
      </c>
      <c r="P934">
        <v>0.27</v>
      </c>
      <c r="Q934" t="s">
        <v>38</v>
      </c>
    </row>
    <row r="935" spans="1:17" x14ac:dyDescent="0.25">
      <c r="A935">
        <v>1933</v>
      </c>
      <c r="B935" s="1">
        <v>45126</v>
      </c>
      <c r="C935" t="s">
        <v>120</v>
      </c>
      <c r="D935" t="s">
        <v>25</v>
      </c>
      <c r="E935" t="s">
        <v>18</v>
      </c>
      <c r="F935" t="s">
        <v>19</v>
      </c>
      <c r="G935" t="s">
        <v>35</v>
      </c>
      <c r="H935" t="s">
        <v>70</v>
      </c>
      <c r="I935" t="s">
        <v>71</v>
      </c>
      <c r="J935">
        <v>8</v>
      </c>
      <c r="K935">
        <v>523.29</v>
      </c>
      <c r="L935">
        <v>413.85</v>
      </c>
      <c r="M935">
        <v>3809.55</v>
      </c>
      <c r="N935">
        <v>3310.8</v>
      </c>
      <c r="O935">
        <v>498.75</v>
      </c>
      <c r="P935">
        <v>0.09</v>
      </c>
      <c r="Q935" t="s">
        <v>44</v>
      </c>
    </row>
    <row r="936" spans="1:17" x14ac:dyDescent="0.25">
      <c r="A936">
        <v>1934</v>
      </c>
      <c r="B936" s="1">
        <v>45650</v>
      </c>
      <c r="C936" t="s">
        <v>238</v>
      </c>
      <c r="D936" t="s">
        <v>25</v>
      </c>
      <c r="E936" t="s">
        <v>53</v>
      </c>
      <c r="F936" t="s">
        <v>27</v>
      </c>
      <c r="G936" t="s">
        <v>35</v>
      </c>
      <c r="H936" t="s">
        <v>49</v>
      </c>
      <c r="I936" t="s">
        <v>66</v>
      </c>
      <c r="J936">
        <v>3</v>
      </c>
      <c r="K936">
        <v>993.11</v>
      </c>
      <c r="L936">
        <v>750.86</v>
      </c>
      <c r="M936">
        <v>2889.95</v>
      </c>
      <c r="N936">
        <v>2252.58</v>
      </c>
      <c r="O936">
        <v>637.37</v>
      </c>
      <c r="P936">
        <v>0.03</v>
      </c>
      <c r="Q936" t="s">
        <v>85</v>
      </c>
    </row>
    <row r="937" spans="1:17" x14ac:dyDescent="0.25">
      <c r="A937">
        <v>1935</v>
      </c>
      <c r="B937" s="1">
        <v>45007</v>
      </c>
      <c r="C937" t="s">
        <v>97</v>
      </c>
      <c r="D937" t="s">
        <v>25</v>
      </c>
      <c r="E937" t="s">
        <v>33</v>
      </c>
      <c r="F937" t="s">
        <v>40</v>
      </c>
      <c r="G937" t="s">
        <v>20</v>
      </c>
      <c r="H937" t="s">
        <v>113</v>
      </c>
      <c r="I937" t="s">
        <v>153</v>
      </c>
      <c r="J937">
        <v>5</v>
      </c>
      <c r="K937">
        <v>456.2</v>
      </c>
      <c r="L937">
        <v>345.54</v>
      </c>
      <c r="M937">
        <v>1824.8</v>
      </c>
      <c r="N937">
        <v>1727.7</v>
      </c>
      <c r="O937">
        <v>97.1</v>
      </c>
      <c r="P937">
        <v>0.2</v>
      </c>
      <c r="Q937" t="s">
        <v>44</v>
      </c>
    </row>
    <row r="938" spans="1:17" x14ac:dyDescent="0.25">
      <c r="A938">
        <v>1936</v>
      </c>
      <c r="B938" s="1">
        <v>45650</v>
      </c>
      <c r="C938" t="s">
        <v>157</v>
      </c>
      <c r="D938" t="s">
        <v>25</v>
      </c>
      <c r="E938" t="s">
        <v>53</v>
      </c>
      <c r="F938" t="s">
        <v>34</v>
      </c>
      <c r="G938" t="s">
        <v>41</v>
      </c>
      <c r="H938" t="s">
        <v>63</v>
      </c>
      <c r="I938" t="s">
        <v>117</v>
      </c>
      <c r="J938">
        <v>4</v>
      </c>
      <c r="K938">
        <v>842.22</v>
      </c>
      <c r="L938">
        <v>616</v>
      </c>
      <c r="M938">
        <v>2492.9699999999998</v>
      </c>
      <c r="N938">
        <v>2464</v>
      </c>
      <c r="O938">
        <v>28.97</v>
      </c>
      <c r="P938">
        <v>0.26</v>
      </c>
      <c r="Q938" t="s">
        <v>51</v>
      </c>
    </row>
    <row r="939" spans="1:17" x14ac:dyDescent="0.25">
      <c r="A939">
        <v>1937</v>
      </c>
      <c r="B939" s="1">
        <v>45576</v>
      </c>
      <c r="C939" t="s">
        <v>254</v>
      </c>
      <c r="D939" t="s">
        <v>25</v>
      </c>
      <c r="E939" t="s">
        <v>26</v>
      </c>
      <c r="F939" t="s">
        <v>27</v>
      </c>
      <c r="G939" t="s">
        <v>20</v>
      </c>
      <c r="H939" t="s">
        <v>113</v>
      </c>
      <c r="I939" t="s">
        <v>114</v>
      </c>
      <c r="J939">
        <v>5</v>
      </c>
      <c r="K939">
        <v>472.76</v>
      </c>
      <c r="L939">
        <v>316.55</v>
      </c>
      <c r="M939">
        <v>2221.9699999999998</v>
      </c>
      <c r="N939">
        <v>1582.75</v>
      </c>
      <c r="O939">
        <v>639.22</v>
      </c>
      <c r="P939">
        <v>0.06</v>
      </c>
      <c r="Q939" t="s">
        <v>55</v>
      </c>
    </row>
    <row r="940" spans="1:17" x14ac:dyDescent="0.25">
      <c r="A940">
        <v>1938</v>
      </c>
      <c r="B940" s="1">
        <v>45216</v>
      </c>
      <c r="C940" t="s">
        <v>115</v>
      </c>
      <c r="D940" t="s">
        <v>17</v>
      </c>
      <c r="E940" t="s">
        <v>33</v>
      </c>
      <c r="F940" t="s">
        <v>19</v>
      </c>
      <c r="G940" t="s">
        <v>20</v>
      </c>
      <c r="H940" t="s">
        <v>28</v>
      </c>
      <c r="I940" t="s">
        <v>90</v>
      </c>
      <c r="J940">
        <v>8</v>
      </c>
      <c r="K940">
        <v>559.95000000000005</v>
      </c>
      <c r="L940">
        <v>320.85000000000002</v>
      </c>
      <c r="M940">
        <v>4255.62</v>
      </c>
      <c r="N940">
        <v>2566.8000000000002</v>
      </c>
      <c r="O940">
        <v>1688.82</v>
      </c>
      <c r="P940">
        <v>0.05</v>
      </c>
      <c r="Q940" t="s">
        <v>75</v>
      </c>
    </row>
    <row r="941" spans="1:17" x14ac:dyDescent="0.25">
      <c r="A941">
        <v>1939</v>
      </c>
      <c r="B941" s="1">
        <v>45631</v>
      </c>
      <c r="C941" t="s">
        <v>198</v>
      </c>
      <c r="D941" t="s">
        <v>32</v>
      </c>
      <c r="E941" t="s">
        <v>26</v>
      </c>
      <c r="F941" t="s">
        <v>40</v>
      </c>
      <c r="G941" t="s">
        <v>35</v>
      </c>
      <c r="H941" t="s">
        <v>70</v>
      </c>
      <c r="I941" t="s">
        <v>84</v>
      </c>
      <c r="J941">
        <v>3</v>
      </c>
      <c r="K941">
        <v>878.5</v>
      </c>
      <c r="L941">
        <v>697.74</v>
      </c>
      <c r="M941">
        <v>1950.27</v>
      </c>
      <c r="N941">
        <v>2093.2199999999998</v>
      </c>
      <c r="O941">
        <v>-142.94999999999999</v>
      </c>
      <c r="P941">
        <v>0.26</v>
      </c>
      <c r="Q941" t="s">
        <v>55</v>
      </c>
    </row>
    <row r="942" spans="1:17" x14ac:dyDescent="0.25">
      <c r="A942">
        <v>1940</v>
      </c>
      <c r="B942" s="1">
        <v>45428</v>
      </c>
      <c r="C942" t="s">
        <v>202</v>
      </c>
      <c r="D942" t="s">
        <v>32</v>
      </c>
      <c r="E942" t="s">
        <v>18</v>
      </c>
      <c r="F942" t="s">
        <v>27</v>
      </c>
      <c r="G942" t="s">
        <v>35</v>
      </c>
      <c r="H942" t="s">
        <v>36</v>
      </c>
      <c r="I942" t="s">
        <v>87</v>
      </c>
      <c r="J942">
        <v>2</v>
      </c>
      <c r="K942">
        <v>963.1</v>
      </c>
      <c r="L942">
        <v>783.85</v>
      </c>
      <c r="M942">
        <v>1483.17</v>
      </c>
      <c r="N942">
        <v>1567.7</v>
      </c>
      <c r="O942">
        <v>-84.53</v>
      </c>
      <c r="P942">
        <v>0.23</v>
      </c>
      <c r="Q942" t="s">
        <v>75</v>
      </c>
    </row>
    <row r="943" spans="1:17" x14ac:dyDescent="0.25">
      <c r="A943">
        <v>1941</v>
      </c>
      <c r="B943" s="1">
        <v>45384</v>
      </c>
      <c r="C943" t="s">
        <v>180</v>
      </c>
      <c r="D943" t="s">
        <v>17</v>
      </c>
      <c r="E943" t="s">
        <v>53</v>
      </c>
      <c r="F943" t="s">
        <v>34</v>
      </c>
      <c r="G943" t="s">
        <v>20</v>
      </c>
      <c r="H943" t="s">
        <v>28</v>
      </c>
      <c r="I943" t="s">
        <v>29</v>
      </c>
      <c r="J943">
        <v>2</v>
      </c>
      <c r="K943">
        <v>350.84</v>
      </c>
      <c r="L943">
        <v>224.3</v>
      </c>
      <c r="M943">
        <v>673.61</v>
      </c>
      <c r="N943">
        <v>448.6</v>
      </c>
      <c r="O943">
        <v>225.01</v>
      </c>
      <c r="P943">
        <v>0.04</v>
      </c>
      <c r="Q943" t="s">
        <v>55</v>
      </c>
    </row>
    <row r="944" spans="1:17" x14ac:dyDescent="0.25">
      <c r="A944">
        <v>1942</v>
      </c>
      <c r="B944" s="1">
        <v>45427</v>
      </c>
      <c r="C944" t="s">
        <v>165</v>
      </c>
      <c r="D944" t="s">
        <v>17</v>
      </c>
      <c r="E944" t="s">
        <v>26</v>
      </c>
      <c r="F944" t="s">
        <v>34</v>
      </c>
      <c r="G944" t="s">
        <v>35</v>
      </c>
      <c r="H944" t="s">
        <v>49</v>
      </c>
      <c r="I944" t="s">
        <v>59</v>
      </c>
      <c r="J944">
        <v>4</v>
      </c>
      <c r="K944">
        <v>890.36</v>
      </c>
      <c r="L944">
        <v>689.13</v>
      </c>
      <c r="M944">
        <v>3490.21</v>
      </c>
      <c r="N944">
        <v>2756.52</v>
      </c>
      <c r="O944">
        <v>733.69</v>
      </c>
      <c r="P944">
        <v>0.02</v>
      </c>
      <c r="Q944" t="s">
        <v>85</v>
      </c>
    </row>
    <row r="945" spans="1:17" x14ac:dyDescent="0.25">
      <c r="A945">
        <v>1943</v>
      </c>
      <c r="B945" s="1">
        <v>45194</v>
      </c>
      <c r="C945" t="s">
        <v>174</v>
      </c>
      <c r="D945" t="s">
        <v>32</v>
      </c>
      <c r="E945" t="s">
        <v>53</v>
      </c>
      <c r="F945" t="s">
        <v>27</v>
      </c>
      <c r="G945" t="s">
        <v>35</v>
      </c>
      <c r="H945" t="s">
        <v>49</v>
      </c>
      <c r="I945" t="s">
        <v>50</v>
      </c>
      <c r="J945">
        <v>1</v>
      </c>
      <c r="K945">
        <v>271.98</v>
      </c>
      <c r="L945">
        <v>205.31</v>
      </c>
      <c r="M945">
        <v>244.78</v>
      </c>
      <c r="N945">
        <v>205.31</v>
      </c>
      <c r="O945">
        <v>39.47</v>
      </c>
      <c r="P945">
        <v>0.1</v>
      </c>
      <c r="Q945" t="s">
        <v>51</v>
      </c>
    </row>
    <row r="946" spans="1:17" x14ac:dyDescent="0.25">
      <c r="A946">
        <v>1944</v>
      </c>
      <c r="B946" s="1">
        <v>45242</v>
      </c>
      <c r="C946" t="s">
        <v>119</v>
      </c>
      <c r="D946" t="s">
        <v>25</v>
      </c>
      <c r="E946" t="s">
        <v>26</v>
      </c>
      <c r="F946" t="s">
        <v>19</v>
      </c>
      <c r="G946" t="s">
        <v>41</v>
      </c>
      <c r="H946" t="s">
        <v>42</v>
      </c>
      <c r="I946" t="s">
        <v>43</v>
      </c>
      <c r="J946">
        <v>10</v>
      </c>
      <c r="K946">
        <v>333.04</v>
      </c>
      <c r="L946">
        <v>237.04</v>
      </c>
      <c r="M946">
        <v>3297.1</v>
      </c>
      <c r="N946">
        <v>2370.4</v>
      </c>
      <c r="O946">
        <v>926.7</v>
      </c>
      <c r="P946">
        <v>0.01</v>
      </c>
      <c r="Q946" t="s">
        <v>51</v>
      </c>
    </row>
    <row r="947" spans="1:17" x14ac:dyDescent="0.25">
      <c r="A947">
        <v>1945</v>
      </c>
      <c r="B947" s="1">
        <v>45315</v>
      </c>
      <c r="C947" t="s">
        <v>182</v>
      </c>
      <c r="D947" t="s">
        <v>17</v>
      </c>
      <c r="E947" t="s">
        <v>18</v>
      </c>
      <c r="F947" t="s">
        <v>40</v>
      </c>
      <c r="G947" t="s">
        <v>41</v>
      </c>
      <c r="H947" t="s">
        <v>42</v>
      </c>
      <c r="I947" t="s">
        <v>43</v>
      </c>
      <c r="J947">
        <v>1</v>
      </c>
      <c r="K947">
        <v>521.05999999999995</v>
      </c>
      <c r="L947">
        <v>326.57</v>
      </c>
      <c r="M947">
        <v>489.8</v>
      </c>
      <c r="N947">
        <v>326.57</v>
      </c>
      <c r="O947">
        <v>163.22999999999999</v>
      </c>
      <c r="P947">
        <v>0.06</v>
      </c>
      <c r="Q947" t="s">
        <v>92</v>
      </c>
    </row>
    <row r="948" spans="1:17" x14ac:dyDescent="0.25">
      <c r="A948">
        <v>1946</v>
      </c>
      <c r="B948" s="1">
        <v>45475</v>
      </c>
      <c r="C948" t="s">
        <v>147</v>
      </c>
      <c r="D948" t="s">
        <v>17</v>
      </c>
      <c r="E948" t="s">
        <v>26</v>
      </c>
      <c r="F948" t="s">
        <v>40</v>
      </c>
      <c r="G948" t="s">
        <v>20</v>
      </c>
      <c r="H948" t="s">
        <v>28</v>
      </c>
      <c r="I948" t="s">
        <v>29</v>
      </c>
      <c r="J948">
        <v>7</v>
      </c>
      <c r="K948">
        <v>219.54</v>
      </c>
      <c r="L948">
        <v>166.12</v>
      </c>
      <c r="M948">
        <v>1106.48</v>
      </c>
      <c r="N948">
        <v>1162.8399999999999</v>
      </c>
      <c r="O948">
        <v>-56.36</v>
      </c>
      <c r="P948">
        <v>0.28000000000000003</v>
      </c>
      <c r="Q948" t="s">
        <v>51</v>
      </c>
    </row>
    <row r="949" spans="1:17" x14ac:dyDescent="0.25">
      <c r="A949">
        <v>1947</v>
      </c>
      <c r="B949" s="1">
        <v>44947</v>
      </c>
      <c r="C949" t="s">
        <v>67</v>
      </c>
      <c r="D949" t="s">
        <v>25</v>
      </c>
      <c r="E949" t="s">
        <v>53</v>
      </c>
      <c r="F949" t="s">
        <v>27</v>
      </c>
      <c r="G949" t="s">
        <v>20</v>
      </c>
      <c r="H949" t="s">
        <v>21</v>
      </c>
      <c r="I949" t="s">
        <v>54</v>
      </c>
      <c r="J949">
        <v>5</v>
      </c>
      <c r="K949">
        <v>29.12</v>
      </c>
      <c r="L949">
        <v>21</v>
      </c>
      <c r="M949">
        <v>115.02</v>
      </c>
      <c r="N949">
        <v>105</v>
      </c>
      <c r="O949">
        <v>10.02</v>
      </c>
      <c r="P949">
        <v>0.21</v>
      </c>
      <c r="Q949" t="s">
        <v>51</v>
      </c>
    </row>
    <row r="950" spans="1:17" x14ac:dyDescent="0.25">
      <c r="A950">
        <v>1948</v>
      </c>
      <c r="B950" s="1">
        <v>45205</v>
      </c>
      <c r="C950" t="s">
        <v>60</v>
      </c>
      <c r="D950" t="s">
        <v>32</v>
      </c>
      <c r="E950" t="s">
        <v>53</v>
      </c>
      <c r="F950" t="s">
        <v>19</v>
      </c>
      <c r="G950" t="s">
        <v>41</v>
      </c>
      <c r="H950" t="s">
        <v>46</v>
      </c>
      <c r="I950" t="s">
        <v>47</v>
      </c>
      <c r="J950">
        <v>2</v>
      </c>
      <c r="K950">
        <v>78.52</v>
      </c>
      <c r="L950">
        <v>59.11</v>
      </c>
      <c r="M950">
        <v>120.92</v>
      </c>
      <c r="N950">
        <v>118.22</v>
      </c>
      <c r="O950">
        <v>2.7</v>
      </c>
      <c r="P950">
        <v>0.23</v>
      </c>
      <c r="Q950" t="s">
        <v>75</v>
      </c>
    </row>
    <row r="951" spans="1:17" x14ac:dyDescent="0.25">
      <c r="A951">
        <v>1949</v>
      </c>
      <c r="B951" s="1">
        <v>44947</v>
      </c>
      <c r="C951" t="s">
        <v>112</v>
      </c>
      <c r="D951" t="s">
        <v>17</v>
      </c>
      <c r="E951" t="s">
        <v>26</v>
      </c>
      <c r="F951" t="s">
        <v>34</v>
      </c>
      <c r="G951" t="s">
        <v>41</v>
      </c>
      <c r="H951" t="s">
        <v>63</v>
      </c>
      <c r="I951" t="s">
        <v>117</v>
      </c>
      <c r="J951">
        <v>4</v>
      </c>
      <c r="K951">
        <v>832.31</v>
      </c>
      <c r="L951">
        <v>666.48</v>
      </c>
      <c r="M951">
        <v>2530.2199999999998</v>
      </c>
      <c r="N951">
        <v>2665.92</v>
      </c>
      <c r="O951">
        <v>-135.69999999999999</v>
      </c>
      <c r="P951">
        <v>0.24</v>
      </c>
      <c r="Q951" t="s">
        <v>75</v>
      </c>
    </row>
    <row r="952" spans="1:17" x14ac:dyDescent="0.25">
      <c r="A952">
        <v>1950</v>
      </c>
      <c r="B952" s="1">
        <v>45451</v>
      </c>
      <c r="C952" t="s">
        <v>203</v>
      </c>
      <c r="D952" t="s">
        <v>32</v>
      </c>
      <c r="E952" t="s">
        <v>18</v>
      </c>
      <c r="F952" t="s">
        <v>27</v>
      </c>
      <c r="G952" t="s">
        <v>20</v>
      </c>
      <c r="H952" t="s">
        <v>21</v>
      </c>
      <c r="I952" t="s">
        <v>54</v>
      </c>
      <c r="J952">
        <v>10</v>
      </c>
      <c r="K952">
        <v>474.04</v>
      </c>
      <c r="L952">
        <v>285.33999999999997</v>
      </c>
      <c r="M952">
        <v>4598.1899999999996</v>
      </c>
      <c r="N952">
        <v>2853.4</v>
      </c>
      <c r="O952">
        <v>1744.79</v>
      </c>
      <c r="P952">
        <v>0.03</v>
      </c>
      <c r="Q952" t="s">
        <v>75</v>
      </c>
    </row>
    <row r="953" spans="1:17" x14ac:dyDescent="0.25">
      <c r="A953">
        <v>1951</v>
      </c>
      <c r="B953" s="1">
        <v>45501</v>
      </c>
      <c r="C953" t="s">
        <v>76</v>
      </c>
      <c r="D953" t="s">
        <v>32</v>
      </c>
      <c r="E953" t="s">
        <v>26</v>
      </c>
      <c r="F953" t="s">
        <v>27</v>
      </c>
      <c r="G953" t="s">
        <v>20</v>
      </c>
      <c r="H953" t="s">
        <v>28</v>
      </c>
      <c r="I953" t="s">
        <v>61</v>
      </c>
      <c r="J953">
        <v>6</v>
      </c>
      <c r="K953">
        <v>763.89</v>
      </c>
      <c r="L953">
        <v>573</v>
      </c>
      <c r="M953">
        <v>3941.67</v>
      </c>
      <c r="N953">
        <v>3438</v>
      </c>
      <c r="O953">
        <v>503.67</v>
      </c>
      <c r="P953">
        <v>0.14000000000000001</v>
      </c>
      <c r="Q953" t="s">
        <v>125</v>
      </c>
    </row>
    <row r="954" spans="1:17" x14ac:dyDescent="0.25">
      <c r="A954">
        <v>1952</v>
      </c>
      <c r="B954" s="1">
        <v>44952</v>
      </c>
      <c r="C954" t="s">
        <v>170</v>
      </c>
      <c r="D954" t="s">
        <v>25</v>
      </c>
      <c r="E954" t="s">
        <v>53</v>
      </c>
      <c r="F954" t="s">
        <v>40</v>
      </c>
      <c r="G954" t="s">
        <v>35</v>
      </c>
      <c r="H954" t="s">
        <v>70</v>
      </c>
      <c r="I954" t="s">
        <v>98</v>
      </c>
      <c r="J954">
        <v>5</v>
      </c>
      <c r="K954">
        <v>335.77</v>
      </c>
      <c r="L954">
        <v>263.04000000000002</v>
      </c>
      <c r="M954">
        <v>1191.98</v>
      </c>
      <c r="N954">
        <v>1315.2</v>
      </c>
      <c r="O954">
        <v>-123.22</v>
      </c>
      <c r="P954">
        <v>0.28999999999999998</v>
      </c>
      <c r="Q954" t="s">
        <v>44</v>
      </c>
    </row>
    <row r="955" spans="1:17" x14ac:dyDescent="0.25">
      <c r="A955">
        <v>1953</v>
      </c>
      <c r="B955" s="1">
        <v>45501</v>
      </c>
      <c r="C955" t="s">
        <v>115</v>
      </c>
      <c r="D955" t="s">
        <v>32</v>
      </c>
      <c r="E955" t="s">
        <v>26</v>
      </c>
      <c r="F955" t="s">
        <v>34</v>
      </c>
      <c r="G955" t="s">
        <v>20</v>
      </c>
      <c r="H955" t="s">
        <v>28</v>
      </c>
      <c r="I955" t="s">
        <v>61</v>
      </c>
      <c r="J955">
        <v>9</v>
      </c>
      <c r="K955">
        <v>724.42</v>
      </c>
      <c r="L955">
        <v>505.88</v>
      </c>
      <c r="M955">
        <v>6063.4</v>
      </c>
      <c r="N955">
        <v>4552.92</v>
      </c>
      <c r="O955">
        <v>1510.48</v>
      </c>
      <c r="P955">
        <v>7.0000000000000007E-2</v>
      </c>
      <c r="Q955" t="s">
        <v>55</v>
      </c>
    </row>
    <row r="956" spans="1:17" x14ac:dyDescent="0.25">
      <c r="A956">
        <v>1954</v>
      </c>
      <c r="B956" s="1">
        <v>45185</v>
      </c>
      <c r="C956" t="s">
        <v>299</v>
      </c>
      <c r="D956" t="s">
        <v>17</v>
      </c>
      <c r="E956" t="s">
        <v>18</v>
      </c>
      <c r="F956" t="s">
        <v>19</v>
      </c>
      <c r="G956" t="s">
        <v>20</v>
      </c>
      <c r="H956" t="s">
        <v>28</v>
      </c>
      <c r="I956" t="s">
        <v>61</v>
      </c>
      <c r="J956">
        <v>1</v>
      </c>
      <c r="K956">
        <v>271.8</v>
      </c>
      <c r="L956">
        <v>155.80000000000001</v>
      </c>
      <c r="M956">
        <v>225.59</v>
      </c>
      <c r="N956">
        <v>155.80000000000001</v>
      </c>
      <c r="O956">
        <v>69.790000000000006</v>
      </c>
      <c r="P956">
        <v>0.17</v>
      </c>
      <c r="Q956" t="s">
        <v>55</v>
      </c>
    </row>
    <row r="957" spans="1:17" x14ac:dyDescent="0.25">
      <c r="A957">
        <v>1955</v>
      </c>
      <c r="B957" s="1">
        <v>45485</v>
      </c>
      <c r="C957" t="s">
        <v>139</v>
      </c>
      <c r="D957" t="s">
        <v>17</v>
      </c>
      <c r="E957" t="s">
        <v>26</v>
      </c>
      <c r="F957" t="s">
        <v>40</v>
      </c>
      <c r="G957" t="s">
        <v>35</v>
      </c>
      <c r="H957" t="s">
        <v>70</v>
      </c>
      <c r="I957" t="s">
        <v>71</v>
      </c>
      <c r="J957">
        <v>9</v>
      </c>
      <c r="K957">
        <v>557.03</v>
      </c>
      <c r="L957">
        <v>422.72</v>
      </c>
      <c r="M957">
        <v>3910.35</v>
      </c>
      <c r="N957">
        <v>3804.48</v>
      </c>
      <c r="O957">
        <v>105.87</v>
      </c>
      <c r="P957">
        <v>0.22</v>
      </c>
      <c r="Q957" t="s">
        <v>44</v>
      </c>
    </row>
    <row r="958" spans="1:17" x14ac:dyDescent="0.25">
      <c r="A958">
        <v>1956</v>
      </c>
      <c r="B958" s="1">
        <v>45362</v>
      </c>
      <c r="C958" t="s">
        <v>60</v>
      </c>
      <c r="D958" t="s">
        <v>32</v>
      </c>
      <c r="E958" t="s">
        <v>26</v>
      </c>
      <c r="F958" t="s">
        <v>34</v>
      </c>
      <c r="G958" t="s">
        <v>20</v>
      </c>
      <c r="H958" t="s">
        <v>113</v>
      </c>
      <c r="I958" t="s">
        <v>161</v>
      </c>
      <c r="J958">
        <v>2</v>
      </c>
      <c r="K958">
        <v>170.37</v>
      </c>
      <c r="L958">
        <v>111.28</v>
      </c>
      <c r="M958">
        <v>241.93</v>
      </c>
      <c r="N958">
        <v>222.56</v>
      </c>
      <c r="O958">
        <v>19.37</v>
      </c>
      <c r="P958">
        <v>0.28999999999999998</v>
      </c>
      <c r="Q958" t="s">
        <v>51</v>
      </c>
    </row>
    <row r="959" spans="1:17" x14ac:dyDescent="0.25">
      <c r="A959">
        <v>1957</v>
      </c>
      <c r="B959" s="1">
        <v>45361</v>
      </c>
      <c r="C959" t="s">
        <v>246</v>
      </c>
      <c r="D959" t="s">
        <v>17</v>
      </c>
      <c r="E959" t="s">
        <v>53</v>
      </c>
      <c r="F959" t="s">
        <v>19</v>
      </c>
      <c r="G959" t="s">
        <v>41</v>
      </c>
      <c r="H959" t="s">
        <v>63</v>
      </c>
      <c r="I959" t="s">
        <v>117</v>
      </c>
      <c r="J959">
        <v>7</v>
      </c>
      <c r="K959">
        <v>14.21</v>
      </c>
      <c r="L959">
        <v>7.69</v>
      </c>
      <c r="M959">
        <v>69.63</v>
      </c>
      <c r="N959">
        <v>53.83</v>
      </c>
      <c r="O959">
        <v>15.8</v>
      </c>
      <c r="P959">
        <v>0.3</v>
      </c>
      <c r="Q959" t="s">
        <v>30</v>
      </c>
    </row>
    <row r="960" spans="1:17" x14ac:dyDescent="0.25">
      <c r="A960">
        <v>1958</v>
      </c>
      <c r="B960" s="1">
        <v>45462</v>
      </c>
      <c r="C960" t="s">
        <v>300</v>
      </c>
      <c r="D960" t="s">
        <v>32</v>
      </c>
      <c r="E960" t="s">
        <v>26</v>
      </c>
      <c r="F960" t="s">
        <v>19</v>
      </c>
      <c r="G960" t="s">
        <v>35</v>
      </c>
      <c r="H960" t="s">
        <v>70</v>
      </c>
      <c r="I960" t="s">
        <v>84</v>
      </c>
      <c r="J960">
        <v>4</v>
      </c>
      <c r="K960">
        <v>803.8</v>
      </c>
      <c r="L960">
        <v>669.72</v>
      </c>
      <c r="M960">
        <v>2861.53</v>
      </c>
      <c r="N960">
        <v>2678.88</v>
      </c>
      <c r="O960">
        <v>182.65</v>
      </c>
      <c r="P960">
        <v>0.11</v>
      </c>
      <c r="Q960" t="s">
        <v>125</v>
      </c>
    </row>
    <row r="961" spans="1:17" x14ac:dyDescent="0.25">
      <c r="A961">
        <v>1959</v>
      </c>
      <c r="B961" s="1">
        <v>45184</v>
      </c>
      <c r="C961" t="s">
        <v>188</v>
      </c>
      <c r="D961" t="s">
        <v>25</v>
      </c>
      <c r="E961" t="s">
        <v>18</v>
      </c>
      <c r="F961" t="s">
        <v>19</v>
      </c>
      <c r="G961" t="s">
        <v>20</v>
      </c>
      <c r="H961" t="s">
        <v>113</v>
      </c>
      <c r="I961" t="s">
        <v>161</v>
      </c>
      <c r="J961">
        <v>8</v>
      </c>
      <c r="K961">
        <v>14.77</v>
      </c>
      <c r="L961">
        <v>9.5399999999999991</v>
      </c>
      <c r="M961">
        <v>112.25</v>
      </c>
      <c r="N961">
        <v>76.319999999999993</v>
      </c>
      <c r="O961">
        <v>35.93</v>
      </c>
      <c r="P961">
        <v>0.05</v>
      </c>
      <c r="Q961" t="s">
        <v>44</v>
      </c>
    </row>
    <row r="962" spans="1:17" x14ac:dyDescent="0.25">
      <c r="A962">
        <v>1960</v>
      </c>
      <c r="B962" s="1">
        <v>44932</v>
      </c>
      <c r="C962" t="s">
        <v>240</v>
      </c>
      <c r="D962" t="s">
        <v>25</v>
      </c>
      <c r="E962" t="s">
        <v>26</v>
      </c>
      <c r="F962" t="s">
        <v>34</v>
      </c>
      <c r="G962" t="s">
        <v>41</v>
      </c>
      <c r="H962" t="s">
        <v>46</v>
      </c>
      <c r="I962" t="s">
        <v>57</v>
      </c>
      <c r="J962">
        <v>2</v>
      </c>
      <c r="K962">
        <v>65.8</v>
      </c>
      <c r="L962">
        <v>43.69</v>
      </c>
      <c r="M962">
        <v>125.02</v>
      </c>
      <c r="N962">
        <v>87.38</v>
      </c>
      <c r="O962">
        <v>37.64</v>
      </c>
      <c r="P962">
        <v>0.05</v>
      </c>
      <c r="Q962" t="s">
        <v>85</v>
      </c>
    </row>
    <row r="963" spans="1:17" x14ac:dyDescent="0.25">
      <c r="A963">
        <v>1961</v>
      </c>
      <c r="B963" s="1">
        <v>45578</v>
      </c>
      <c r="C963" t="s">
        <v>224</v>
      </c>
      <c r="D963" t="s">
        <v>25</v>
      </c>
      <c r="E963" t="s">
        <v>18</v>
      </c>
      <c r="F963" t="s">
        <v>34</v>
      </c>
      <c r="G963" t="s">
        <v>20</v>
      </c>
      <c r="H963" t="s">
        <v>28</v>
      </c>
      <c r="I963" t="s">
        <v>29</v>
      </c>
      <c r="J963">
        <v>7</v>
      </c>
      <c r="K963">
        <v>586.54999999999995</v>
      </c>
      <c r="L963">
        <v>356.04</v>
      </c>
      <c r="M963">
        <v>3325.74</v>
      </c>
      <c r="N963">
        <v>2492.2800000000002</v>
      </c>
      <c r="O963">
        <v>833.46</v>
      </c>
      <c r="P963">
        <v>0.19</v>
      </c>
      <c r="Q963" t="s">
        <v>75</v>
      </c>
    </row>
    <row r="964" spans="1:17" x14ac:dyDescent="0.25">
      <c r="A964">
        <v>1962</v>
      </c>
      <c r="B964" s="1">
        <v>45187</v>
      </c>
      <c r="C964" t="s">
        <v>218</v>
      </c>
      <c r="D964" t="s">
        <v>17</v>
      </c>
      <c r="E964" t="s">
        <v>26</v>
      </c>
      <c r="F964" t="s">
        <v>34</v>
      </c>
      <c r="G964" t="s">
        <v>41</v>
      </c>
      <c r="H964" t="s">
        <v>42</v>
      </c>
      <c r="I964" t="s">
        <v>77</v>
      </c>
      <c r="J964">
        <v>4</v>
      </c>
      <c r="K964">
        <v>283.58999999999997</v>
      </c>
      <c r="L964">
        <v>167.89</v>
      </c>
      <c r="M964">
        <v>1100.33</v>
      </c>
      <c r="N964">
        <v>671.56</v>
      </c>
      <c r="O964">
        <v>428.77</v>
      </c>
      <c r="P964">
        <v>0.03</v>
      </c>
      <c r="Q964" t="s">
        <v>38</v>
      </c>
    </row>
    <row r="965" spans="1:17" x14ac:dyDescent="0.25">
      <c r="A965">
        <v>1963</v>
      </c>
      <c r="B965" s="1">
        <v>45528</v>
      </c>
      <c r="C965" t="s">
        <v>172</v>
      </c>
      <c r="D965" t="s">
        <v>32</v>
      </c>
      <c r="E965" t="s">
        <v>18</v>
      </c>
      <c r="F965" t="s">
        <v>40</v>
      </c>
      <c r="G965" t="s">
        <v>41</v>
      </c>
      <c r="H965" t="s">
        <v>63</v>
      </c>
      <c r="I965" t="s">
        <v>64</v>
      </c>
      <c r="J965">
        <v>8</v>
      </c>
      <c r="K965">
        <v>213.26</v>
      </c>
      <c r="L965">
        <v>106.83</v>
      </c>
      <c r="M965">
        <v>1586.65</v>
      </c>
      <c r="N965">
        <v>854.64</v>
      </c>
      <c r="O965">
        <v>732.01</v>
      </c>
      <c r="P965">
        <v>7.0000000000000007E-2</v>
      </c>
      <c r="Q965" t="s">
        <v>23</v>
      </c>
    </row>
    <row r="966" spans="1:17" x14ac:dyDescent="0.25">
      <c r="A966">
        <v>1964</v>
      </c>
      <c r="B966" s="1">
        <v>45020</v>
      </c>
      <c r="C966" t="s">
        <v>245</v>
      </c>
      <c r="D966" t="s">
        <v>17</v>
      </c>
      <c r="E966" t="s">
        <v>26</v>
      </c>
      <c r="F966" t="s">
        <v>19</v>
      </c>
      <c r="G966" t="s">
        <v>20</v>
      </c>
      <c r="H966" t="s">
        <v>28</v>
      </c>
      <c r="I966" t="s">
        <v>90</v>
      </c>
      <c r="J966">
        <v>6</v>
      </c>
      <c r="K966">
        <v>82.4</v>
      </c>
      <c r="L966">
        <v>69.17</v>
      </c>
      <c r="M966">
        <v>474.62</v>
      </c>
      <c r="N966">
        <v>415.02</v>
      </c>
      <c r="O966">
        <v>59.6</v>
      </c>
      <c r="P966">
        <v>0.04</v>
      </c>
      <c r="Q966" t="s">
        <v>55</v>
      </c>
    </row>
    <row r="967" spans="1:17" x14ac:dyDescent="0.25">
      <c r="A967">
        <v>1965</v>
      </c>
      <c r="B967" s="1">
        <v>45362</v>
      </c>
      <c r="C967" t="s">
        <v>136</v>
      </c>
      <c r="D967" t="s">
        <v>32</v>
      </c>
      <c r="E967" t="s">
        <v>18</v>
      </c>
      <c r="F967" t="s">
        <v>34</v>
      </c>
      <c r="G967" t="s">
        <v>20</v>
      </c>
      <c r="H967" t="s">
        <v>113</v>
      </c>
      <c r="I967" t="s">
        <v>153</v>
      </c>
      <c r="J967">
        <v>7</v>
      </c>
      <c r="K967">
        <v>775.05</v>
      </c>
      <c r="L967">
        <v>579.11</v>
      </c>
      <c r="M967">
        <v>4828.5600000000004</v>
      </c>
      <c r="N967">
        <v>4053.77</v>
      </c>
      <c r="O967">
        <v>774.79</v>
      </c>
      <c r="P967">
        <v>0.11</v>
      </c>
      <c r="Q967" t="s">
        <v>38</v>
      </c>
    </row>
    <row r="968" spans="1:17" x14ac:dyDescent="0.25">
      <c r="A968">
        <v>1966</v>
      </c>
      <c r="B968" s="1">
        <v>45251</v>
      </c>
      <c r="C968" t="s">
        <v>253</v>
      </c>
      <c r="D968" t="s">
        <v>17</v>
      </c>
      <c r="E968" t="s">
        <v>26</v>
      </c>
      <c r="F968" t="s">
        <v>19</v>
      </c>
      <c r="G968" t="s">
        <v>41</v>
      </c>
      <c r="H968" t="s">
        <v>46</v>
      </c>
      <c r="I968" t="s">
        <v>102</v>
      </c>
      <c r="J968">
        <v>3</v>
      </c>
      <c r="K968">
        <v>840.68</v>
      </c>
      <c r="L968">
        <v>585.26</v>
      </c>
      <c r="M968">
        <v>2143.73</v>
      </c>
      <c r="N968">
        <v>1755.78</v>
      </c>
      <c r="O968">
        <v>387.95</v>
      </c>
      <c r="P968">
        <v>0.15</v>
      </c>
      <c r="Q968" t="s">
        <v>30</v>
      </c>
    </row>
    <row r="969" spans="1:17" x14ac:dyDescent="0.25">
      <c r="A969">
        <v>1967</v>
      </c>
      <c r="B969" s="1">
        <v>45628</v>
      </c>
      <c r="C969" t="s">
        <v>166</v>
      </c>
      <c r="D969" t="s">
        <v>32</v>
      </c>
      <c r="E969" t="s">
        <v>18</v>
      </c>
      <c r="F969" t="s">
        <v>19</v>
      </c>
      <c r="G969" t="s">
        <v>20</v>
      </c>
      <c r="H969" t="s">
        <v>28</v>
      </c>
      <c r="I969" t="s">
        <v>61</v>
      </c>
      <c r="J969">
        <v>6</v>
      </c>
      <c r="K969">
        <v>729.85</v>
      </c>
      <c r="L969">
        <v>419.53</v>
      </c>
      <c r="M969">
        <v>3634.65</v>
      </c>
      <c r="N969">
        <v>2517.1799999999998</v>
      </c>
      <c r="O969">
        <v>1117.47</v>
      </c>
      <c r="P969">
        <v>0.17</v>
      </c>
      <c r="Q969" t="s">
        <v>23</v>
      </c>
    </row>
    <row r="970" spans="1:17" x14ac:dyDescent="0.25">
      <c r="A970">
        <v>1968</v>
      </c>
      <c r="B970" s="1">
        <v>45318</v>
      </c>
      <c r="C970" t="s">
        <v>214</v>
      </c>
      <c r="D970" t="s">
        <v>17</v>
      </c>
      <c r="E970" t="s">
        <v>33</v>
      </c>
      <c r="F970" t="s">
        <v>19</v>
      </c>
      <c r="G970" t="s">
        <v>35</v>
      </c>
      <c r="H970" t="s">
        <v>49</v>
      </c>
      <c r="I970" t="s">
        <v>59</v>
      </c>
      <c r="J970">
        <v>4</v>
      </c>
      <c r="K970">
        <v>10.59</v>
      </c>
      <c r="L970">
        <v>6.45</v>
      </c>
      <c r="M970">
        <v>41.09</v>
      </c>
      <c r="N970">
        <v>25.8</v>
      </c>
      <c r="O970">
        <v>15.29</v>
      </c>
      <c r="P970">
        <v>0.03</v>
      </c>
      <c r="Q970" t="s">
        <v>85</v>
      </c>
    </row>
    <row r="971" spans="1:17" x14ac:dyDescent="0.25">
      <c r="A971">
        <v>1969</v>
      </c>
      <c r="B971" s="1">
        <v>45186</v>
      </c>
      <c r="C971" t="s">
        <v>224</v>
      </c>
      <c r="D971" t="s">
        <v>25</v>
      </c>
      <c r="E971" t="s">
        <v>18</v>
      </c>
      <c r="F971" t="s">
        <v>34</v>
      </c>
      <c r="G971" t="s">
        <v>41</v>
      </c>
      <c r="H971" t="s">
        <v>46</v>
      </c>
      <c r="I971" t="s">
        <v>102</v>
      </c>
      <c r="J971">
        <v>8</v>
      </c>
      <c r="K971">
        <v>401.3</v>
      </c>
      <c r="L971">
        <v>340.51</v>
      </c>
      <c r="M971">
        <v>2536.2199999999998</v>
      </c>
      <c r="N971">
        <v>2724.08</v>
      </c>
      <c r="O971">
        <v>-187.86</v>
      </c>
      <c r="P971">
        <v>0.21</v>
      </c>
      <c r="Q971" t="s">
        <v>30</v>
      </c>
    </row>
    <row r="972" spans="1:17" x14ac:dyDescent="0.25">
      <c r="A972">
        <v>1970</v>
      </c>
      <c r="B972" s="1">
        <v>45567</v>
      </c>
      <c r="C972" t="s">
        <v>127</v>
      </c>
      <c r="D972" t="s">
        <v>25</v>
      </c>
      <c r="E972" t="s">
        <v>53</v>
      </c>
      <c r="F972" t="s">
        <v>27</v>
      </c>
      <c r="G972" t="s">
        <v>35</v>
      </c>
      <c r="H972" t="s">
        <v>36</v>
      </c>
      <c r="I972" t="s">
        <v>37</v>
      </c>
      <c r="J972">
        <v>9</v>
      </c>
      <c r="K972">
        <v>808.39</v>
      </c>
      <c r="L972">
        <v>415</v>
      </c>
      <c r="M972">
        <v>7202.75</v>
      </c>
      <c r="N972">
        <v>3735</v>
      </c>
      <c r="O972">
        <v>3467.75</v>
      </c>
      <c r="P972">
        <v>0.01</v>
      </c>
      <c r="Q972" t="s">
        <v>92</v>
      </c>
    </row>
    <row r="973" spans="1:17" x14ac:dyDescent="0.25">
      <c r="A973">
        <v>1971</v>
      </c>
      <c r="B973" s="1">
        <v>45649</v>
      </c>
      <c r="C973" t="s">
        <v>137</v>
      </c>
      <c r="D973" t="s">
        <v>25</v>
      </c>
      <c r="E973" t="s">
        <v>33</v>
      </c>
      <c r="F973" t="s">
        <v>27</v>
      </c>
      <c r="G973" t="s">
        <v>20</v>
      </c>
      <c r="H973" t="s">
        <v>21</v>
      </c>
      <c r="I973" t="s">
        <v>79</v>
      </c>
      <c r="J973">
        <v>1</v>
      </c>
      <c r="K973">
        <v>317.67</v>
      </c>
      <c r="L973">
        <v>254.22</v>
      </c>
      <c r="M973">
        <v>292.26</v>
      </c>
      <c r="N973">
        <v>254.22</v>
      </c>
      <c r="O973">
        <v>38.04</v>
      </c>
      <c r="P973">
        <v>0.08</v>
      </c>
      <c r="Q973" t="s">
        <v>23</v>
      </c>
    </row>
    <row r="974" spans="1:17" x14ac:dyDescent="0.25">
      <c r="A974">
        <v>1972</v>
      </c>
      <c r="B974" s="1">
        <v>45597</v>
      </c>
      <c r="C974" t="s">
        <v>130</v>
      </c>
      <c r="D974" t="s">
        <v>25</v>
      </c>
      <c r="E974" t="s">
        <v>18</v>
      </c>
      <c r="F974" t="s">
        <v>40</v>
      </c>
      <c r="G974" t="s">
        <v>41</v>
      </c>
      <c r="H974" t="s">
        <v>42</v>
      </c>
      <c r="I974" t="s">
        <v>43</v>
      </c>
      <c r="J974">
        <v>6</v>
      </c>
      <c r="K974">
        <v>518.76</v>
      </c>
      <c r="L974">
        <v>430.15</v>
      </c>
      <c r="M974">
        <v>2739.05</v>
      </c>
      <c r="N974">
        <v>2580.9</v>
      </c>
      <c r="O974">
        <v>158.15</v>
      </c>
      <c r="P974">
        <v>0.12</v>
      </c>
      <c r="Q974" t="s">
        <v>51</v>
      </c>
    </row>
    <row r="975" spans="1:17" x14ac:dyDescent="0.25">
      <c r="A975">
        <v>1973</v>
      </c>
      <c r="B975" s="1">
        <v>44993</v>
      </c>
      <c r="C975" t="s">
        <v>110</v>
      </c>
      <c r="D975" t="s">
        <v>17</v>
      </c>
      <c r="E975" t="s">
        <v>26</v>
      </c>
      <c r="F975" t="s">
        <v>40</v>
      </c>
      <c r="G975" t="s">
        <v>20</v>
      </c>
      <c r="H975" t="s">
        <v>21</v>
      </c>
      <c r="I975" t="s">
        <v>79</v>
      </c>
      <c r="J975">
        <v>1</v>
      </c>
      <c r="K975">
        <v>279.14999999999998</v>
      </c>
      <c r="L975">
        <v>158.99</v>
      </c>
      <c r="M975">
        <v>237.28</v>
      </c>
      <c r="N975">
        <v>158.99</v>
      </c>
      <c r="O975">
        <v>78.290000000000006</v>
      </c>
      <c r="P975">
        <v>0.15</v>
      </c>
      <c r="Q975" t="s">
        <v>92</v>
      </c>
    </row>
    <row r="976" spans="1:17" x14ac:dyDescent="0.25">
      <c r="A976">
        <v>1974</v>
      </c>
      <c r="B976" s="1">
        <v>45577</v>
      </c>
      <c r="C976" t="s">
        <v>260</v>
      </c>
      <c r="D976" t="s">
        <v>25</v>
      </c>
      <c r="E976" t="s">
        <v>18</v>
      </c>
      <c r="F976" t="s">
        <v>40</v>
      </c>
      <c r="G976" t="s">
        <v>41</v>
      </c>
      <c r="H976" t="s">
        <v>46</v>
      </c>
      <c r="I976" t="s">
        <v>47</v>
      </c>
      <c r="J976">
        <v>6</v>
      </c>
      <c r="K976">
        <v>468.92</v>
      </c>
      <c r="L976">
        <v>371.68</v>
      </c>
      <c r="M976">
        <v>2729.11</v>
      </c>
      <c r="N976">
        <v>2230.08</v>
      </c>
      <c r="O976">
        <v>499.03</v>
      </c>
      <c r="P976">
        <v>0.03</v>
      </c>
      <c r="Q976" t="s">
        <v>55</v>
      </c>
    </row>
    <row r="977" spans="1:17" x14ac:dyDescent="0.25">
      <c r="A977">
        <v>1975</v>
      </c>
      <c r="B977" s="1">
        <v>45017</v>
      </c>
      <c r="C977" t="s">
        <v>148</v>
      </c>
      <c r="D977" t="s">
        <v>25</v>
      </c>
      <c r="E977" t="s">
        <v>26</v>
      </c>
      <c r="F977" t="s">
        <v>34</v>
      </c>
      <c r="G977" t="s">
        <v>20</v>
      </c>
      <c r="H977" t="s">
        <v>28</v>
      </c>
      <c r="I977" t="s">
        <v>90</v>
      </c>
      <c r="J977">
        <v>3</v>
      </c>
      <c r="K977">
        <v>789.79</v>
      </c>
      <c r="L977">
        <v>455.02</v>
      </c>
      <c r="M977">
        <v>2108.7399999999998</v>
      </c>
      <c r="N977">
        <v>1365.06</v>
      </c>
      <c r="O977">
        <v>743.68</v>
      </c>
      <c r="P977">
        <v>0.11</v>
      </c>
      <c r="Q977" t="s">
        <v>44</v>
      </c>
    </row>
    <row r="978" spans="1:17" x14ac:dyDescent="0.25">
      <c r="A978">
        <v>1976</v>
      </c>
      <c r="B978" s="1">
        <v>45179</v>
      </c>
      <c r="C978" t="s">
        <v>95</v>
      </c>
      <c r="D978" t="s">
        <v>17</v>
      </c>
      <c r="E978" t="s">
        <v>26</v>
      </c>
      <c r="F978" t="s">
        <v>19</v>
      </c>
      <c r="G978" t="s">
        <v>35</v>
      </c>
      <c r="H978" t="s">
        <v>36</v>
      </c>
      <c r="I978" t="s">
        <v>37</v>
      </c>
      <c r="J978">
        <v>5</v>
      </c>
      <c r="K978">
        <v>182.11</v>
      </c>
      <c r="L978">
        <v>100.01</v>
      </c>
      <c r="M978">
        <v>828.6</v>
      </c>
      <c r="N978">
        <v>500.05</v>
      </c>
      <c r="O978">
        <v>328.55</v>
      </c>
      <c r="P978">
        <v>0.09</v>
      </c>
      <c r="Q978" t="s">
        <v>23</v>
      </c>
    </row>
    <row r="979" spans="1:17" x14ac:dyDescent="0.25">
      <c r="A979">
        <v>1977</v>
      </c>
      <c r="B979" s="1">
        <v>45119</v>
      </c>
      <c r="C979" t="s">
        <v>144</v>
      </c>
      <c r="D979" t="s">
        <v>25</v>
      </c>
      <c r="E979" t="s">
        <v>26</v>
      </c>
      <c r="F979" t="s">
        <v>40</v>
      </c>
      <c r="G979" t="s">
        <v>35</v>
      </c>
      <c r="H979" t="s">
        <v>70</v>
      </c>
      <c r="I979" t="s">
        <v>71</v>
      </c>
      <c r="J979">
        <v>5</v>
      </c>
      <c r="K979">
        <v>96.95</v>
      </c>
      <c r="L979">
        <v>60.53</v>
      </c>
      <c r="M979">
        <v>431.43</v>
      </c>
      <c r="N979">
        <v>302.64999999999998</v>
      </c>
      <c r="O979">
        <v>128.78</v>
      </c>
      <c r="P979">
        <v>0.11</v>
      </c>
      <c r="Q979" t="s">
        <v>38</v>
      </c>
    </row>
    <row r="980" spans="1:17" x14ac:dyDescent="0.25">
      <c r="A980">
        <v>1978</v>
      </c>
      <c r="B980" s="1">
        <v>45387</v>
      </c>
      <c r="C980" t="s">
        <v>237</v>
      </c>
      <c r="D980" t="s">
        <v>17</v>
      </c>
      <c r="E980" t="s">
        <v>26</v>
      </c>
      <c r="F980" t="s">
        <v>34</v>
      </c>
      <c r="G980" t="s">
        <v>41</v>
      </c>
      <c r="H980" t="s">
        <v>46</v>
      </c>
      <c r="I980" t="s">
        <v>47</v>
      </c>
      <c r="J980">
        <v>9</v>
      </c>
      <c r="K980">
        <v>570.87</v>
      </c>
      <c r="L980">
        <v>483.99</v>
      </c>
      <c r="M980">
        <v>4469.91</v>
      </c>
      <c r="N980">
        <v>4355.91</v>
      </c>
      <c r="O980">
        <v>114</v>
      </c>
      <c r="P980">
        <v>0.13</v>
      </c>
      <c r="Q980" t="s">
        <v>30</v>
      </c>
    </row>
    <row r="981" spans="1:17" x14ac:dyDescent="0.25">
      <c r="A981">
        <v>1979</v>
      </c>
      <c r="B981" s="1">
        <v>45139</v>
      </c>
      <c r="C981" t="s">
        <v>123</v>
      </c>
      <c r="D981" t="s">
        <v>17</v>
      </c>
      <c r="E981" t="s">
        <v>18</v>
      </c>
      <c r="F981" t="s">
        <v>34</v>
      </c>
      <c r="G981" t="s">
        <v>41</v>
      </c>
      <c r="H981" t="s">
        <v>42</v>
      </c>
      <c r="I981" t="s">
        <v>68</v>
      </c>
      <c r="J981">
        <v>4</v>
      </c>
      <c r="K981">
        <v>470.35</v>
      </c>
      <c r="L981">
        <v>240.35</v>
      </c>
      <c r="M981">
        <v>1824.96</v>
      </c>
      <c r="N981">
        <v>961.4</v>
      </c>
      <c r="O981">
        <v>863.56</v>
      </c>
      <c r="P981">
        <v>0.03</v>
      </c>
      <c r="Q981" t="s">
        <v>92</v>
      </c>
    </row>
    <row r="982" spans="1:17" x14ac:dyDescent="0.25">
      <c r="A982">
        <v>1980</v>
      </c>
      <c r="B982" s="1">
        <v>45413</v>
      </c>
      <c r="C982" t="s">
        <v>217</v>
      </c>
      <c r="D982" t="s">
        <v>17</v>
      </c>
      <c r="E982" t="s">
        <v>18</v>
      </c>
      <c r="F982" t="s">
        <v>40</v>
      </c>
      <c r="G982" t="s">
        <v>41</v>
      </c>
      <c r="H982" t="s">
        <v>46</v>
      </c>
      <c r="I982" t="s">
        <v>102</v>
      </c>
      <c r="J982">
        <v>10</v>
      </c>
      <c r="K982">
        <v>901.77</v>
      </c>
      <c r="L982">
        <v>552.63</v>
      </c>
      <c r="M982">
        <v>8747.17</v>
      </c>
      <c r="N982">
        <v>5526.3</v>
      </c>
      <c r="O982">
        <v>3220.87</v>
      </c>
      <c r="P982">
        <v>0.03</v>
      </c>
      <c r="Q982" t="s">
        <v>85</v>
      </c>
    </row>
    <row r="983" spans="1:17" x14ac:dyDescent="0.25">
      <c r="A983">
        <v>1981</v>
      </c>
      <c r="B983" s="1">
        <v>44935</v>
      </c>
      <c r="C983" t="s">
        <v>206</v>
      </c>
      <c r="D983" t="s">
        <v>32</v>
      </c>
      <c r="E983" t="s">
        <v>18</v>
      </c>
      <c r="F983" t="s">
        <v>40</v>
      </c>
      <c r="G983" t="s">
        <v>41</v>
      </c>
      <c r="H983" t="s">
        <v>42</v>
      </c>
      <c r="I983" t="s">
        <v>77</v>
      </c>
      <c r="J983">
        <v>6</v>
      </c>
      <c r="K983">
        <v>309.74</v>
      </c>
      <c r="L983">
        <v>205.48</v>
      </c>
      <c r="M983">
        <v>1746.93</v>
      </c>
      <c r="N983">
        <v>1232.8800000000001</v>
      </c>
      <c r="O983">
        <v>514.04999999999995</v>
      </c>
      <c r="P983">
        <v>0.06</v>
      </c>
      <c r="Q983" t="s">
        <v>51</v>
      </c>
    </row>
    <row r="984" spans="1:17" x14ac:dyDescent="0.25">
      <c r="A984">
        <v>1982</v>
      </c>
      <c r="B984" s="1">
        <v>45376</v>
      </c>
      <c r="C984" t="s">
        <v>162</v>
      </c>
      <c r="D984" t="s">
        <v>32</v>
      </c>
      <c r="E984" t="s">
        <v>53</v>
      </c>
      <c r="F984" t="s">
        <v>27</v>
      </c>
      <c r="G984" t="s">
        <v>35</v>
      </c>
      <c r="H984" t="s">
        <v>36</v>
      </c>
      <c r="I984" t="s">
        <v>37</v>
      </c>
      <c r="J984">
        <v>6</v>
      </c>
      <c r="K984">
        <v>602.94000000000005</v>
      </c>
      <c r="L984">
        <v>403.3</v>
      </c>
      <c r="M984">
        <v>3183.52</v>
      </c>
      <c r="N984">
        <v>2419.8000000000002</v>
      </c>
      <c r="O984">
        <v>763.72</v>
      </c>
      <c r="P984">
        <v>0.12</v>
      </c>
      <c r="Q984" t="s">
        <v>51</v>
      </c>
    </row>
    <row r="985" spans="1:17" x14ac:dyDescent="0.25">
      <c r="A985">
        <v>1983</v>
      </c>
      <c r="B985" s="1">
        <v>45166</v>
      </c>
      <c r="C985" t="s">
        <v>169</v>
      </c>
      <c r="D985" t="s">
        <v>17</v>
      </c>
      <c r="E985" t="s">
        <v>33</v>
      </c>
      <c r="F985" t="s">
        <v>27</v>
      </c>
      <c r="G985" t="s">
        <v>35</v>
      </c>
      <c r="H985" t="s">
        <v>49</v>
      </c>
      <c r="I985" t="s">
        <v>59</v>
      </c>
      <c r="J985">
        <v>7</v>
      </c>
      <c r="K985">
        <v>595.11</v>
      </c>
      <c r="L985">
        <v>331.72</v>
      </c>
      <c r="M985">
        <v>3957.48</v>
      </c>
      <c r="N985">
        <v>2322.04</v>
      </c>
      <c r="O985">
        <v>1635.44</v>
      </c>
      <c r="P985">
        <v>0.05</v>
      </c>
      <c r="Q985" t="s">
        <v>30</v>
      </c>
    </row>
    <row r="986" spans="1:17" x14ac:dyDescent="0.25">
      <c r="A986">
        <v>1984</v>
      </c>
      <c r="B986" s="1">
        <v>45538</v>
      </c>
      <c r="C986" t="s">
        <v>226</v>
      </c>
      <c r="D986" t="s">
        <v>25</v>
      </c>
      <c r="E986" t="s">
        <v>26</v>
      </c>
      <c r="F986" t="s">
        <v>19</v>
      </c>
      <c r="G986" t="s">
        <v>41</v>
      </c>
      <c r="H986" t="s">
        <v>46</v>
      </c>
      <c r="I986" t="s">
        <v>47</v>
      </c>
      <c r="J986">
        <v>2</v>
      </c>
      <c r="K986">
        <v>312.73</v>
      </c>
      <c r="L986">
        <v>240.19</v>
      </c>
      <c r="M986">
        <v>475.35</v>
      </c>
      <c r="N986">
        <v>480.38</v>
      </c>
      <c r="O986">
        <v>-5.03</v>
      </c>
      <c r="P986">
        <v>0.24</v>
      </c>
      <c r="Q986" t="s">
        <v>55</v>
      </c>
    </row>
    <row r="987" spans="1:17" x14ac:dyDescent="0.25">
      <c r="A987">
        <v>1985</v>
      </c>
      <c r="B987" s="1">
        <v>45332</v>
      </c>
      <c r="C987" t="s">
        <v>217</v>
      </c>
      <c r="D987" t="s">
        <v>25</v>
      </c>
      <c r="E987" t="s">
        <v>26</v>
      </c>
      <c r="F987" t="s">
        <v>19</v>
      </c>
      <c r="G987" t="s">
        <v>20</v>
      </c>
      <c r="H987" t="s">
        <v>28</v>
      </c>
      <c r="I987" t="s">
        <v>29</v>
      </c>
      <c r="J987">
        <v>2</v>
      </c>
      <c r="K987">
        <v>188.67</v>
      </c>
      <c r="L987">
        <v>150.97999999999999</v>
      </c>
      <c r="M987">
        <v>328.29</v>
      </c>
      <c r="N987">
        <v>301.95999999999998</v>
      </c>
      <c r="O987">
        <v>26.33</v>
      </c>
      <c r="P987">
        <v>0.13</v>
      </c>
      <c r="Q987" t="s">
        <v>23</v>
      </c>
    </row>
    <row r="988" spans="1:17" x14ac:dyDescent="0.25">
      <c r="A988">
        <v>1986</v>
      </c>
      <c r="B988" s="1">
        <v>45084</v>
      </c>
      <c r="C988" t="s">
        <v>256</v>
      </c>
      <c r="D988" t="s">
        <v>32</v>
      </c>
      <c r="E988" t="s">
        <v>33</v>
      </c>
      <c r="F988" t="s">
        <v>27</v>
      </c>
      <c r="G988" t="s">
        <v>20</v>
      </c>
      <c r="H988" t="s">
        <v>28</v>
      </c>
      <c r="I988" t="s">
        <v>90</v>
      </c>
      <c r="J988">
        <v>8</v>
      </c>
      <c r="K988">
        <v>552.08000000000004</v>
      </c>
      <c r="L988">
        <v>352.18</v>
      </c>
      <c r="M988">
        <v>4151.6400000000003</v>
      </c>
      <c r="N988">
        <v>2817.44</v>
      </c>
      <c r="O988">
        <v>1334.2</v>
      </c>
      <c r="P988">
        <v>0.06</v>
      </c>
      <c r="Q988" t="s">
        <v>55</v>
      </c>
    </row>
    <row r="989" spans="1:17" x14ac:dyDescent="0.25">
      <c r="A989">
        <v>1987</v>
      </c>
      <c r="B989" s="1">
        <v>45611</v>
      </c>
      <c r="C989" t="s">
        <v>147</v>
      </c>
      <c r="D989" t="s">
        <v>32</v>
      </c>
      <c r="E989" t="s">
        <v>26</v>
      </c>
      <c r="F989" t="s">
        <v>34</v>
      </c>
      <c r="G989" t="s">
        <v>35</v>
      </c>
      <c r="H989" t="s">
        <v>36</v>
      </c>
      <c r="I989" t="s">
        <v>37</v>
      </c>
      <c r="J989">
        <v>3</v>
      </c>
      <c r="K989">
        <v>402.88</v>
      </c>
      <c r="L989">
        <v>247.57</v>
      </c>
      <c r="M989">
        <v>1111.95</v>
      </c>
      <c r="N989">
        <v>742.71</v>
      </c>
      <c r="O989">
        <v>369.24</v>
      </c>
      <c r="P989">
        <v>0.08</v>
      </c>
      <c r="Q989" t="s">
        <v>75</v>
      </c>
    </row>
    <row r="990" spans="1:17" x14ac:dyDescent="0.25">
      <c r="A990">
        <v>1988</v>
      </c>
      <c r="B990" s="1">
        <v>45538</v>
      </c>
      <c r="C990" t="s">
        <v>187</v>
      </c>
      <c r="D990" t="s">
        <v>25</v>
      </c>
      <c r="E990" t="s">
        <v>18</v>
      </c>
      <c r="F990" t="s">
        <v>27</v>
      </c>
      <c r="G990" t="s">
        <v>41</v>
      </c>
      <c r="H990" t="s">
        <v>63</v>
      </c>
      <c r="I990" t="s">
        <v>64</v>
      </c>
      <c r="J990">
        <v>1</v>
      </c>
      <c r="K990">
        <v>225.59</v>
      </c>
      <c r="L990">
        <v>160.84</v>
      </c>
      <c r="M990">
        <v>173.7</v>
      </c>
      <c r="N990">
        <v>160.84</v>
      </c>
      <c r="O990">
        <v>12.86</v>
      </c>
      <c r="P990">
        <v>0.23</v>
      </c>
      <c r="Q990" t="s">
        <v>85</v>
      </c>
    </row>
    <row r="991" spans="1:17" x14ac:dyDescent="0.25">
      <c r="A991">
        <v>1989</v>
      </c>
      <c r="B991" s="1">
        <v>45297</v>
      </c>
      <c r="C991" t="s">
        <v>154</v>
      </c>
      <c r="D991" t="s">
        <v>25</v>
      </c>
      <c r="E991" t="s">
        <v>53</v>
      </c>
      <c r="F991" t="s">
        <v>34</v>
      </c>
      <c r="G991" t="s">
        <v>41</v>
      </c>
      <c r="H991" t="s">
        <v>42</v>
      </c>
      <c r="I991" t="s">
        <v>77</v>
      </c>
      <c r="J991">
        <v>8</v>
      </c>
      <c r="K991">
        <v>192.03</v>
      </c>
      <c r="L991">
        <v>110.21</v>
      </c>
      <c r="M991">
        <v>1336.53</v>
      </c>
      <c r="N991">
        <v>881.68</v>
      </c>
      <c r="O991">
        <v>454.85</v>
      </c>
      <c r="P991">
        <v>0.13</v>
      </c>
      <c r="Q991" t="s">
        <v>85</v>
      </c>
    </row>
    <row r="992" spans="1:17" x14ac:dyDescent="0.25">
      <c r="A992">
        <v>1990</v>
      </c>
      <c r="B992" s="1">
        <v>45320</v>
      </c>
      <c r="C992" t="s">
        <v>48</v>
      </c>
      <c r="D992" t="s">
        <v>32</v>
      </c>
      <c r="E992" t="s">
        <v>26</v>
      </c>
      <c r="F992" t="s">
        <v>40</v>
      </c>
      <c r="G992" t="s">
        <v>35</v>
      </c>
      <c r="H992" t="s">
        <v>49</v>
      </c>
      <c r="I992" t="s">
        <v>59</v>
      </c>
      <c r="J992">
        <v>8</v>
      </c>
      <c r="K992">
        <v>39.65</v>
      </c>
      <c r="L992">
        <v>33.130000000000003</v>
      </c>
      <c r="M992">
        <v>275.95999999999998</v>
      </c>
      <c r="N992">
        <v>265.04000000000002</v>
      </c>
      <c r="O992">
        <v>10.92</v>
      </c>
      <c r="P992">
        <v>0.13</v>
      </c>
      <c r="Q992" t="s">
        <v>92</v>
      </c>
    </row>
    <row r="993" spans="1:17" x14ac:dyDescent="0.25">
      <c r="A993">
        <v>1991</v>
      </c>
      <c r="B993" s="1">
        <v>45334</v>
      </c>
      <c r="C993" t="s">
        <v>256</v>
      </c>
      <c r="D993" t="s">
        <v>25</v>
      </c>
      <c r="E993" t="s">
        <v>53</v>
      </c>
      <c r="F993" t="s">
        <v>34</v>
      </c>
      <c r="G993" t="s">
        <v>35</v>
      </c>
      <c r="H993" t="s">
        <v>70</v>
      </c>
      <c r="I993" t="s">
        <v>84</v>
      </c>
      <c r="J993">
        <v>2</v>
      </c>
      <c r="K993">
        <v>657.59</v>
      </c>
      <c r="L993">
        <v>421.89</v>
      </c>
      <c r="M993">
        <v>999.54</v>
      </c>
      <c r="N993">
        <v>843.78</v>
      </c>
      <c r="O993">
        <v>155.76</v>
      </c>
      <c r="P993">
        <v>0.24</v>
      </c>
      <c r="Q993" t="s">
        <v>92</v>
      </c>
    </row>
    <row r="994" spans="1:17" x14ac:dyDescent="0.25">
      <c r="A994">
        <v>1992</v>
      </c>
      <c r="B994" s="1">
        <v>45253</v>
      </c>
      <c r="C994" t="s">
        <v>234</v>
      </c>
      <c r="D994" t="s">
        <v>17</v>
      </c>
      <c r="E994" t="s">
        <v>53</v>
      </c>
      <c r="F994" t="s">
        <v>27</v>
      </c>
      <c r="G994" t="s">
        <v>20</v>
      </c>
      <c r="H994" t="s">
        <v>28</v>
      </c>
      <c r="I994" t="s">
        <v>61</v>
      </c>
      <c r="J994">
        <v>7</v>
      </c>
      <c r="K994">
        <v>772.5</v>
      </c>
      <c r="L994">
        <v>468.16</v>
      </c>
      <c r="M994">
        <v>4974.8999999999996</v>
      </c>
      <c r="N994">
        <v>3277.12</v>
      </c>
      <c r="O994">
        <v>1697.78</v>
      </c>
      <c r="P994">
        <v>0.08</v>
      </c>
      <c r="Q994" t="s">
        <v>44</v>
      </c>
    </row>
    <row r="995" spans="1:17" x14ac:dyDescent="0.25">
      <c r="A995">
        <v>1993</v>
      </c>
      <c r="B995" s="1">
        <v>45545</v>
      </c>
      <c r="C995" t="s">
        <v>167</v>
      </c>
      <c r="D995" t="s">
        <v>32</v>
      </c>
      <c r="E995" t="s">
        <v>18</v>
      </c>
      <c r="F995" t="s">
        <v>27</v>
      </c>
      <c r="G995" t="s">
        <v>41</v>
      </c>
      <c r="H995" t="s">
        <v>46</v>
      </c>
      <c r="I995" t="s">
        <v>102</v>
      </c>
      <c r="J995">
        <v>6</v>
      </c>
      <c r="K995">
        <v>116.11</v>
      </c>
      <c r="L995">
        <v>65.319999999999993</v>
      </c>
      <c r="M995">
        <v>606.09</v>
      </c>
      <c r="N995">
        <v>391.92</v>
      </c>
      <c r="O995">
        <v>214.17</v>
      </c>
      <c r="P995">
        <v>0.13</v>
      </c>
      <c r="Q995" t="s">
        <v>75</v>
      </c>
    </row>
    <row r="996" spans="1:17" x14ac:dyDescent="0.25">
      <c r="A996">
        <v>1994</v>
      </c>
      <c r="B996" s="1">
        <v>45617</v>
      </c>
      <c r="C996" t="s">
        <v>109</v>
      </c>
      <c r="D996" t="s">
        <v>25</v>
      </c>
      <c r="E996" t="s">
        <v>18</v>
      </c>
      <c r="F996" t="s">
        <v>40</v>
      </c>
      <c r="G996" t="s">
        <v>20</v>
      </c>
      <c r="H996" t="s">
        <v>113</v>
      </c>
      <c r="I996" t="s">
        <v>161</v>
      </c>
      <c r="J996">
        <v>8</v>
      </c>
      <c r="K996">
        <v>437.71</v>
      </c>
      <c r="L996">
        <v>290.06</v>
      </c>
      <c r="M996">
        <v>3466.66</v>
      </c>
      <c r="N996">
        <v>2320.48</v>
      </c>
      <c r="O996">
        <v>1146.18</v>
      </c>
      <c r="P996">
        <v>0.01</v>
      </c>
      <c r="Q996" t="s">
        <v>55</v>
      </c>
    </row>
    <row r="997" spans="1:17" x14ac:dyDescent="0.25">
      <c r="A997">
        <v>1995</v>
      </c>
      <c r="B997" s="1">
        <v>45398</v>
      </c>
      <c r="C997" t="s">
        <v>252</v>
      </c>
      <c r="D997" t="s">
        <v>17</v>
      </c>
      <c r="E997" t="s">
        <v>18</v>
      </c>
      <c r="F997" t="s">
        <v>40</v>
      </c>
      <c r="G997" t="s">
        <v>35</v>
      </c>
      <c r="H997" t="s">
        <v>49</v>
      </c>
      <c r="I997" t="s">
        <v>59</v>
      </c>
      <c r="J997">
        <v>5</v>
      </c>
      <c r="K997">
        <v>768</v>
      </c>
      <c r="L997">
        <v>390.32</v>
      </c>
      <c r="M997">
        <v>3532.8</v>
      </c>
      <c r="N997">
        <v>1951.6</v>
      </c>
      <c r="O997">
        <v>1581.2</v>
      </c>
      <c r="P997">
        <v>0.08</v>
      </c>
      <c r="Q997" t="s">
        <v>30</v>
      </c>
    </row>
    <row r="998" spans="1:17" x14ac:dyDescent="0.25">
      <c r="A998">
        <v>1996</v>
      </c>
      <c r="B998" s="1">
        <v>45292</v>
      </c>
      <c r="C998" t="s">
        <v>280</v>
      </c>
      <c r="D998" t="s">
        <v>32</v>
      </c>
      <c r="E998" t="s">
        <v>18</v>
      </c>
      <c r="F998" t="s">
        <v>40</v>
      </c>
      <c r="G998" t="s">
        <v>41</v>
      </c>
      <c r="H998" t="s">
        <v>42</v>
      </c>
      <c r="I998" t="s">
        <v>43</v>
      </c>
      <c r="J998">
        <v>2</v>
      </c>
      <c r="K998">
        <v>360.46</v>
      </c>
      <c r="L998">
        <v>184.85</v>
      </c>
      <c r="M998">
        <v>562.32000000000005</v>
      </c>
      <c r="N998">
        <v>369.7</v>
      </c>
      <c r="O998">
        <v>192.62</v>
      </c>
      <c r="P998">
        <v>0.22</v>
      </c>
      <c r="Q998" t="s">
        <v>23</v>
      </c>
    </row>
    <row r="999" spans="1:17" x14ac:dyDescent="0.25">
      <c r="A999">
        <v>1997</v>
      </c>
      <c r="B999" s="1">
        <v>45106</v>
      </c>
      <c r="C999" t="s">
        <v>166</v>
      </c>
      <c r="D999" t="s">
        <v>25</v>
      </c>
      <c r="E999" t="s">
        <v>26</v>
      </c>
      <c r="F999" t="s">
        <v>19</v>
      </c>
      <c r="G999" t="s">
        <v>41</v>
      </c>
      <c r="H999" t="s">
        <v>46</v>
      </c>
      <c r="I999" t="s">
        <v>57</v>
      </c>
      <c r="J999">
        <v>5</v>
      </c>
      <c r="K999">
        <v>348.66</v>
      </c>
      <c r="L999">
        <v>230.22</v>
      </c>
      <c r="M999">
        <v>1412.07</v>
      </c>
      <c r="N999">
        <v>1151.0999999999999</v>
      </c>
      <c r="O999">
        <v>260.97000000000003</v>
      </c>
      <c r="P999">
        <v>0.19</v>
      </c>
      <c r="Q999" t="s">
        <v>38</v>
      </c>
    </row>
    <row r="1000" spans="1:17" x14ac:dyDescent="0.25">
      <c r="A1000">
        <v>1998</v>
      </c>
      <c r="B1000" s="1">
        <v>45509</v>
      </c>
      <c r="C1000" t="s">
        <v>232</v>
      </c>
      <c r="D1000" t="s">
        <v>25</v>
      </c>
      <c r="E1000" t="s">
        <v>18</v>
      </c>
      <c r="F1000" t="s">
        <v>40</v>
      </c>
      <c r="G1000" t="s">
        <v>20</v>
      </c>
      <c r="H1000" t="s">
        <v>21</v>
      </c>
      <c r="I1000" t="s">
        <v>22</v>
      </c>
      <c r="J1000">
        <v>7</v>
      </c>
      <c r="K1000">
        <v>515.07000000000005</v>
      </c>
      <c r="L1000">
        <v>388.31</v>
      </c>
      <c r="M1000">
        <v>3244.94</v>
      </c>
      <c r="N1000">
        <v>2718.17</v>
      </c>
      <c r="O1000">
        <v>526.77</v>
      </c>
      <c r="P1000">
        <v>0.1</v>
      </c>
      <c r="Q1000" t="s">
        <v>30</v>
      </c>
    </row>
    <row r="1001" spans="1:17" x14ac:dyDescent="0.25">
      <c r="A1001">
        <v>1999</v>
      </c>
      <c r="B1001" s="1">
        <v>45359</v>
      </c>
      <c r="C1001" t="s">
        <v>280</v>
      </c>
      <c r="D1001" t="s">
        <v>25</v>
      </c>
      <c r="E1001" t="s">
        <v>18</v>
      </c>
      <c r="F1001" t="s">
        <v>34</v>
      </c>
      <c r="G1001" t="s">
        <v>35</v>
      </c>
      <c r="H1001" t="s">
        <v>36</v>
      </c>
      <c r="I1001" t="s">
        <v>87</v>
      </c>
      <c r="J1001">
        <v>10</v>
      </c>
      <c r="K1001">
        <v>264.67</v>
      </c>
      <c r="L1001">
        <v>160.41999999999999</v>
      </c>
      <c r="M1001">
        <v>2249.6999999999998</v>
      </c>
      <c r="N1001">
        <v>1604.2</v>
      </c>
      <c r="O1001">
        <v>645.5</v>
      </c>
      <c r="P1001">
        <v>0.15</v>
      </c>
      <c r="Q100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CB6E-4ABA-4587-9E67-E7D7FCEEB6B0}">
  <dimension ref="A1:W1001"/>
  <sheetViews>
    <sheetView topLeftCell="R1" zoomScale="94" workbookViewId="0">
      <selection activeCell="T9" sqref="T9"/>
    </sheetView>
  </sheetViews>
  <sheetFormatPr defaultRowHeight="15" x14ac:dyDescent="0.25"/>
  <cols>
    <col min="1" max="1" width="15.85546875" style="33" customWidth="1"/>
    <col min="2" max="2" width="13.42578125" customWidth="1"/>
    <col min="3" max="3" width="18.140625" customWidth="1"/>
    <col min="4" max="4" width="18.42578125" bestFit="1" customWidth="1"/>
    <col min="5" max="5" width="12.140625" bestFit="1" customWidth="1"/>
    <col min="6" max="6" width="11.7109375" bestFit="1" customWidth="1"/>
    <col min="7" max="7" width="14.5703125" bestFit="1" customWidth="1"/>
    <col min="8" max="8" width="15.5703125" customWidth="1"/>
    <col min="9" max="9" width="13.42578125" bestFit="1" customWidth="1"/>
    <col min="10" max="10" width="11.85546875" customWidth="1"/>
    <col min="11" max="12" width="12.140625" customWidth="1"/>
    <col min="13" max="13" width="11.5703125" customWidth="1"/>
    <col min="14" max="14" width="12.5703125" customWidth="1"/>
    <col min="15" max="15" width="8.7109375" customWidth="1"/>
    <col min="16" max="17" width="11.7109375" customWidth="1"/>
    <col min="18" max="18" width="16.140625" customWidth="1"/>
    <col min="19" max="19" width="14.85546875" customWidth="1"/>
    <col min="20" max="20" width="17.85546875" customWidth="1"/>
    <col min="21" max="21" width="17.140625" bestFit="1" customWidth="1"/>
    <col min="22" max="22" width="23.28515625" bestFit="1" customWidth="1"/>
  </cols>
  <sheetData>
    <row r="1" spans="1:23" ht="15.75" x14ac:dyDescent="0.25">
      <c r="A1" s="5" t="s">
        <v>0</v>
      </c>
      <c r="B1" s="5" t="s">
        <v>1</v>
      </c>
      <c r="C1" s="5" t="s">
        <v>2</v>
      </c>
      <c r="D1" s="5" t="s">
        <v>3</v>
      </c>
      <c r="E1" s="5" t="s">
        <v>4</v>
      </c>
      <c r="F1" s="5" t="s">
        <v>5</v>
      </c>
      <c r="G1" s="5" t="s">
        <v>6</v>
      </c>
      <c r="H1" s="5" t="s">
        <v>7</v>
      </c>
      <c r="I1" s="5" t="s">
        <v>8</v>
      </c>
      <c r="J1" s="5" t="s">
        <v>9</v>
      </c>
      <c r="K1" s="5" t="s">
        <v>10</v>
      </c>
      <c r="L1" s="5" t="s">
        <v>11</v>
      </c>
      <c r="M1" s="5" t="s">
        <v>12</v>
      </c>
      <c r="N1" s="5" t="s">
        <v>301</v>
      </c>
      <c r="O1" s="5" t="s">
        <v>13</v>
      </c>
      <c r="P1" s="5" t="s">
        <v>14</v>
      </c>
      <c r="Q1" s="5" t="s">
        <v>15</v>
      </c>
      <c r="R1" s="5" t="s">
        <v>302</v>
      </c>
    </row>
    <row r="2" spans="1:23" x14ac:dyDescent="0.25">
      <c r="A2">
        <v>1011</v>
      </c>
      <c r="B2" s="1">
        <v>44927</v>
      </c>
      <c r="C2" t="s">
        <v>65</v>
      </c>
      <c r="D2" t="s">
        <v>32</v>
      </c>
      <c r="E2" t="s">
        <v>33</v>
      </c>
      <c r="F2" t="s">
        <v>34</v>
      </c>
      <c r="G2" t="s">
        <v>35</v>
      </c>
      <c r="H2" t="s">
        <v>49</v>
      </c>
      <c r="I2" t="s">
        <v>66</v>
      </c>
      <c r="J2">
        <v>1</v>
      </c>
      <c r="K2" s="3">
        <v>244.67</v>
      </c>
      <c r="L2" s="2">
        <v>170.92</v>
      </c>
      <c r="M2" s="2">
        <f>Table1[[#This Row],[UnitPrice]]*Table1[[#This Row],[Quantity]]</f>
        <v>244.67</v>
      </c>
      <c r="N2" s="2">
        <f>Table1[[#This Row],[CostPrice]]*Table1[[#This Row],[Quantity]]</f>
        <v>170.92</v>
      </c>
      <c r="O2" s="2">
        <v>68.86</v>
      </c>
      <c r="P2" s="4">
        <v>0.02</v>
      </c>
      <c r="Q2" t="s">
        <v>55</v>
      </c>
      <c r="R2" s="4">
        <f t="shared" ref="R2:R65" si="0">O2/M2</f>
        <v>0.28144030735276088</v>
      </c>
    </row>
    <row r="3" spans="1:23" x14ac:dyDescent="0.25">
      <c r="A3">
        <v>1718</v>
      </c>
      <c r="B3" s="1">
        <v>44958</v>
      </c>
      <c r="C3" t="s">
        <v>251</v>
      </c>
      <c r="D3" t="s">
        <v>17</v>
      </c>
      <c r="E3" t="s">
        <v>53</v>
      </c>
      <c r="F3" t="s">
        <v>27</v>
      </c>
      <c r="G3" t="s">
        <v>41</v>
      </c>
      <c r="H3" t="s">
        <v>46</v>
      </c>
      <c r="I3" t="s">
        <v>102</v>
      </c>
      <c r="J3">
        <v>7</v>
      </c>
      <c r="K3" s="3">
        <v>174.78</v>
      </c>
      <c r="L3" s="2">
        <v>110.31</v>
      </c>
      <c r="M3" s="2">
        <f>Table1[[#This Row],[UnitPrice]]*Table1[[#This Row],[Quantity]]</f>
        <v>1223.46</v>
      </c>
      <c r="N3" s="2">
        <f>Table1[[#This Row],[CostPrice]]*Table1[[#This Row],[Quantity]]</f>
        <v>772.17000000000007</v>
      </c>
      <c r="O3" s="2">
        <v>194.36</v>
      </c>
      <c r="P3" s="4">
        <v>0.21</v>
      </c>
      <c r="Q3" t="s">
        <v>23</v>
      </c>
      <c r="R3" s="4">
        <f t="shared" si="0"/>
        <v>0.15886093537998791</v>
      </c>
      <c r="S3" s="34"/>
    </row>
    <row r="4" spans="1:23" x14ac:dyDescent="0.25">
      <c r="A4">
        <v>1790</v>
      </c>
      <c r="B4" s="1">
        <v>44958</v>
      </c>
      <c r="C4" t="s">
        <v>199</v>
      </c>
      <c r="D4" t="s">
        <v>25</v>
      </c>
      <c r="E4" t="s">
        <v>26</v>
      </c>
      <c r="F4" t="s">
        <v>27</v>
      </c>
      <c r="G4" t="s">
        <v>35</v>
      </c>
      <c r="H4" t="s">
        <v>36</v>
      </c>
      <c r="I4" t="s">
        <v>37</v>
      </c>
      <c r="J4">
        <v>5</v>
      </c>
      <c r="K4" s="3">
        <v>229.75</v>
      </c>
      <c r="L4" s="2">
        <v>185.56</v>
      </c>
      <c r="M4" s="2">
        <f>Table1[[#This Row],[UnitPrice]]*Table1[[#This Row],[Quantity]]</f>
        <v>1148.75</v>
      </c>
      <c r="N4" s="2">
        <f>Table1[[#This Row],[CostPrice]]*Table1[[#This Row],[Quantity]]</f>
        <v>927.8</v>
      </c>
      <c r="O4" s="2">
        <v>83.1</v>
      </c>
      <c r="P4" s="4">
        <v>0.12</v>
      </c>
      <c r="Q4" t="s">
        <v>44</v>
      </c>
      <c r="R4" s="4">
        <f t="shared" si="0"/>
        <v>7.2339499455930351E-2</v>
      </c>
    </row>
    <row r="5" spans="1:23" x14ac:dyDescent="0.25">
      <c r="A5">
        <v>1634</v>
      </c>
      <c r="B5" s="1">
        <v>44986</v>
      </c>
      <c r="C5" t="s">
        <v>166</v>
      </c>
      <c r="D5" t="s">
        <v>32</v>
      </c>
      <c r="E5" t="s">
        <v>33</v>
      </c>
      <c r="F5" t="s">
        <v>34</v>
      </c>
      <c r="G5" t="s">
        <v>35</v>
      </c>
      <c r="H5" t="s">
        <v>49</v>
      </c>
      <c r="I5" t="s">
        <v>59</v>
      </c>
      <c r="J5">
        <v>5</v>
      </c>
      <c r="K5" s="3">
        <v>567.94000000000005</v>
      </c>
      <c r="L5" s="2">
        <v>462.93</v>
      </c>
      <c r="M5" s="2">
        <f>Table1[[#This Row],[UnitPrice]]*Table1[[#This Row],[Quantity]]</f>
        <v>2839.7000000000003</v>
      </c>
      <c r="N5" s="2">
        <f>Table1[[#This Row],[CostPrice]]*Table1[[#This Row],[Quantity]]</f>
        <v>2314.65</v>
      </c>
      <c r="O5" s="2">
        <v>-128.08000000000001</v>
      </c>
      <c r="P5" s="4">
        <v>0.23</v>
      </c>
      <c r="Q5" t="s">
        <v>55</v>
      </c>
      <c r="R5" s="4">
        <f t="shared" si="0"/>
        <v>-4.5103355988308627E-2</v>
      </c>
    </row>
    <row r="6" spans="1:23" x14ac:dyDescent="0.25">
      <c r="A6">
        <v>1442</v>
      </c>
      <c r="B6" s="1">
        <v>45017</v>
      </c>
      <c r="C6" t="s">
        <v>271</v>
      </c>
      <c r="D6" t="s">
        <v>32</v>
      </c>
      <c r="E6" t="s">
        <v>33</v>
      </c>
      <c r="F6" t="s">
        <v>27</v>
      </c>
      <c r="G6" t="s">
        <v>35</v>
      </c>
      <c r="H6" t="s">
        <v>49</v>
      </c>
      <c r="I6" t="s">
        <v>59</v>
      </c>
      <c r="J6">
        <v>1</v>
      </c>
      <c r="K6" s="3">
        <v>609.94000000000005</v>
      </c>
      <c r="L6" s="2">
        <v>410.31</v>
      </c>
      <c r="M6" s="2">
        <f>Table1[[#This Row],[UnitPrice]]*Table1[[#This Row],[Quantity]]</f>
        <v>609.94000000000005</v>
      </c>
      <c r="N6" s="2">
        <f>Table1[[#This Row],[CostPrice]]*Table1[[#This Row],[Quantity]]</f>
        <v>410.31</v>
      </c>
      <c r="O6" s="2">
        <v>156.93</v>
      </c>
      <c r="P6" s="4">
        <v>7.0000000000000007E-2</v>
      </c>
      <c r="Q6" t="s">
        <v>55</v>
      </c>
      <c r="R6" s="4">
        <f t="shared" si="0"/>
        <v>0.25728760205921891</v>
      </c>
    </row>
    <row r="7" spans="1:23" x14ac:dyDescent="0.25">
      <c r="A7">
        <v>1779</v>
      </c>
      <c r="B7" s="1">
        <v>45017</v>
      </c>
      <c r="C7" t="s">
        <v>234</v>
      </c>
      <c r="D7" t="s">
        <v>25</v>
      </c>
      <c r="E7" t="s">
        <v>33</v>
      </c>
      <c r="F7" t="s">
        <v>27</v>
      </c>
      <c r="G7" t="s">
        <v>41</v>
      </c>
      <c r="H7" t="s">
        <v>63</v>
      </c>
      <c r="I7" t="s">
        <v>64</v>
      </c>
      <c r="J7">
        <v>9</v>
      </c>
      <c r="K7" s="3">
        <v>262.54000000000002</v>
      </c>
      <c r="L7" s="2">
        <v>209.6</v>
      </c>
      <c r="M7" s="2">
        <f>Table1[[#This Row],[UnitPrice]]*Table1[[#This Row],[Quantity]]</f>
        <v>2362.86</v>
      </c>
      <c r="N7" s="2">
        <f>Table1[[#This Row],[CostPrice]]*Table1[[#This Row],[Quantity]]</f>
        <v>1886.3999999999999</v>
      </c>
      <c r="O7" s="2">
        <v>263.8</v>
      </c>
      <c r="P7" s="4">
        <v>0.09</v>
      </c>
      <c r="Q7" t="s">
        <v>30</v>
      </c>
      <c r="R7" s="4">
        <f t="shared" si="0"/>
        <v>0.11164436318698526</v>
      </c>
      <c r="T7" s="22" t="s">
        <v>344</v>
      </c>
      <c r="V7" s="34"/>
      <c r="W7" s="34"/>
    </row>
    <row r="8" spans="1:23" x14ac:dyDescent="0.25">
      <c r="A8">
        <v>1297</v>
      </c>
      <c r="B8" s="1">
        <v>45047</v>
      </c>
      <c r="C8" t="s">
        <v>195</v>
      </c>
      <c r="D8" t="s">
        <v>25</v>
      </c>
      <c r="E8" t="s">
        <v>26</v>
      </c>
      <c r="F8" t="s">
        <v>19</v>
      </c>
      <c r="G8" t="s">
        <v>35</v>
      </c>
      <c r="H8" t="s">
        <v>36</v>
      </c>
      <c r="I8" t="s">
        <v>87</v>
      </c>
      <c r="J8">
        <v>10</v>
      </c>
      <c r="K8" s="3">
        <v>436.54</v>
      </c>
      <c r="L8" s="2">
        <v>283.88</v>
      </c>
      <c r="M8" s="2">
        <f>Table1[[#This Row],[UnitPrice]]*Table1[[#This Row],[Quantity]]</f>
        <v>4365.4000000000005</v>
      </c>
      <c r="N8" s="2">
        <f>Table1[[#This Row],[CostPrice]]*Table1[[#This Row],[Quantity]]</f>
        <v>2838.8</v>
      </c>
      <c r="O8" s="2">
        <v>959.1</v>
      </c>
      <c r="P8" s="4">
        <v>0.13</v>
      </c>
      <c r="Q8" t="s">
        <v>55</v>
      </c>
      <c r="R8" s="4">
        <f t="shared" si="0"/>
        <v>0.21970495258166489</v>
      </c>
      <c r="T8" s="22"/>
      <c r="U8" s="34"/>
      <c r="V8" s="34"/>
      <c r="W8" s="34"/>
    </row>
    <row r="9" spans="1:23" x14ac:dyDescent="0.25">
      <c r="A9">
        <v>1547</v>
      </c>
      <c r="B9" s="1">
        <v>45047</v>
      </c>
      <c r="C9" t="s">
        <v>60</v>
      </c>
      <c r="D9" t="s">
        <v>25</v>
      </c>
      <c r="E9" t="s">
        <v>53</v>
      </c>
      <c r="F9" t="s">
        <v>40</v>
      </c>
      <c r="G9" t="s">
        <v>41</v>
      </c>
      <c r="H9" t="s">
        <v>63</v>
      </c>
      <c r="I9" t="s">
        <v>141</v>
      </c>
      <c r="J9">
        <v>8</v>
      </c>
      <c r="K9" s="3">
        <v>675.16</v>
      </c>
      <c r="L9" s="2">
        <v>362.94</v>
      </c>
      <c r="M9" s="2">
        <f>Table1[[#This Row],[UnitPrice]]*Table1[[#This Row],[Quantity]]</f>
        <v>5401.28</v>
      </c>
      <c r="N9" s="2">
        <f>Table1[[#This Row],[CostPrice]]*Table1[[#This Row],[Quantity]]</f>
        <v>2903.52</v>
      </c>
      <c r="O9" s="2">
        <v>1147.44</v>
      </c>
      <c r="P9" s="4">
        <v>0.25</v>
      </c>
      <c r="Q9" t="s">
        <v>75</v>
      </c>
      <c r="R9" s="4">
        <f t="shared" si="0"/>
        <v>0.21243853308845312</v>
      </c>
      <c r="T9" s="22" t="s">
        <v>331</v>
      </c>
      <c r="U9" s="34"/>
      <c r="V9" s="34"/>
      <c r="W9" s="34"/>
    </row>
    <row r="10" spans="1:23" x14ac:dyDescent="0.25">
      <c r="A10">
        <v>1712</v>
      </c>
      <c r="B10" s="1">
        <v>45047</v>
      </c>
      <c r="C10" t="s">
        <v>191</v>
      </c>
      <c r="D10" t="s">
        <v>17</v>
      </c>
      <c r="E10" t="s">
        <v>18</v>
      </c>
      <c r="F10" t="s">
        <v>27</v>
      </c>
      <c r="G10" t="s">
        <v>35</v>
      </c>
      <c r="H10" t="s">
        <v>49</v>
      </c>
      <c r="I10" t="s">
        <v>50</v>
      </c>
      <c r="J10">
        <v>6</v>
      </c>
      <c r="K10" s="3">
        <v>387.12</v>
      </c>
      <c r="L10" s="2">
        <v>235.27</v>
      </c>
      <c r="M10" s="2">
        <f>Table1[[#This Row],[UnitPrice]]*Table1[[#This Row],[Quantity]]</f>
        <v>2322.7200000000003</v>
      </c>
      <c r="N10" s="2">
        <f>Table1[[#This Row],[CostPrice]]*Table1[[#This Row],[Quantity]]</f>
        <v>1411.6200000000001</v>
      </c>
      <c r="O10" s="2">
        <v>214.28</v>
      </c>
      <c r="P10" s="4">
        <v>0.3</v>
      </c>
      <c r="Q10" t="s">
        <v>44</v>
      </c>
      <c r="R10" s="4">
        <f t="shared" si="0"/>
        <v>9.2253909209891835E-2</v>
      </c>
      <c r="U10" s="34"/>
      <c r="V10" s="34"/>
      <c r="W10" s="34"/>
    </row>
    <row r="11" spans="1:23" x14ac:dyDescent="0.25">
      <c r="A11">
        <v>1848</v>
      </c>
      <c r="B11" s="1">
        <v>45047</v>
      </c>
      <c r="C11" t="s">
        <v>158</v>
      </c>
      <c r="D11" t="s">
        <v>32</v>
      </c>
      <c r="E11" t="s">
        <v>26</v>
      </c>
      <c r="F11" t="s">
        <v>27</v>
      </c>
      <c r="G11" t="s">
        <v>20</v>
      </c>
      <c r="H11" t="s">
        <v>113</v>
      </c>
      <c r="I11" t="s">
        <v>161</v>
      </c>
      <c r="J11">
        <v>1</v>
      </c>
      <c r="K11" s="3">
        <v>340.7</v>
      </c>
      <c r="L11" s="2">
        <v>172.29</v>
      </c>
      <c r="M11" s="2">
        <f>Table1[[#This Row],[UnitPrice]]*Table1[[#This Row],[Quantity]]</f>
        <v>340.7</v>
      </c>
      <c r="N11" s="2">
        <f>Table1[[#This Row],[CostPrice]]*Table1[[#This Row],[Quantity]]</f>
        <v>172.29</v>
      </c>
      <c r="O11" s="2">
        <v>120.71</v>
      </c>
      <c r="P11" s="4">
        <v>0.14000000000000001</v>
      </c>
      <c r="Q11" t="s">
        <v>75</v>
      </c>
      <c r="R11" s="4">
        <f t="shared" si="0"/>
        <v>0.35429997064866453</v>
      </c>
      <c r="U11" s="34"/>
      <c r="V11" s="34"/>
      <c r="W11" s="34"/>
    </row>
    <row r="12" spans="1:23" x14ac:dyDescent="0.25">
      <c r="A12">
        <v>1960</v>
      </c>
      <c r="B12" s="1">
        <v>45078</v>
      </c>
      <c r="C12" t="s">
        <v>240</v>
      </c>
      <c r="D12" t="s">
        <v>25</v>
      </c>
      <c r="E12" t="s">
        <v>26</v>
      </c>
      <c r="F12" t="s">
        <v>34</v>
      </c>
      <c r="G12" t="s">
        <v>41</v>
      </c>
      <c r="H12" t="s">
        <v>46</v>
      </c>
      <c r="I12" t="s">
        <v>57</v>
      </c>
      <c r="J12">
        <v>2</v>
      </c>
      <c r="K12" s="3">
        <v>65.8</v>
      </c>
      <c r="L12" s="2">
        <v>43.69</v>
      </c>
      <c r="M12" s="2">
        <f>Table1[[#This Row],[UnitPrice]]*Table1[[#This Row],[Quantity]]</f>
        <v>131.6</v>
      </c>
      <c r="N12" s="2">
        <f>Table1[[#This Row],[CostPrice]]*Table1[[#This Row],[Quantity]]</f>
        <v>87.38</v>
      </c>
      <c r="O12" s="2">
        <v>37.64</v>
      </c>
      <c r="P12" s="4">
        <v>0.05</v>
      </c>
      <c r="Q12" t="s">
        <v>85</v>
      </c>
      <c r="R12" s="4">
        <f t="shared" si="0"/>
        <v>0.28601823708206686</v>
      </c>
      <c r="U12" s="34"/>
      <c r="V12" s="34"/>
      <c r="W12" s="34"/>
    </row>
    <row r="13" spans="1:23" x14ac:dyDescent="0.25">
      <c r="A13">
        <v>1204</v>
      </c>
      <c r="B13" s="1">
        <v>45108</v>
      </c>
      <c r="C13" t="s">
        <v>213</v>
      </c>
      <c r="D13" t="s">
        <v>17</v>
      </c>
      <c r="E13" t="s">
        <v>53</v>
      </c>
      <c r="F13" t="s">
        <v>40</v>
      </c>
      <c r="G13" t="s">
        <v>35</v>
      </c>
      <c r="H13" t="s">
        <v>49</v>
      </c>
      <c r="I13" t="s">
        <v>50</v>
      </c>
      <c r="J13">
        <v>10</v>
      </c>
      <c r="K13" s="3">
        <v>140.44</v>
      </c>
      <c r="L13" s="2">
        <v>85.98</v>
      </c>
      <c r="M13" s="2">
        <f>Table1[[#This Row],[UnitPrice]]*Table1[[#This Row],[Quantity]]</f>
        <v>1404.4</v>
      </c>
      <c r="N13" s="2">
        <f>Table1[[#This Row],[CostPrice]]*Table1[[#This Row],[Quantity]]</f>
        <v>859.80000000000007</v>
      </c>
      <c r="O13" s="2">
        <v>151.37</v>
      </c>
      <c r="P13" s="4">
        <v>0.28000000000000003</v>
      </c>
      <c r="Q13" t="s">
        <v>23</v>
      </c>
      <c r="R13" s="4">
        <f t="shared" si="0"/>
        <v>0.10778268299629734</v>
      </c>
      <c r="U13" s="34"/>
      <c r="V13" s="34"/>
      <c r="W13" s="34"/>
    </row>
    <row r="14" spans="1:23" x14ac:dyDescent="0.25">
      <c r="A14">
        <v>1619</v>
      </c>
      <c r="B14" s="1">
        <v>45108</v>
      </c>
      <c r="C14" t="s">
        <v>110</v>
      </c>
      <c r="D14" t="s">
        <v>32</v>
      </c>
      <c r="E14" t="s">
        <v>18</v>
      </c>
      <c r="F14" t="s">
        <v>40</v>
      </c>
      <c r="G14" t="s">
        <v>41</v>
      </c>
      <c r="H14" t="s">
        <v>42</v>
      </c>
      <c r="I14" t="s">
        <v>77</v>
      </c>
      <c r="J14">
        <v>5</v>
      </c>
      <c r="K14" s="3">
        <v>375.57</v>
      </c>
      <c r="L14" s="2">
        <v>287.01</v>
      </c>
      <c r="M14" s="2">
        <f>Table1[[#This Row],[UnitPrice]]*Table1[[#This Row],[Quantity]]</f>
        <v>1877.85</v>
      </c>
      <c r="N14" s="2">
        <f>Table1[[#This Row],[CostPrice]]*Table1[[#This Row],[Quantity]]</f>
        <v>1435.05</v>
      </c>
      <c r="O14" s="2">
        <v>236.24</v>
      </c>
      <c r="P14" s="4">
        <v>0.11</v>
      </c>
      <c r="Q14" t="s">
        <v>23</v>
      </c>
      <c r="R14" s="4">
        <f t="shared" si="0"/>
        <v>0.12580344542961366</v>
      </c>
    </row>
    <row r="15" spans="1:23" x14ac:dyDescent="0.25">
      <c r="A15">
        <v>1689</v>
      </c>
      <c r="B15" s="1">
        <v>45139</v>
      </c>
      <c r="C15" t="s">
        <v>217</v>
      </c>
      <c r="D15" t="s">
        <v>25</v>
      </c>
      <c r="E15" t="s">
        <v>53</v>
      </c>
      <c r="F15" t="s">
        <v>19</v>
      </c>
      <c r="G15" t="s">
        <v>41</v>
      </c>
      <c r="H15" t="s">
        <v>46</v>
      </c>
      <c r="I15" t="s">
        <v>102</v>
      </c>
      <c r="J15">
        <v>8</v>
      </c>
      <c r="K15" s="3">
        <v>462.9</v>
      </c>
      <c r="L15" s="2">
        <v>324.79000000000002</v>
      </c>
      <c r="M15" s="2">
        <f>Table1[[#This Row],[UnitPrice]]*Table1[[#This Row],[Quantity]]</f>
        <v>3703.2</v>
      </c>
      <c r="N15" s="2">
        <f>Table1[[#This Row],[CostPrice]]*Table1[[#This Row],[Quantity]]</f>
        <v>2598.3200000000002</v>
      </c>
      <c r="O15" s="2">
        <v>290.18</v>
      </c>
      <c r="P15" s="4">
        <v>0.22</v>
      </c>
      <c r="Q15" t="s">
        <v>30</v>
      </c>
      <c r="R15" s="4">
        <f t="shared" si="0"/>
        <v>7.8359256858932816E-2</v>
      </c>
    </row>
    <row r="16" spans="1:23" x14ac:dyDescent="0.25">
      <c r="A16">
        <v>1024</v>
      </c>
      <c r="B16" s="1">
        <v>45170</v>
      </c>
      <c r="C16" t="s">
        <v>89</v>
      </c>
      <c r="D16" t="s">
        <v>17</v>
      </c>
      <c r="E16" t="s">
        <v>18</v>
      </c>
      <c r="F16" t="s">
        <v>34</v>
      </c>
      <c r="G16" t="s">
        <v>20</v>
      </c>
      <c r="H16" t="s">
        <v>28</v>
      </c>
      <c r="I16" t="s">
        <v>90</v>
      </c>
      <c r="J16">
        <v>2</v>
      </c>
      <c r="K16" s="3">
        <v>743.7</v>
      </c>
      <c r="L16" s="2">
        <v>412.31</v>
      </c>
      <c r="M16" s="2">
        <f>Table1[[#This Row],[UnitPrice]]*Table1[[#This Row],[Quantity]]</f>
        <v>1487.4</v>
      </c>
      <c r="N16" s="2">
        <f>Table1[[#This Row],[CostPrice]]*Table1[[#This Row],[Quantity]]</f>
        <v>824.62</v>
      </c>
      <c r="O16" s="2">
        <v>543.79</v>
      </c>
      <c r="P16" s="4">
        <v>0.08</v>
      </c>
      <c r="Q16" t="s">
        <v>23</v>
      </c>
      <c r="R16" s="4">
        <f t="shared" si="0"/>
        <v>0.36559768723947822</v>
      </c>
    </row>
    <row r="17" spans="1:18" x14ac:dyDescent="0.25">
      <c r="A17">
        <v>1246</v>
      </c>
      <c r="B17" s="1">
        <v>45170</v>
      </c>
      <c r="C17" t="s">
        <v>180</v>
      </c>
      <c r="D17" t="s">
        <v>32</v>
      </c>
      <c r="E17" t="s">
        <v>18</v>
      </c>
      <c r="F17" t="s">
        <v>19</v>
      </c>
      <c r="G17" t="s">
        <v>35</v>
      </c>
      <c r="H17" t="s">
        <v>49</v>
      </c>
      <c r="I17" t="s">
        <v>59</v>
      </c>
      <c r="J17">
        <v>8</v>
      </c>
      <c r="K17" s="3">
        <v>997.8</v>
      </c>
      <c r="L17" s="2">
        <v>769.86</v>
      </c>
      <c r="M17" s="2">
        <f>Table1[[#This Row],[UnitPrice]]*Table1[[#This Row],[Quantity]]</f>
        <v>7982.4</v>
      </c>
      <c r="N17" s="2">
        <f>Table1[[#This Row],[CostPrice]]*Table1[[#This Row],[Quantity]]</f>
        <v>6158.88</v>
      </c>
      <c r="O17" s="2">
        <v>67.39</v>
      </c>
      <c r="P17" s="4">
        <v>0.22</v>
      </c>
      <c r="Q17" t="s">
        <v>38</v>
      </c>
      <c r="R17" s="4">
        <f t="shared" si="0"/>
        <v>8.4423231108438565E-3</v>
      </c>
    </row>
    <row r="18" spans="1:18" x14ac:dyDescent="0.25">
      <c r="A18">
        <v>1623</v>
      </c>
      <c r="B18" s="1">
        <v>45170</v>
      </c>
      <c r="C18" t="s">
        <v>257</v>
      </c>
      <c r="D18" t="s">
        <v>17</v>
      </c>
      <c r="E18" t="s">
        <v>26</v>
      </c>
      <c r="F18" t="s">
        <v>27</v>
      </c>
      <c r="G18" t="s">
        <v>35</v>
      </c>
      <c r="H18" t="s">
        <v>70</v>
      </c>
      <c r="I18" t="s">
        <v>98</v>
      </c>
      <c r="J18">
        <v>9</v>
      </c>
      <c r="K18" s="3">
        <v>626.24</v>
      </c>
      <c r="L18" s="2">
        <v>448.62</v>
      </c>
      <c r="M18" s="2">
        <f>Table1[[#This Row],[UnitPrice]]*Table1[[#This Row],[Quantity]]</f>
        <v>5636.16</v>
      </c>
      <c r="N18" s="2">
        <f>Table1[[#This Row],[CostPrice]]*Table1[[#This Row],[Quantity]]</f>
        <v>4037.58</v>
      </c>
      <c r="O18" s="2">
        <v>865.88</v>
      </c>
      <c r="P18" s="4">
        <v>0.13</v>
      </c>
      <c r="Q18" t="s">
        <v>85</v>
      </c>
      <c r="R18" s="4">
        <f t="shared" si="0"/>
        <v>0.15362942145006531</v>
      </c>
    </row>
    <row r="19" spans="1:18" x14ac:dyDescent="0.25">
      <c r="A19">
        <v>1981</v>
      </c>
      <c r="B19" s="1">
        <v>45170</v>
      </c>
      <c r="C19" t="s">
        <v>206</v>
      </c>
      <c r="D19" t="s">
        <v>32</v>
      </c>
      <c r="E19" t="s">
        <v>18</v>
      </c>
      <c r="F19" t="s">
        <v>40</v>
      </c>
      <c r="G19" t="s">
        <v>41</v>
      </c>
      <c r="H19" t="s">
        <v>42</v>
      </c>
      <c r="I19" t="s">
        <v>77</v>
      </c>
      <c r="J19">
        <v>6</v>
      </c>
      <c r="K19" s="3">
        <v>309.74</v>
      </c>
      <c r="L19" s="2">
        <v>205.48</v>
      </c>
      <c r="M19" s="2">
        <f>Table1[[#This Row],[UnitPrice]]*Table1[[#This Row],[Quantity]]</f>
        <v>1858.44</v>
      </c>
      <c r="N19" s="2">
        <f>Table1[[#This Row],[CostPrice]]*Table1[[#This Row],[Quantity]]</f>
        <v>1232.8799999999999</v>
      </c>
      <c r="O19" s="2">
        <v>514.04999999999995</v>
      </c>
      <c r="P19" s="4">
        <v>0.06</v>
      </c>
      <c r="Q19" t="s">
        <v>51</v>
      </c>
      <c r="R19" s="4">
        <f t="shared" si="0"/>
        <v>0.27660295731904172</v>
      </c>
    </row>
    <row r="20" spans="1:18" x14ac:dyDescent="0.25">
      <c r="A20">
        <v>1165</v>
      </c>
      <c r="B20" s="1">
        <v>45200</v>
      </c>
      <c r="C20" t="s">
        <v>198</v>
      </c>
      <c r="D20" t="s">
        <v>17</v>
      </c>
      <c r="E20" t="s">
        <v>33</v>
      </c>
      <c r="F20" t="s">
        <v>40</v>
      </c>
      <c r="G20" t="s">
        <v>35</v>
      </c>
      <c r="H20" t="s">
        <v>49</v>
      </c>
      <c r="I20" t="s">
        <v>59</v>
      </c>
      <c r="J20">
        <v>9</v>
      </c>
      <c r="K20" s="3">
        <v>526.70000000000005</v>
      </c>
      <c r="L20" s="2">
        <v>427.28</v>
      </c>
      <c r="M20" s="2">
        <f>Table1[[#This Row],[UnitPrice]]*Table1[[#This Row],[Quantity]]</f>
        <v>4740.3</v>
      </c>
      <c r="N20" s="2">
        <f>Table1[[#This Row],[CostPrice]]*Table1[[#This Row],[Quantity]]</f>
        <v>3845.5199999999995</v>
      </c>
      <c r="O20" s="2">
        <v>705.17</v>
      </c>
      <c r="P20" s="4">
        <v>0.04</v>
      </c>
      <c r="Q20" t="s">
        <v>38</v>
      </c>
      <c r="R20" s="4">
        <f t="shared" si="0"/>
        <v>0.1487606269645381</v>
      </c>
    </row>
    <row r="21" spans="1:18" x14ac:dyDescent="0.25">
      <c r="A21">
        <v>1372</v>
      </c>
      <c r="B21" s="1">
        <v>45200</v>
      </c>
      <c r="C21" t="s">
        <v>260</v>
      </c>
      <c r="D21" t="s">
        <v>32</v>
      </c>
      <c r="E21" t="s">
        <v>26</v>
      </c>
      <c r="F21" t="s">
        <v>40</v>
      </c>
      <c r="G21" t="s">
        <v>20</v>
      </c>
      <c r="H21" t="s">
        <v>28</v>
      </c>
      <c r="I21" t="s">
        <v>29</v>
      </c>
      <c r="J21">
        <v>2</v>
      </c>
      <c r="K21" s="3">
        <v>556.78</v>
      </c>
      <c r="L21" s="2">
        <v>313.17</v>
      </c>
      <c r="M21" s="2">
        <f>Table1[[#This Row],[UnitPrice]]*Table1[[#This Row],[Quantity]]</f>
        <v>1113.56</v>
      </c>
      <c r="N21" s="2">
        <f>Table1[[#This Row],[CostPrice]]*Table1[[#This Row],[Quantity]]</f>
        <v>626.34</v>
      </c>
      <c r="O21" s="2">
        <v>387</v>
      </c>
      <c r="P21" s="4">
        <v>0.09</v>
      </c>
      <c r="Q21" t="s">
        <v>23</v>
      </c>
      <c r="R21" s="4">
        <f t="shared" si="0"/>
        <v>0.3475340349868889</v>
      </c>
    </row>
    <row r="22" spans="1:18" x14ac:dyDescent="0.25">
      <c r="A22">
        <v>1053</v>
      </c>
      <c r="B22" s="1">
        <v>45231</v>
      </c>
      <c r="C22" t="s">
        <v>121</v>
      </c>
      <c r="D22" t="s">
        <v>25</v>
      </c>
      <c r="E22" t="s">
        <v>26</v>
      </c>
      <c r="F22" t="s">
        <v>27</v>
      </c>
      <c r="G22" t="s">
        <v>35</v>
      </c>
      <c r="H22" t="s">
        <v>70</v>
      </c>
      <c r="I22" t="s">
        <v>98</v>
      </c>
      <c r="J22">
        <v>8</v>
      </c>
      <c r="K22" s="3">
        <v>647.66999999999996</v>
      </c>
      <c r="L22" s="2">
        <v>435.1</v>
      </c>
      <c r="M22" s="2">
        <f>Table1[[#This Row],[UnitPrice]]*Table1[[#This Row],[Quantity]]</f>
        <v>5181.3599999999997</v>
      </c>
      <c r="N22" s="2">
        <f>Table1[[#This Row],[CostPrice]]*Table1[[#This Row],[Quantity]]</f>
        <v>3480.8</v>
      </c>
      <c r="O22" s="2">
        <v>457.03</v>
      </c>
      <c r="P22" s="4">
        <v>0.24</v>
      </c>
      <c r="Q22" t="s">
        <v>44</v>
      </c>
      <c r="R22" s="4">
        <f t="shared" si="0"/>
        <v>8.82065712477033E-2</v>
      </c>
    </row>
    <row r="23" spans="1:18" x14ac:dyDescent="0.25">
      <c r="A23">
        <v>1390</v>
      </c>
      <c r="B23" s="1">
        <v>45231</v>
      </c>
      <c r="C23" t="s">
        <v>262</v>
      </c>
      <c r="D23" t="s">
        <v>25</v>
      </c>
      <c r="E23" t="s">
        <v>18</v>
      </c>
      <c r="F23" t="s">
        <v>40</v>
      </c>
      <c r="G23" t="s">
        <v>35</v>
      </c>
      <c r="H23" t="s">
        <v>70</v>
      </c>
      <c r="I23" t="s">
        <v>98</v>
      </c>
      <c r="J23">
        <v>8</v>
      </c>
      <c r="K23" s="3">
        <v>947.22</v>
      </c>
      <c r="L23" s="2">
        <v>631.77</v>
      </c>
      <c r="M23" s="2">
        <f>Table1[[#This Row],[UnitPrice]]*Table1[[#This Row],[Quantity]]</f>
        <v>7577.76</v>
      </c>
      <c r="N23" s="2">
        <f>Table1[[#This Row],[CostPrice]]*Table1[[#This Row],[Quantity]]</f>
        <v>5054.16</v>
      </c>
      <c r="O23" s="2">
        <v>2523.6</v>
      </c>
      <c r="P23" s="4">
        <v>0</v>
      </c>
      <c r="Q23" t="s">
        <v>75</v>
      </c>
      <c r="R23" s="4">
        <f t="shared" si="0"/>
        <v>0.33302717425730027</v>
      </c>
    </row>
    <row r="24" spans="1:18" x14ac:dyDescent="0.25">
      <c r="A24">
        <v>1661</v>
      </c>
      <c r="B24" s="1">
        <v>45231</v>
      </c>
      <c r="C24" t="s">
        <v>119</v>
      </c>
      <c r="D24" t="s">
        <v>32</v>
      </c>
      <c r="E24" t="s">
        <v>53</v>
      </c>
      <c r="F24" t="s">
        <v>34</v>
      </c>
      <c r="G24" t="s">
        <v>35</v>
      </c>
      <c r="H24" t="s">
        <v>70</v>
      </c>
      <c r="I24" t="s">
        <v>84</v>
      </c>
      <c r="J24">
        <v>1</v>
      </c>
      <c r="K24" s="3">
        <v>456.81</v>
      </c>
      <c r="L24" s="2">
        <v>280.88</v>
      </c>
      <c r="M24" s="2">
        <f>Table1[[#This Row],[UnitPrice]]*Table1[[#This Row],[Quantity]]</f>
        <v>456.81</v>
      </c>
      <c r="N24" s="2">
        <f>Table1[[#This Row],[CostPrice]]*Table1[[#This Row],[Quantity]]</f>
        <v>280.88</v>
      </c>
      <c r="O24" s="2">
        <v>148.52000000000001</v>
      </c>
      <c r="P24" s="4">
        <v>0.06</v>
      </c>
      <c r="Q24" t="s">
        <v>44</v>
      </c>
      <c r="R24" s="4">
        <f t="shared" si="0"/>
        <v>0.32512423108075572</v>
      </c>
    </row>
    <row r="25" spans="1:18" x14ac:dyDescent="0.25">
      <c r="A25">
        <v>1668</v>
      </c>
      <c r="B25" s="1">
        <v>45231</v>
      </c>
      <c r="C25" t="s">
        <v>210</v>
      </c>
      <c r="D25" t="s">
        <v>25</v>
      </c>
      <c r="E25" t="s">
        <v>33</v>
      </c>
      <c r="F25" t="s">
        <v>19</v>
      </c>
      <c r="G25" t="s">
        <v>35</v>
      </c>
      <c r="H25" t="s">
        <v>49</v>
      </c>
      <c r="I25" t="s">
        <v>66</v>
      </c>
      <c r="J25">
        <v>10</v>
      </c>
      <c r="K25" s="3">
        <v>913.15</v>
      </c>
      <c r="L25" s="2">
        <v>571.6</v>
      </c>
      <c r="M25" s="2">
        <f>Table1[[#This Row],[UnitPrice]]*Table1[[#This Row],[Quantity]]</f>
        <v>9131.5</v>
      </c>
      <c r="N25" s="2">
        <f>Table1[[#This Row],[CostPrice]]*Table1[[#This Row],[Quantity]]</f>
        <v>5716</v>
      </c>
      <c r="O25" s="2">
        <v>767.36</v>
      </c>
      <c r="P25" s="4">
        <v>0.28999999999999998</v>
      </c>
      <c r="Q25" t="s">
        <v>23</v>
      </c>
      <c r="R25" s="4">
        <f t="shared" si="0"/>
        <v>8.4034386464436298E-2</v>
      </c>
    </row>
    <row r="26" spans="1:18" x14ac:dyDescent="0.25">
      <c r="A26">
        <v>1694</v>
      </c>
      <c r="B26" s="1">
        <v>45231</v>
      </c>
      <c r="C26" t="s">
        <v>116</v>
      </c>
      <c r="D26" t="s">
        <v>17</v>
      </c>
      <c r="E26" t="s">
        <v>26</v>
      </c>
      <c r="F26" t="s">
        <v>40</v>
      </c>
      <c r="G26" t="s">
        <v>41</v>
      </c>
      <c r="H26" t="s">
        <v>63</v>
      </c>
      <c r="I26" t="s">
        <v>117</v>
      </c>
      <c r="J26">
        <v>8</v>
      </c>
      <c r="K26" s="3">
        <v>464.05</v>
      </c>
      <c r="L26" s="2">
        <v>245.43</v>
      </c>
      <c r="M26" s="2">
        <f>Table1[[#This Row],[UnitPrice]]*Table1[[#This Row],[Quantity]]</f>
        <v>3712.4</v>
      </c>
      <c r="N26" s="2">
        <f>Table1[[#This Row],[CostPrice]]*Table1[[#This Row],[Quantity]]</f>
        <v>1963.44</v>
      </c>
      <c r="O26" s="2">
        <v>1006.48</v>
      </c>
      <c r="P26" s="4">
        <v>0.2</v>
      </c>
      <c r="Q26" t="s">
        <v>55</v>
      </c>
      <c r="R26" s="4">
        <f t="shared" si="0"/>
        <v>0.2711130266135115</v>
      </c>
    </row>
    <row r="27" spans="1:18" x14ac:dyDescent="0.25">
      <c r="A27">
        <v>1486</v>
      </c>
      <c r="B27" s="1">
        <v>44939</v>
      </c>
      <c r="C27" t="s">
        <v>225</v>
      </c>
      <c r="D27" t="s">
        <v>17</v>
      </c>
      <c r="E27" t="s">
        <v>33</v>
      </c>
      <c r="F27" t="s">
        <v>27</v>
      </c>
      <c r="G27" t="s">
        <v>35</v>
      </c>
      <c r="H27" t="s">
        <v>36</v>
      </c>
      <c r="I27" t="s">
        <v>100</v>
      </c>
      <c r="J27">
        <v>5</v>
      </c>
      <c r="K27" s="3">
        <v>255.64</v>
      </c>
      <c r="L27" s="2">
        <v>130.87</v>
      </c>
      <c r="M27" s="2">
        <f>Table1[[#This Row],[UnitPrice]]*Table1[[#This Row],[Quantity]]</f>
        <v>1278.1999999999998</v>
      </c>
      <c r="N27" s="2">
        <f>Table1[[#This Row],[CostPrice]]*Table1[[#This Row],[Quantity]]</f>
        <v>654.35</v>
      </c>
      <c r="O27" s="2">
        <v>380.99</v>
      </c>
      <c r="P27" s="4">
        <v>0.19</v>
      </c>
      <c r="Q27" t="s">
        <v>51</v>
      </c>
      <c r="R27" s="4">
        <f t="shared" si="0"/>
        <v>0.29806759505554692</v>
      </c>
    </row>
    <row r="28" spans="1:18" x14ac:dyDescent="0.25">
      <c r="A28">
        <v>1662</v>
      </c>
      <c r="B28" s="1">
        <v>44939</v>
      </c>
      <c r="C28" t="s">
        <v>130</v>
      </c>
      <c r="D28" t="s">
        <v>25</v>
      </c>
      <c r="E28" t="s">
        <v>26</v>
      </c>
      <c r="F28" t="s">
        <v>19</v>
      </c>
      <c r="G28" t="s">
        <v>41</v>
      </c>
      <c r="H28" t="s">
        <v>63</v>
      </c>
      <c r="I28" t="s">
        <v>117</v>
      </c>
      <c r="J28">
        <v>6</v>
      </c>
      <c r="K28" s="3">
        <v>423.9</v>
      </c>
      <c r="L28" s="2">
        <v>319.45999999999998</v>
      </c>
      <c r="M28" s="2">
        <f>Table1[[#This Row],[UnitPrice]]*Table1[[#This Row],[Quantity]]</f>
        <v>2543.3999999999996</v>
      </c>
      <c r="N28" s="2">
        <f>Table1[[#This Row],[CostPrice]]*Table1[[#This Row],[Quantity]]</f>
        <v>1916.7599999999998</v>
      </c>
      <c r="O28" s="2">
        <v>296</v>
      </c>
      <c r="P28" s="4">
        <v>0.13</v>
      </c>
      <c r="Q28" t="s">
        <v>23</v>
      </c>
      <c r="R28" s="4">
        <f t="shared" si="0"/>
        <v>0.11637964928835419</v>
      </c>
    </row>
    <row r="29" spans="1:18" x14ac:dyDescent="0.25">
      <c r="A29">
        <v>1913</v>
      </c>
      <c r="B29" s="1">
        <v>44939</v>
      </c>
      <c r="C29" t="s">
        <v>168</v>
      </c>
      <c r="D29" t="s">
        <v>17</v>
      </c>
      <c r="E29" t="s">
        <v>18</v>
      </c>
      <c r="F29" t="s">
        <v>40</v>
      </c>
      <c r="G29" t="s">
        <v>20</v>
      </c>
      <c r="H29" t="s">
        <v>28</v>
      </c>
      <c r="I29" t="s">
        <v>61</v>
      </c>
      <c r="J29">
        <v>1</v>
      </c>
      <c r="K29" s="3">
        <v>442.71</v>
      </c>
      <c r="L29" s="2">
        <v>293.63</v>
      </c>
      <c r="M29" s="2">
        <f>Table1[[#This Row],[UnitPrice]]*Table1[[#This Row],[Quantity]]</f>
        <v>442.71</v>
      </c>
      <c r="N29" s="2">
        <f>Table1[[#This Row],[CostPrice]]*Table1[[#This Row],[Quantity]]</f>
        <v>293.63</v>
      </c>
      <c r="O29" s="2">
        <v>20.69</v>
      </c>
      <c r="P29" s="4">
        <v>0.28999999999999998</v>
      </c>
      <c r="Q29" t="s">
        <v>55</v>
      </c>
      <c r="R29" s="4">
        <f t="shared" si="0"/>
        <v>4.6734882880440927E-2</v>
      </c>
    </row>
    <row r="30" spans="1:18" x14ac:dyDescent="0.25">
      <c r="A30">
        <v>1788</v>
      </c>
      <c r="B30" s="1">
        <v>44940</v>
      </c>
      <c r="C30" t="s">
        <v>200</v>
      </c>
      <c r="D30" t="s">
        <v>25</v>
      </c>
      <c r="E30" t="s">
        <v>18</v>
      </c>
      <c r="F30" t="s">
        <v>34</v>
      </c>
      <c r="G30" t="s">
        <v>20</v>
      </c>
      <c r="H30" t="s">
        <v>21</v>
      </c>
      <c r="I30" t="s">
        <v>79</v>
      </c>
      <c r="J30">
        <v>10</v>
      </c>
      <c r="K30" s="3">
        <v>892.93</v>
      </c>
      <c r="L30" s="2">
        <v>701.32</v>
      </c>
      <c r="M30" s="2">
        <f>Table1[[#This Row],[UnitPrice]]*Table1[[#This Row],[Quantity]]</f>
        <v>8929.2999999999993</v>
      </c>
      <c r="N30" s="2">
        <f>Table1[[#This Row],[CostPrice]]*Table1[[#This Row],[Quantity]]</f>
        <v>7013.2000000000007</v>
      </c>
      <c r="O30" s="2">
        <v>1112.46</v>
      </c>
      <c r="P30" s="4">
        <v>0.09</v>
      </c>
      <c r="Q30" t="s">
        <v>55</v>
      </c>
      <c r="R30" s="4">
        <f t="shared" si="0"/>
        <v>0.12458535383512707</v>
      </c>
    </row>
    <row r="31" spans="1:18" x14ac:dyDescent="0.25">
      <c r="A31">
        <v>1185</v>
      </c>
      <c r="B31" s="1">
        <v>44942</v>
      </c>
      <c r="C31" t="s">
        <v>151</v>
      </c>
      <c r="D31" t="s">
        <v>25</v>
      </c>
      <c r="E31" t="s">
        <v>33</v>
      </c>
      <c r="F31" t="s">
        <v>27</v>
      </c>
      <c r="G31" t="s">
        <v>20</v>
      </c>
      <c r="H31" t="s">
        <v>113</v>
      </c>
      <c r="I31" t="s">
        <v>161</v>
      </c>
      <c r="J31">
        <v>4</v>
      </c>
      <c r="K31" s="3">
        <v>399.65</v>
      </c>
      <c r="L31" s="2">
        <v>233.3</v>
      </c>
      <c r="M31" s="2">
        <f>Table1[[#This Row],[UnitPrice]]*Table1[[#This Row],[Quantity]]</f>
        <v>1598.6</v>
      </c>
      <c r="N31" s="2">
        <f>Table1[[#This Row],[CostPrice]]*Table1[[#This Row],[Quantity]]</f>
        <v>933.2</v>
      </c>
      <c r="O31" s="2">
        <v>505.54</v>
      </c>
      <c r="P31" s="4">
        <v>0.1</v>
      </c>
      <c r="Q31" t="s">
        <v>30</v>
      </c>
      <c r="R31" s="4">
        <f t="shared" si="0"/>
        <v>0.31623920930814464</v>
      </c>
    </row>
    <row r="32" spans="1:18" x14ac:dyDescent="0.25">
      <c r="A32">
        <v>1502</v>
      </c>
      <c r="B32" s="1">
        <v>44943</v>
      </c>
      <c r="C32" t="s">
        <v>158</v>
      </c>
      <c r="D32" t="s">
        <v>25</v>
      </c>
      <c r="E32" t="s">
        <v>33</v>
      </c>
      <c r="F32" t="s">
        <v>34</v>
      </c>
      <c r="G32" t="s">
        <v>20</v>
      </c>
      <c r="H32" t="s">
        <v>21</v>
      </c>
      <c r="I32" t="s">
        <v>54</v>
      </c>
      <c r="J32">
        <v>7</v>
      </c>
      <c r="K32" s="3">
        <v>695.04</v>
      </c>
      <c r="L32" s="2">
        <v>540.24</v>
      </c>
      <c r="M32" s="2">
        <f>Table1[[#This Row],[UnitPrice]]*Table1[[#This Row],[Quantity]]</f>
        <v>4865.28</v>
      </c>
      <c r="N32" s="2">
        <f>Table1[[#This Row],[CostPrice]]*Table1[[#This Row],[Quantity]]</f>
        <v>3781.6800000000003</v>
      </c>
      <c r="O32" s="2">
        <v>402.46</v>
      </c>
      <c r="P32" s="4">
        <v>0.14000000000000001</v>
      </c>
      <c r="Q32" t="s">
        <v>92</v>
      </c>
      <c r="R32" s="4">
        <f t="shared" si="0"/>
        <v>8.2720830044725066E-2</v>
      </c>
    </row>
    <row r="33" spans="1:18" x14ac:dyDescent="0.25">
      <c r="A33">
        <v>1192</v>
      </c>
      <c r="B33" s="1">
        <v>44944</v>
      </c>
      <c r="C33" t="s">
        <v>209</v>
      </c>
      <c r="D33" t="s">
        <v>17</v>
      </c>
      <c r="E33" t="s">
        <v>53</v>
      </c>
      <c r="F33" t="s">
        <v>19</v>
      </c>
      <c r="G33" t="s">
        <v>20</v>
      </c>
      <c r="H33" t="s">
        <v>21</v>
      </c>
      <c r="I33" t="s">
        <v>132</v>
      </c>
      <c r="J33">
        <v>4</v>
      </c>
      <c r="K33" s="3">
        <v>195.97</v>
      </c>
      <c r="L33" s="2">
        <v>134.09</v>
      </c>
      <c r="M33" s="2">
        <f>Table1[[#This Row],[UnitPrice]]*Table1[[#This Row],[Quantity]]</f>
        <v>783.88</v>
      </c>
      <c r="N33" s="2">
        <f>Table1[[#This Row],[CostPrice]]*Table1[[#This Row],[Quantity]]</f>
        <v>536.36</v>
      </c>
      <c r="O33" s="2">
        <v>59.39</v>
      </c>
      <c r="P33" s="4">
        <v>0.24</v>
      </c>
      <c r="Q33" t="s">
        <v>30</v>
      </c>
      <c r="R33" s="4">
        <f t="shared" si="0"/>
        <v>7.5764147573608207E-2</v>
      </c>
    </row>
    <row r="34" spans="1:18" x14ac:dyDescent="0.25">
      <c r="A34">
        <v>1237</v>
      </c>
      <c r="B34" s="1">
        <v>44944</v>
      </c>
      <c r="C34" t="s">
        <v>143</v>
      </c>
      <c r="D34" t="s">
        <v>25</v>
      </c>
      <c r="E34" t="s">
        <v>18</v>
      </c>
      <c r="F34" t="s">
        <v>19</v>
      </c>
      <c r="G34" t="s">
        <v>20</v>
      </c>
      <c r="H34" t="s">
        <v>21</v>
      </c>
      <c r="I34" t="s">
        <v>79</v>
      </c>
      <c r="J34">
        <v>9</v>
      </c>
      <c r="K34" s="3">
        <v>290.06</v>
      </c>
      <c r="L34" s="2">
        <v>217.38</v>
      </c>
      <c r="M34" s="2">
        <f>Table1[[#This Row],[UnitPrice]]*Table1[[#This Row],[Quantity]]</f>
        <v>2610.54</v>
      </c>
      <c r="N34" s="2">
        <f>Table1[[#This Row],[CostPrice]]*Table1[[#This Row],[Quantity]]</f>
        <v>1956.42</v>
      </c>
      <c r="O34" s="2">
        <v>53.7</v>
      </c>
      <c r="P34" s="4">
        <v>0.23</v>
      </c>
      <c r="Q34" t="s">
        <v>75</v>
      </c>
      <c r="R34" s="4">
        <f t="shared" si="0"/>
        <v>2.0570456687122207E-2</v>
      </c>
    </row>
    <row r="35" spans="1:18" x14ac:dyDescent="0.25">
      <c r="A35">
        <v>1537</v>
      </c>
      <c r="B35" s="1">
        <v>44944</v>
      </c>
      <c r="C35" t="s">
        <v>257</v>
      </c>
      <c r="D35" t="s">
        <v>25</v>
      </c>
      <c r="E35" t="s">
        <v>33</v>
      </c>
      <c r="F35" t="s">
        <v>19</v>
      </c>
      <c r="G35" t="s">
        <v>35</v>
      </c>
      <c r="H35" t="s">
        <v>49</v>
      </c>
      <c r="I35" t="s">
        <v>59</v>
      </c>
      <c r="J35">
        <v>3</v>
      </c>
      <c r="K35" s="3">
        <v>360.6</v>
      </c>
      <c r="L35" s="2">
        <v>186.98</v>
      </c>
      <c r="M35" s="2">
        <f>Table1[[#This Row],[UnitPrice]]*Table1[[#This Row],[Quantity]]</f>
        <v>1081.8000000000002</v>
      </c>
      <c r="N35" s="2">
        <f>Table1[[#This Row],[CostPrice]]*Table1[[#This Row],[Quantity]]</f>
        <v>560.93999999999994</v>
      </c>
      <c r="O35" s="2">
        <v>401.86</v>
      </c>
      <c r="P35" s="4">
        <v>0.11</v>
      </c>
      <c r="Q35" t="s">
        <v>85</v>
      </c>
      <c r="R35" s="4">
        <f t="shared" si="0"/>
        <v>0.37147347014235527</v>
      </c>
    </row>
    <row r="36" spans="1:18" x14ac:dyDescent="0.25">
      <c r="A36">
        <v>1725</v>
      </c>
      <c r="B36" s="1">
        <v>44944</v>
      </c>
      <c r="C36" t="s">
        <v>174</v>
      </c>
      <c r="D36" t="s">
        <v>25</v>
      </c>
      <c r="E36" t="s">
        <v>18</v>
      </c>
      <c r="F36" t="s">
        <v>27</v>
      </c>
      <c r="G36" t="s">
        <v>20</v>
      </c>
      <c r="H36" t="s">
        <v>113</v>
      </c>
      <c r="I36" t="s">
        <v>153</v>
      </c>
      <c r="J36">
        <v>7</v>
      </c>
      <c r="K36" s="3">
        <v>740.51</v>
      </c>
      <c r="L36" s="2">
        <v>576.03</v>
      </c>
      <c r="M36" s="2">
        <f>Table1[[#This Row],[UnitPrice]]*Table1[[#This Row],[Quantity]]</f>
        <v>5183.57</v>
      </c>
      <c r="N36" s="2">
        <f>Table1[[#This Row],[CostPrice]]*Table1[[#This Row],[Quantity]]</f>
        <v>4032.21</v>
      </c>
      <c r="O36" s="2">
        <v>633</v>
      </c>
      <c r="P36" s="4">
        <v>0.1</v>
      </c>
      <c r="Q36" t="s">
        <v>55</v>
      </c>
      <c r="R36" s="4">
        <f t="shared" si="0"/>
        <v>0.12211661075282094</v>
      </c>
    </row>
    <row r="37" spans="1:18" x14ac:dyDescent="0.25">
      <c r="A37">
        <v>1404</v>
      </c>
      <c r="B37" s="1">
        <v>44946</v>
      </c>
      <c r="C37" t="s">
        <v>222</v>
      </c>
      <c r="D37" t="s">
        <v>32</v>
      </c>
      <c r="E37" t="s">
        <v>26</v>
      </c>
      <c r="F37" t="s">
        <v>40</v>
      </c>
      <c r="G37" t="s">
        <v>41</v>
      </c>
      <c r="H37" t="s">
        <v>42</v>
      </c>
      <c r="I37" t="s">
        <v>43</v>
      </c>
      <c r="J37">
        <v>9</v>
      </c>
      <c r="K37" s="3">
        <v>819.95</v>
      </c>
      <c r="L37" s="2">
        <v>464.46</v>
      </c>
      <c r="M37" s="2">
        <f>Table1[[#This Row],[UnitPrice]]*Table1[[#This Row],[Quantity]]</f>
        <v>7379.55</v>
      </c>
      <c r="N37" s="2">
        <f>Table1[[#This Row],[CostPrice]]*Table1[[#This Row],[Quantity]]</f>
        <v>4180.1399999999994</v>
      </c>
      <c r="O37" s="2">
        <v>1723.5</v>
      </c>
      <c r="P37" s="4">
        <v>0.2</v>
      </c>
      <c r="Q37" t="s">
        <v>38</v>
      </c>
      <c r="R37" s="4">
        <f t="shared" si="0"/>
        <v>0.23355082626989451</v>
      </c>
    </row>
    <row r="38" spans="1:18" x14ac:dyDescent="0.25">
      <c r="A38">
        <v>1638</v>
      </c>
      <c r="B38" s="1">
        <v>44946</v>
      </c>
      <c r="C38" t="s">
        <v>279</v>
      </c>
      <c r="D38" t="s">
        <v>17</v>
      </c>
      <c r="E38" t="s">
        <v>26</v>
      </c>
      <c r="F38" t="s">
        <v>34</v>
      </c>
      <c r="G38" t="s">
        <v>35</v>
      </c>
      <c r="H38" t="s">
        <v>36</v>
      </c>
      <c r="I38" t="s">
        <v>87</v>
      </c>
      <c r="J38">
        <v>10</v>
      </c>
      <c r="K38" s="3">
        <v>447.01</v>
      </c>
      <c r="L38" s="2">
        <v>349.75</v>
      </c>
      <c r="M38" s="2">
        <f>Table1[[#This Row],[UnitPrice]]*Table1[[#This Row],[Quantity]]</f>
        <v>4470.1000000000004</v>
      </c>
      <c r="N38" s="2">
        <f>Table1[[#This Row],[CostPrice]]*Table1[[#This Row],[Quantity]]</f>
        <v>3497.5</v>
      </c>
      <c r="O38" s="2">
        <v>167.98</v>
      </c>
      <c r="P38" s="4">
        <v>0.18</v>
      </c>
      <c r="Q38" t="s">
        <v>75</v>
      </c>
      <c r="R38" s="4">
        <f t="shared" si="0"/>
        <v>3.7578577660455019E-2</v>
      </c>
    </row>
    <row r="39" spans="1:18" x14ac:dyDescent="0.25">
      <c r="A39">
        <v>1282</v>
      </c>
      <c r="B39" s="1">
        <v>44947</v>
      </c>
      <c r="C39" t="s">
        <v>239</v>
      </c>
      <c r="D39" t="s">
        <v>32</v>
      </c>
      <c r="E39" t="s">
        <v>18</v>
      </c>
      <c r="F39" t="s">
        <v>40</v>
      </c>
      <c r="G39" t="s">
        <v>35</v>
      </c>
      <c r="H39" t="s">
        <v>70</v>
      </c>
      <c r="I39" t="s">
        <v>84</v>
      </c>
      <c r="J39">
        <v>2</v>
      </c>
      <c r="K39" s="3">
        <v>972.63</v>
      </c>
      <c r="L39" s="2">
        <v>563.91999999999996</v>
      </c>
      <c r="M39" s="2">
        <f>Table1[[#This Row],[UnitPrice]]*Table1[[#This Row],[Quantity]]</f>
        <v>1945.26</v>
      </c>
      <c r="N39" s="2">
        <f>Table1[[#This Row],[CostPrice]]*Table1[[#This Row],[Quantity]]</f>
        <v>1127.8399999999999</v>
      </c>
      <c r="O39" s="2">
        <v>642.35</v>
      </c>
      <c r="P39" s="4">
        <v>0.09</v>
      </c>
      <c r="Q39" t="s">
        <v>55</v>
      </c>
      <c r="R39" s="4">
        <f t="shared" si="0"/>
        <v>0.33021292783483958</v>
      </c>
    </row>
    <row r="40" spans="1:18" x14ac:dyDescent="0.25">
      <c r="A40">
        <v>1382</v>
      </c>
      <c r="B40" s="1">
        <v>44947</v>
      </c>
      <c r="C40" t="s">
        <v>225</v>
      </c>
      <c r="D40" t="s">
        <v>32</v>
      </c>
      <c r="E40" t="s">
        <v>26</v>
      </c>
      <c r="F40" t="s">
        <v>19</v>
      </c>
      <c r="G40" t="s">
        <v>35</v>
      </c>
      <c r="H40" t="s">
        <v>49</v>
      </c>
      <c r="I40" t="s">
        <v>50</v>
      </c>
      <c r="J40">
        <v>9</v>
      </c>
      <c r="K40" s="3">
        <v>490.06</v>
      </c>
      <c r="L40" s="2">
        <v>371.36</v>
      </c>
      <c r="M40" s="2">
        <f>Table1[[#This Row],[UnitPrice]]*Table1[[#This Row],[Quantity]]</f>
        <v>4410.54</v>
      </c>
      <c r="N40" s="2">
        <f>Table1[[#This Row],[CostPrice]]*Table1[[#This Row],[Quantity]]</f>
        <v>3342.2400000000002</v>
      </c>
      <c r="O40" s="2">
        <v>-122.55</v>
      </c>
      <c r="P40" s="4">
        <v>0.27</v>
      </c>
      <c r="Q40" t="s">
        <v>75</v>
      </c>
      <c r="R40" s="4">
        <f t="shared" si="0"/>
        <v>-2.778571331401597E-2</v>
      </c>
    </row>
    <row r="41" spans="1:18" x14ac:dyDescent="0.25">
      <c r="A41">
        <v>1651</v>
      </c>
      <c r="B41" s="1">
        <v>44947</v>
      </c>
      <c r="C41" t="s">
        <v>263</v>
      </c>
      <c r="D41" t="s">
        <v>17</v>
      </c>
      <c r="E41" t="s">
        <v>18</v>
      </c>
      <c r="F41" t="s">
        <v>19</v>
      </c>
      <c r="G41" t="s">
        <v>20</v>
      </c>
      <c r="H41" t="s">
        <v>113</v>
      </c>
      <c r="I41" t="s">
        <v>161</v>
      </c>
      <c r="J41">
        <v>5</v>
      </c>
      <c r="K41" s="3">
        <v>809.37</v>
      </c>
      <c r="L41" s="2">
        <v>467.33</v>
      </c>
      <c r="M41" s="2">
        <f>Table1[[#This Row],[UnitPrice]]*Table1[[#This Row],[Quantity]]</f>
        <v>4046.85</v>
      </c>
      <c r="N41" s="2">
        <f>Table1[[#This Row],[CostPrice]]*Table1[[#This Row],[Quantity]]</f>
        <v>2336.65</v>
      </c>
      <c r="O41" s="2">
        <v>536.61</v>
      </c>
      <c r="P41" s="4">
        <v>0.28999999999999998</v>
      </c>
      <c r="Q41" t="s">
        <v>85</v>
      </c>
      <c r="R41" s="4">
        <f t="shared" si="0"/>
        <v>0.13259942918566292</v>
      </c>
    </row>
    <row r="42" spans="1:18" x14ac:dyDescent="0.25">
      <c r="A42">
        <v>1947</v>
      </c>
      <c r="B42" s="1">
        <v>44947</v>
      </c>
      <c r="C42" t="s">
        <v>67</v>
      </c>
      <c r="D42" t="s">
        <v>25</v>
      </c>
      <c r="E42" t="s">
        <v>53</v>
      </c>
      <c r="F42" t="s">
        <v>27</v>
      </c>
      <c r="G42" t="s">
        <v>20</v>
      </c>
      <c r="H42" t="s">
        <v>21</v>
      </c>
      <c r="I42" t="s">
        <v>54</v>
      </c>
      <c r="J42">
        <v>5</v>
      </c>
      <c r="K42" s="3">
        <v>29.12</v>
      </c>
      <c r="L42" s="2">
        <v>21</v>
      </c>
      <c r="M42" s="2">
        <f>Table1[[#This Row],[UnitPrice]]*Table1[[#This Row],[Quantity]]</f>
        <v>145.6</v>
      </c>
      <c r="N42" s="2">
        <f>Table1[[#This Row],[CostPrice]]*Table1[[#This Row],[Quantity]]</f>
        <v>105</v>
      </c>
      <c r="O42" s="2">
        <v>10.02</v>
      </c>
      <c r="P42" s="4">
        <v>0.21</v>
      </c>
      <c r="Q42" t="s">
        <v>51</v>
      </c>
      <c r="R42" s="4">
        <f t="shared" si="0"/>
        <v>6.8818681318681324E-2</v>
      </c>
    </row>
    <row r="43" spans="1:18" x14ac:dyDescent="0.25">
      <c r="A43">
        <v>1949</v>
      </c>
      <c r="B43" s="1">
        <v>44947</v>
      </c>
      <c r="C43" t="s">
        <v>112</v>
      </c>
      <c r="D43" t="s">
        <v>17</v>
      </c>
      <c r="E43" t="s">
        <v>26</v>
      </c>
      <c r="F43" t="s">
        <v>34</v>
      </c>
      <c r="G43" t="s">
        <v>41</v>
      </c>
      <c r="H43" t="s">
        <v>63</v>
      </c>
      <c r="I43" t="s">
        <v>117</v>
      </c>
      <c r="J43">
        <v>4</v>
      </c>
      <c r="K43" s="3">
        <v>832.31</v>
      </c>
      <c r="L43" s="2">
        <v>666.48</v>
      </c>
      <c r="M43" s="2">
        <f>Table1[[#This Row],[UnitPrice]]*Table1[[#This Row],[Quantity]]</f>
        <v>3329.24</v>
      </c>
      <c r="N43" s="2">
        <f>Table1[[#This Row],[CostPrice]]*Table1[[#This Row],[Quantity]]</f>
        <v>2665.92</v>
      </c>
      <c r="O43" s="2">
        <v>-135.69999999999999</v>
      </c>
      <c r="P43" s="4">
        <v>0.24</v>
      </c>
      <c r="Q43" t="s">
        <v>75</v>
      </c>
      <c r="R43" s="4">
        <f t="shared" si="0"/>
        <v>-4.0760053345508286E-2</v>
      </c>
    </row>
    <row r="44" spans="1:18" x14ac:dyDescent="0.25">
      <c r="A44">
        <v>1670</v>
      </c>
      <c r="B44" s="1">
        <v>44948</v>
      </c>
      <c r="C44" t="s">
        <v>237</v>
      </c>
      <c r="D44" t="s">
        <v>25</v>
      </c>
      <c r="E44" t="s">
        <v>53</v>
      </c>
      <c r="F44" t="s">
        <v>34</v>
      </c>
      <c r="G44" t="s">
        <v>35</v>
      </c>
      <c r="H44" t="s">
        <v>36</v>
      </c>
      <c r="I44" t="s">
        <v>37</v>
      </c>
      <c r="J44">
        <v>8</v>
      </c>
      <c r="K44" s="3">
        <v>243.95</v>
      </c>
      <c r="L44" s="2">
        <v>191.09</v>
      </c>
      <c r="M44" s="2">
        <f>Table1[[#This Row],[UnitPrice]]*Table1[[#This Row],[Quantity]]</f>
        <v>1951.6</v>
      </c>
      <c r="N44" s="2">
        <f>Table1[[#This Row],[CostPrice]]*Table1[[#This Row],[Quantity]]</f>
        <v>1528.72</v>
      </c>
      <c r="O44" s="2">
        <v>32.56</v>
      </c>
      <c r="P44" s="4">
        <v>0.2</v>
      </c>
      <c r="Q44" t="s">
        <v>38</v>
      </c>
      <c r="R44" s="4">
        <f t="shared" si="0"/>
        <v>1.6683746669399469E-2</v>
      </c>
    </row>
    <row r="45" spans="1:18" x14ac:dyDescent="0.25">
      <c r="A45">
        <v>1394</v>
      </c>
      <c r="B45" s="1">
        <v>44949</v>
      </c>
      <c r="C45" t="s">
        <v>145</v>
      </c>
      <c r="D45" t="s">
        <v>32</v>
      </c>
      <c r="E45" t="s">
        <v>18</v>
      </c>
      <c r="F45" t="s">
        <v>19</v>
      </c>
      <c r="G45" t="s">
        <v>41</v>
      </c>
      <c r="H45" t="s">
        <v>46</v>
      </c>
      <c r="I45" t="s">
        <v>102</v>
      </c>
      <c r="J45">
        <v>1</v>
      </c>
      <c r="K45" s="3">
        <v>236.65</v>
      </c>
      <c r="L45" s="2">
        <v>130.81</v>
      </c>
      <c r="M45" s="2">
        <f>Table1[[#This Row],[UnitPrice]]*Table1[[#This Row],[Quantity]]</f>
        <v>236.65</v>
      </c>
      <c r="N45" s="2">
        <f>Table1[[#This Row],[CostPrice]]*Table1[[#This Row],[Quantity]]</f>
        <v>130.81</v>
      </c>
      <c r="O45" s="2">
        <v>70.34</v>
      </c>
      <c r="P45" s="4">
        <v>0.15</v>
      </c>
      <c r="Q45" t="s">
        <v>85</v>
      </c>
      <c r="R45" s="4">
        <f t="shared" si="0"/>
        <v>0.29723219945066554</v>
      </c>
    </row>
    <row r="46" spans="1:18" x14ac:dyDescent="0.25">
      <c r="A46">
        <v>1808</v>
      </c>
      <c r="B46" s="1">
        <v>44951</v>
      </c>
      <c r="C46" t="s">
        <v>271</v>
      </c>
      <c r="D46" t="s">
        <v>32</v>
      </c>
      <c r="E46" t="s">
        <v>53</v>
      </c>
      <c r="F46" t="s">
        <v>34</v>
      </c>
      <c r="G46" t="s">
        <v>35</v>
      </c>
      <c r="H46" t="s">
        <v>36</v>
      </c>
      <c r="I46" t="s">
        <v>87</v>
      </c>
      <c r="J46">
        <v>8</v>
      </c>
      <c r="K46" s="3">
        <v>83.36</v>
      </c>
      <c r="L46" s="2">
        <v>59.94</v>
      </c>
      <c r="M46" s="2">
        <f>Table1[[#This Row],[UnitPrice]]*Table1[[#This Row],[Quantity]]</f>
        <v>666.88</v>
      </c>
      <c r="N46" s="2">
        <f>Table1[[#This Row],[CostPrice]]*Table1[[#This Row],[Quantity]]</f>
        <v>479.52</v>
      </c>
      <c r="O46" s="2">
        <v>-6.04</v>
      </c>
      <c r="P46" s="4">
        <v>0.28999999999999998</v>
      </c>
      <c r="Q46" t="s">
        <v>23</v>
      </c>
      <c r="R46" s="4">
        <f t="shared" si="0"/>
        <v>-9.0571017274472167E-3</v>
      </c>
    </row>
    <row r="47" spans="1:18" x14ac:dyDescent="0.25">
      <c r="A47">
        <v>1528</v>
      </c>
      <c r="B47" s="1">
        <v>44952</v>
      </c>
      <c r="C47" t="s">
        <v>282</v>
      </c>
      <c r="D47" t="s">
        <v>25</v>
      </c>
      <c r="E47" t="s">
        <v>53</v>
      </c>
      <c r="F47" t="s">
        <v>40</v>
      </c>
      <c r="G47" t="s">
        <v>20</v>
      </c>
      <c r="H47" t="s">
        <v>28</v>
      </c>
      <c r="I47" t="s">
        <v>90</v>
      </c>
      <c r="J47">
        <v>10</v>
      </c>
      <c r="K47" s="3">
        <v>643.11</v>
      </c>
      <c r="L47" s="2">
        <v>452.88</v>
      </c>
      <c r="M47" s="2">
        <f>Table1[[#This Row],[UnitPrice]]*Table1[[#This Row],[Quantity]]</f>
        <v>6431.1</v>
      </c>
      <c r="N47" s="2">
        <f>Table1[[#This Row],[CostPrice]]*Table1[[#This Row],[Quantity]]</f>
        <v>4528.8</v>
      </c>
      <c r="O47" s="2">
        <v>1452.12</v>
      </c>
      <c r="P47" s="4">
        <v>7.0000000000000007E-2</v>
      </c>
      <c r="Q47" t="s">
        <v>30</v>
      </c>
      <c r="R47" s="4">
        <f t="shared" si="0"/>
        <v>0.2257965200354527</v>
      </c>
    </row>
    <row r="48" spans="1:18" x14ac:dyDescent="0.25">
      <c r="A48">
        <v>1952</v>
      </c>
      <c r="B48" s="1">
        <v>44952</v>
      </c>
      <c r="C48" t="s">
        <v>170</v>
      </c>
      <c r="D48" t="s">
        <v>25</v>
      </c>
      <c r="E48" t="s">
        <v>53</v>
      </c>
      <c r="F48" t="s">
        <v>40</v>
      </c>
      <c r="G48" t="s">
        <v>35</v>
      </c>
      <c r="H48" t="s">
        <v>70</v>
      </c>
      <c r="I48" t="s">
        <v>98</v>
      </c>
      <c r="J48">
        <v>5</v>
      </c>
      <c r="K48" s="3">
        <v>335.77</v>
      </c>
      <c r="L48" s="2">
        <v>263.04000000000002</v>
      </c>
      <c r="M48" s="2">
        <f>Table1[[#This Row],[UnitPrice]]*Table1[[#This Row],[Quantity]]</f>
        <v>1678.85</v>
      </c>
      <c r="N48" s="2">
        <f>Table1[[#This Row],[CostPrice]]*Table1[[#This Row],[Quantity]]</f>
        <v>1315.2</v>
      </c>
      <c r="O48" s="2">
        <v>-123.22</v>
      </c>
      <c r="P48" s="4">
        <v>0.28999999999999998</v>
      </c>
      <c r="Q48" t="s">
        <v>44</v>
      </c>
      <c r="R48" s="4">
        <f t="shared" si="0"/>
        <v>-7.3395479048157963E-2</v>
      </c>
    </row>
    <row r="49" spans="1:18" x14ac:dyDescent="0.25">
      <c r="A49">
        <v>1724</v>
      </c>
      <c r="B49" s="1">
        <v>44953</v>
      </c>
      <c r="C49" t="s">
        <v>143</v>
      </c>
      <c r="D49" t="s">
        <v>17</v>
      </c>
      <c r="E49" t="s">
        <v>18</v>
      </c>
      <c r="F49" t="s">
        <v>19</v>
      </c>
      <c r="G49" t="s">
        <v>35</v>
      </c>
      <c r="H49" t="s">
        <v>49</v>
      </c>
      <c r="I49" t="s">
        <v>59</v>
      </c>
      <c r="J49">
        <v>8</v>
      </c>
      <c r="K49" s="3">
        <v>517.34</v>
      </c>
      <c r="L49" s="2">
        <v>378.22</v>
      </c>
      <c r="M49" s="2">
        <f>Table1[[#This Row],[UnitPrice]]*Table1[[#This Row],[Quantity]]</f>
        <v>4138.72</v>
      </c>
      <c r="N49" s="2">
        <f>Table1[[#This Row],[CostPrice]]*Table1[[#This Row],[Quantity]]</f>
        <v>3025.76</v>
      </c>
      <c r="O49" s="2">
        <v>1112.96</v>
      </c>
      <c r="P49" s="4">
        <v>0</v>
      </c>
      <c r="Q49" t="s">
        <v>85</v>
      </c>
      <c r="R49" s="4">
        <f t="shared" si="0"/>
        <v>0.26891406038581978</v>
      </c>
    </row>
    <row r="50" spans="1:18" x14ac:dyDescent="0.25">
      <c r="A50">
        <v>1641</v>
      </c>
      <c r="B50" s="1">
        <v>44954</v>
      </c>
      <c r="C50" t="s">
        <v>203</v>
      </c>
      <c r="D50" t="s">
        <v>32</v>
      </c>
      <c r="E50" t="s">
        <v>53</v>
      </c>
      <c r="F50" t="s">
        <v>34</v>
      </c>
      <c r="G50" t="s">
        <v>35</v>
      </c>
      <c r="H50" t="s">
        <v>36</v>
      </c>
      <c r="I50" t="s">
        <v>37</v>
      </c>
      <c r="J50">
        <v>6</v>
      </c>
      <c r="K50" s="3">
        <v>261.64</v>
      </c>
      <c r="L50" s="2">
        <v>217.04</v>
      </c>
      <c r="M50" s="2">
        <f>Table1[[#This Row],[UnitPrice]]*Table1[[#This Row],[Quantity]]</f>
        <v>1569.84</v>
      </c>
      <c r="N50" s="2">
        <f>Table1[[#This Row],[CostPrice]]*Table1[[#This Row],[Quantity]]</f>
        <v>1302.24</v>
      </c>
      <c r="O50" s="2">
        <v>-156.26</v>
      </c>
      <c r="P50" s="4">
        <v>0.27</v>
      </c>
      <c r="Q50" t="s">
        <v>51</v>
      </c>
      <c r="R50" s="4">
        <f t="shared" si="0"/>
        <v>-9.9538806502573504E-2</v>
      </c>
    </row>
    <row r="51" spans="1:18" x14ac:dyDescent="0.25">
      <c r="A51">
        <v>1570</v>
      </c>
      <c r="B51" s="1">
        <v>44956</v>
      </c>
      <c r="C51" t="s">
        <v>108</v>
      </c>
      <c r="D51" t="s">
        <v>32</v>
      </c>
      <c r="E51" t="s">
        <v>26</v>
      </c>
      <c r="F51" t="s">
        <v>34</v>
      </c>
      <c r="G51" t="s">
        <v>41</v>
      </c>
      <c r="H51" t="s">
        <v>46</v>
      </c>
      <c r="I51" t="s">
        <v>47</v>
      </c>
      <c r="J51">
        <v>1</v>
      </c>
      <c r="K51" s="3">
        <v>860.29</v>
      </c>
      <c r="L51" s="2">
        <v>455.42</v>
      </c>
      <c r="M51" s="2">
        <f>Table1[[#This Row],[UnitPrice]]*Table1[[#This Row],[Quantity]]</f>
        <v>860.29</v>
      </c>
      <c r="N51" s="2">
        <f>Table1[[#This Row],[CostPrice]]*Table1[[#This Row],[Quantity]]</f>
        <v>455.42</v>
      </c>
      <c r="O51" s="2">
        <v>250.02</v>
      </c>
      <c r="P51" s="4">
        <v>0.18</v>
      </c>
      <c r="Q51" t="s">
        <v>44</v>
      </c>
      <c r="R51" s="4">
        <f t="shared" si="0"/>
        <v>0.29062292947726931</v>
      </c>
    </row>
    <row r="52" spans="1:18" x14ac:dyDescent="0.25">
      <c r="A52">
        <v>1585</v>
      </c>
      <c r="B52" s="1">
        <v>44956</v>
      </c>
      <c r="C52" t="s">
        <v>231</v>
      </c>
      <c r="D52" t="s">
        <v>25</v>
      </c>
      <c r="E52" t="s">
        <v>53</v>
      </c>
      <c r="F52" t="s">
        <v>19</v>
      </c>
      <c r="G52" t="s">
        <v>35</v>
      </c>
      <c r="H52" t="s">
        <v>70</v>
      </c>
      <c r="I52" t="s">
        <v>84</v>
      </c>
      <c r="J52">
        <v>8</v>
      </c>
      <c r="K52" s="3">
        <v>90.31</v>
      </c>
      <c r="L52" s="2">
        <v>59.98</v>
      </c>
      <c r="M52" s="2">
        <f>Table1[[#This Row],[UnitPrice]]*Table1[[#This Row],[Quantity]]</f>
        <v>722.48</v>
      </c>
      <c r="N52" s="2">
        <f>Table1[[#This Row],[CostPrice]]*Table1[[#This Row],[Quantity]]</f>
        <v>479.84</v>
      </c>
      <c r="O52" s="2">
        <v>54.8</v>
      </c>
      <c r="P52" s="4">
        <v>0.26</v>
      </c>
      <c r="Q52" t="s">
        <v>75</v>
      </c>
      <c r="R52" s="4">
        <f t="shared" si="0"/>
        <v>7.5849850514893138E-2</v>
      </c>
    </row>
    <row r="53" spans="1:18" x14ac:dyDescent="0.25">
      <c r="A53">
        <v>1554</v>
      </c>
      <c r="B53" s="1">
        <v>44957</v>
      </c>
      <c r="C53" t="s">
        <v>283</v>
      </c>
      <c r="D53" t="s">
        <v>25</v>
      </c>
      <c r="E53" t="s">
        <v>33</v>
      </c>
      <c r="F53" t="s">
        <v>27</v>
      </c>
      <c r="G53" t="s">
        <v>41</v>
      </c>
      <c r="H53" t="s">
        <v>42</v>
      </c>
      <c r="I53" t="s">
        <v>77</v>
      </c>
      <c r="J53">
        <v>7</v>
      </c>
      <c r="K53" s="3">
        <v>606.55999999999995</v>
      </c>
      <c r="L53" s="2">
        <v>372.69</v>
      </c>
      <c r="M53" s="2">
        <f>Table1[[#This Row],[UnitPrice]]*Table1[[#This Row],[Quantity]]</f>
        <v>4245.92</v>
      </c>
      <c r="N53" s="2">
        <f>Table1[[#This Row],[CostPrice]]*Table1[[#This Row],[Quantity]]</f>
        <v>2608.83</v>
      </c>
      <c r="O53" s="2">
        <v>1254.96</v>
      </c>
      <c r="P53" s="4">
        <v>0.09</v>
      </c>
      <c r="Q53" t="s">
        <v>125</v>
      </c>
      <c r="R53" s="4">
        <f t="shared" si="0"/>
        <v>0.29556845159588502</v>
      </c>
    </row>
    <row r="54" spans="1:18" x14ac:dyDescent="0.25">
      <c r="A54">
        <v>1621</v>
      </c>
      <c r="B54" s="1">
        <v>44957</v>
      </c>
      <c r="C54" t="s">
        <v>246</v>
      </c>
      <c r="D54" t="s">
        <v>25</v>
      </c>
      <c r="E54" t="s">
        <v>33</v>
      </c>
      <c r="F54" t="s">
        <v>34</v>
      </c>
      <c r="G54" t="s">
        <v>35</v>
      </c>
      <c r="H54" t="s">
        <v>49</v>
      </c>
      <c r="I54" t="s">
        <v>50</v>
      </c>
      <c r="J54">
        <v>3</v>
      </c>
      <c r="K54" s="3">
        <v>436.9</v>
      </c>
      <c r="L54" s="2">
        <v>278.58999999999997</v>
      </c>
      <c r="M54" s="2">
        <f>Table1[[#This Row],[UnitPrice]]*Table1[[#This Row],[Quantity]]</f>
        <v>1310.6999999999998</v>
      </c>
      <c r="N54" s="2">
        <f>Table1[[#This Row],[CostPrice]]*Table1[[#This Row],[Quantity]]</f>
        <v>835.77</v>
      </c>
      <c r="O54" s="2">
        <v>461.82</v>
      </c>
      <c r="P54" s="4">
        <v>0.01</v>
      </c>
      <c r="Q54" t="s">
        <v>92</v>
      </c>
      <c r="R54" s="4">
        <f t="shared" si="0"/>
        <v>0.3523460746166171</v>
      </c>
    </row>
    <row r="55" spans="1:18" x14ac:dyDescent="0.25">
      <c r="A55">
        <v>1175</v>
      </c>
      <c r="B55" s="1">
        <v>44959</v>
      </c>
      <c r="C55" t="s">
        <v>86</v>
      </c>
      <c r="D55" t="s">
        <v>25</v>
      </c>
      <c r="E55" t="s">
        <v>26</v>
      </c>
      <c r="F55" t="s">
        <v>27</v>
      </c>
      <c r="G55" t="s">
        <v>35</v>
      </c>
      <c r="H55" t="s">
        <v>49</v>
      </c>
      <c r="I55" t="s">
        <v>50</v>
      </c>
      <c r="J55">
        <v>7</v>
      </c>
      <c r="K55" s="3">
        <v>378.77</v>
      </c>
      <c r="L55" s="2">
        <v>279.89</v>
      </c>
      <c r="M55" s="2">
        <f>Table1[[#This Row],[UnitPrice]]*Table1[[#This Row],[Quantity]]</f>
        <v>2651.39</v>
      </c>
      <c r="N55" s="2">
        <f>Table1[[#This Row],[CostPrice]]*Table1[[#This Row],[Quantity]]</f>
        <v>1959.23</v>
      </c>
      <c r="O55" s="2">
        <v>161.88</v>
      </c>
      <c r="P55" s="4">
        <v>0.2</v>
      </c>
      <c r="Q55" t="s">
        <v>38</v>
      </c>
      <c r="R55" s="4">
        <f t="shared" si="0"/>
        <v>6.1054767499311685E-2</v>
      </c>
    </row>
    <row r="56" spans="1:18" x14ac:dyDescent="0.25">
      <c r="A56">
        <v>1178</v>
      </c>
      <c r="B56" s="1">
        <v>44959</v>
      </c>
      <c r="C56" t="s">
        <v>202</v>
      </c>
      <c r="D56" t="s">
        <v>32</v>
      </c>
      <c r="E56" t="s">
        <v>33</v>
      </c>
      <c r="F56" t="s">
        <v>19</v>
      </c>
      <c r="G56" t="s">
        <v>20</v>
      </c>
      <c r="H56" t="s">
        <v>21</v>
      </c>
      <c r="I56" t="s">
        <v>22</v>
      </c>
      <c r="J56">
        <v>10</v>
      </c>
      <c r="K56" s="3">
        <v>38.409999999999997</v>
      </c>
      <c r="L56" s="2">
        <v>27.24</v>
      </c>
      <c r="M56" s="2">
        <f>Table1[[#This Row],[UnitPrice]]*Table1[[#This Row],[Quantity]]</f>
        <v>384.09999999999997</v>
      </c>
      <c r="N56" s="2">
        <f>Table1[[#This Row],[CostPrice]]*Table1[[#This Row],[Quantity]]</f>
        <v>272.39999999999998</v>
      </c>
      <c r="O56" s="2">
        <v>31.04</v>
      </c>
      <c r="P56" s="4">
        <v>0.21</v>
      </c>
      <c r="Q56" t="s">
        <v>51</v>
      </c>
      <c r="R56" s="4">
        <f t="shared" si="0"/>
        <v>8.0812288466545174E-2</v>
      </c>
    </row>
    <row r="57" spans="1:18" x14ac:dyDescent="0.25">
      <c r="A57">
        <v>1615</v>
      </c>
      <c r="B57" s="1">
        <v>44959</v>
      </c>
      <c r="C57" t="s">
        <v>183</v>
      </c>
      <c r="D57" t="s">
        <v>32</v>
      </c>
      <c r="E57" t="s">
        <v>53</v>
      </c>
      <c r="F57" t="s">
        <v>34</v>
      </c>
      <c r="G57" t="s">
        <v>41</v>
      </c>
      <c r="H57" t="s">
        <v>42</v>
      </c>
      <c r="I57" t="s">
        <v>77</v>
      </c>
      <c r="J57">
        <v>9</v>
      </c>
      <c r="K57" s="3">
        <v>227.98</v>
      </c>
      <c r="L57" s="2">
        <v>134.56</v>
      </c>
      <c r="M57" s="2">
        <f>Table1[[#This Row],[UnitPrice]]*Table1[[#This Row],[Quantity]]</f>
        <v>2051.8199999999997</v>
      </c>
      <c r="N57" s="2">
        <f>Table1[[#This Row],[CostPrice]]*Table1[[#This Row],[Quantity]]</f>
        <v>1211.04</v>
      </c>
      <c r="O57" s="2">
        <v>635.6</v>
      </c>
      <c r="P57" s="4">
        <v>0.1</v>
      </c>
      <c r="Q57" t="s">
        <v>85</v>
      </c>
      <c r="R57" s="4">
        <f t="shared" si="0"/>
        <v>0.30977376183095989</v>
      </c>
    </row>
    <row r="58" spans="1:18" x14ac:dyDescent="0.25">
      <c r="A58">
        <v>1727</v>
      </c>
      <c r="B58" s="1">
        <v>44959</v>
      </c>
      <c r="C58" t="s">
        <v>217</v>
      </c>
      <c r="D58" t="s">
        <v>25</v>
      </c>
      <c r="E58" t="s">
        <v>18</v>
      </c>
      <c r="F58" t="s">
        <v>27</v>
      </c>
      <c r="G58" t="s">
        <v>20</v>
      </c>
      <c r="H58" t="s">
        <v>28</v>
      </c>
      <c r="I58" t="s">
        <v>90</v>
      </c>
      <c r="J58">
        <v>8</v>
      </c>
      <c r="K58" s="3">
        <v>664.33</v>
      </c>
      <c r="L58" s="2">
        <v>388.18</v>
      </c>
      <c r="M58" s="2">
        <f>Table1[[#This Row],[UnitPrice]]*Table1[[#This Row],[Quantity]]</f>
        <v>5314.64</v>
      </c>
      <c r="N58" s="2">
        <f>Table1[[#This Row],[CostPrice]]*Table1[[#This Row],[Quantity]]</f>
        <v>3105.44</v>
      </c>
      <c r="O58" s="2">
        <v>1890.32</v>
      </c>
      <c r="P58" s="4">
        <v>0.06</v>
      </c>
      <c r="Q58" t="s">
        <v>44</v>
      </c>
      <c r="R58" s="4">
        <f t="shared" si="0"/>
        <v>0.35568166423313713</v>
      </c>
    </row>
    <row r="59" spans="1:18" x14ac:dyDescent="0.25">
      <c r="A59">
        <v>1285</v>
      </c>
      <c r="B59" s="1">
        <v>44987</v>
      </c>
      <c r="C59" t="s">
        <v>232</v>
      </c>
      <c r="D59" t="s">
        <v>32</v>
      </c>
      <c r="E59" t="s">
        <v>26</v>
      </c>
      <c r="F59" t="s">
        <v>40</v>
      </c>
      <c r="G59" t="s">
        <v>35</v>
      </c>
      <c r="H59" t="s">
        <v>49</v>
      </c>
      <c r="I59" t="s">
        <v>59</v>
      </c>
      <c r="J59">
        <v>7</v>
      </c>
      <c r="K59" s="3">
        <v>637.23</v>
      </c>
      <c r="L59" s="2">
        <v>346.24</v>
      </c>
      <c r="M59" s="2">
        <f>Table1[[#This Row],[UnitPrice]]*Table1[[#This Row],[Quantity]]</f>
        <v>4460.6100000000006</v>
      </c>
      <c r="N59" s="2">
        <f>Table1[[#This Row],[CostPrice]]*Table1[[#This Row],[Quantity]]</f>
        <v>2423.6800000000003</v>
      </c>
      <c r="O59" s="2">
        <v>1992.32</v>
      </c>
      <c r="P59" s="4">
        <v>0.01</v>
      </c>
      <c r="Q59" t="s">
        <v>85</v>
      </c>
      <c r="R59" s="4">
        <f t="shared" si="0"/>
        <v>0.44664743162930626</v>
      </c>
    </row>
    <row r="60" spans="1:18" x14ac:dyDescent="0.25">
      <c r="A60">
        <v>1544</v>
      </c>
      <c r="B60" s="1">
        <v>44987</v>
      </c>
      <c r="C60" t="s">
        <v>202</v>
      </c>
      <c r="D60" t="s">
        <v>17</v>
      </c>
      <c r="E60" t="s">
        <v>33</v>
      </c>
      <c r="F60" t="s">
        <v>27</v>
      </c>
      <c r="G60" t="s">
        <v>20</v>
      </c>
      <c r="H60" t="s">
        <v>28</v>
      </c>
      <c r="I60" t="s">
        <v>90</v>
      </c>
      <c r="J60">
        <v>2</v>
      </c>
      <c r="K60" s="3">
        <v>305.14</v>
      </c>
      <c r="L60" s="2">
        <v>153.66999999999999</v>
      </c>
      <c r="M60" s="2">
        <f>Table1[[#This Row],[UnitPrice]]*Table1[[#This Row],[Quantity]]</f>
        <v>610.28</v>
      </c>
      <c r="N60" s="2">
        <f>Table1[[#This Row],[CostPrice]]*Table1[[#This Row],[Quantity]]</f>
        <v>307.33999999999997</v>
      </c>
      <c r="O60" s="2">
        <v>284.63</v>
      </c>
      <c r="P60" s="4">
        <v>0.03</v>
      </c>
      <c r="Q60" t="s">
        <v>44</v>
      </c>
      <c r="R60" s="4">
        <f t="shared" si="0"/>
        <v>0.46639247558497743</v>
      </c>
    </row>
    <row r="61" spans="1:18" x14ac:dyDescent="0.25">
      <c r="A61">
        <v>1885</v>
      </c>
      <c r="B61" s="1">
        <v>45018</v>
      </c>
      <c r="C61" t="s">
        <v>74</v>
      </c>
      <c r="D61" t="s">
        <v>17</v>
      </c>
      <c r="E61" t="s">
        <v>53</v>
      </c>
      <c r="F61" t="s">
        <v>34</v>
      </c>
      <c r="G61" t="s">
        <v>35</v>
      </c>
      <c r="H61" t="s">
        <v>36</v>
      </c>
      <c r="I61" t="s">
        <v>37</v>
      </c>
      <c r="J61">
        <v>8</v>
      </c>
      <c r="K61" s="3">
        <v>280.52</v>
      </c>
      <c r="L61" s="2">
        <v>236.65</v>
      </c>
      <c r="M61" s="2">
        <f>Table1[[#This Row],[UnitPrice]]*Table1[[#This Row],[Quantity]]</f>
        <v>2244.16</v>
      </c>
      <c r="N61" s="2">
        <f>Table1[[#This Row],[CostPrice]]*Table1[[#This Row],[Quantity]]</f>
        <v>1893.2</v>
      </c>
      <c r="O61" s="2">
        <v>104.1</v>
      </c>
      <c r="P61" s="4">
        <v>0.11</v>
      </c>
      <c r="Q61" t="s">
        <v>38</v>
      </c>
      <c r="R61" s="4">
        <f t="shared" si="0"/>
        <v>4.6387066875802081E-2</v>
      </c>
    </row>
    <row r="62" spans="1:18" x14ac:dyDescent="0.25">
      <c r="A62">
        <v>1135</v>
      </c>
      <c r="B62" s="1">
        <v>45048</v>
      </c>
      <c r="C62" t="s">
        <v>145</v>
      </c>
      <c r="D62" t="s">
        <v>25</v>
      </c>
      <c r="E62" t="s">
        <v>18</v>
      </c>
      <c r="F62" t="s">
        <v>40</v>
      </c>
      <c r="G62" t="s">
        <v>35</v>
      </c>
      <c r="H62" t="s">
        <v>70</v>
      </c>
      <c r="I62" t="s">
        <v>98</v>
      </c>
      <c r="J62">
        <v>10</v>
      </c>
      <c r="K62" s="3">
        <v>157.66999999999999</v>
      </c>
      <c r="L62" s="2">
        <v>103.66</v>
      </c>
      <c r="M62" s="2">
        <f>Table1[[#This Row],[UnitPrice]]*Table1[[#This Row],[Quantity]]</f>
        <v>1576.6999999999998</v>
      </c>
      <c r="N62" s="2">
        <f>Table1[[#This Row],[CostPrice]]*Table1[[#This Row],[Quantity]]</f>
        <v>1036.5999999999999</v>
      </c>
      <c r="O62" s="2">
        <v>366.66</v>
      </c>
      <c r="P62" s="4">
        <v>0.11</v>
      </c>
      <c r="Q62" t="s">
        <v>55</v>
      </c>
      <c r="R62" s="4">
        <f t="shared" si="0"/>
        <v>0.23254899473584073</v>
      </c>
    </row>
    <row r="63" spans="1:18" x14ac:dyDescent="0.25">
      <c r="A63">
        <v>1575</v>
      </c>
      <c r="B63" s="1">
        <v>45048</v>
      </c>
      <c r="C63" t="s">
        <v>94</v>
      </c>
      <c r="D63" t="s">
        <v>17</v>
      </c>
      <c r="E63" t="s">
        <v>33</v>
      </c>
      <c r="F63" t="s">
        <v>19</v>
      </c>
      <c r="G63" t="s">
        <v>35</v>
      </c>
      <c r="H63" t="s">
        <v>70</v>
      </c>
      <c r="I63" t="s">
        <v>71</v>
      </c>
      <c r="J63">
        <v>5</v>
      </c>
      <c r="K63" s="3">
        <v>640.75</v>
      </c>
      <c r="L63" s="2">
        <v>477.5</v>
      </c>
      <c r="M63" s="2">
        <f>Table1[[#This Row],[UnitPrice]]*Table1[[#This Row],[Quantity]]</f>
        <v>3203.75</v>
      </c>
      <c r="N63" s="2">
        <f>Table1[[#This Row],[CostPrice]]*Table1[[#This Row],[Quantity]]</f>
        <v>2387.5</v>
      </c>
      <c r="O63" s="2">
        <v>-48.76</v>
      </c>
      <c r="P63" s="4">
        <v>0.27</v>
      </c>
      <c r="Q63" t="s">
        <v>44</v>
      </c>
      <c r="R63" s="4">
        <f t="shared" si="0"/>
        <v>-1.5219664455715957E-2</v>
      </c>
    </row>
    <row r="64" spans="1:18" x14ac:dyDescent="0.25">
      <c r="A64">
        <v>1076</v>
      </c>
      <c r="B64" s="1">
        <v>45079</v>
      </c>
      <c r="C64" t="s">
        <v>143</v>
      </c>
      <c r="D64" t="s">
        <v>25</v>
      </c>
      <c r="E64" t="s">
        <v>18</v>
      </c>
      <c r="F64" t="s">
        <v>19</v>
      </c>
      <c r="G64" t="s">
        <v>41</v>
      </c>
      <c r="H64" t="s">
        <v>42</v>
      </c>
      <c r="I64" t="s">
        <v>68</v>
      </c>
      <c r="J64">
        <v>2</v>
      </c>
      <c r="K64" s="3">
        <v>761.57</v>
      </c>
      <c r="L64" s="2">
        <v>568.41</v>
      </c>
      <c r="M64" s="2">
        <f>Table1[[#This Row],[UnitPrice]]*Table1[[#This Row],[Quantity]]</f>
        <v>1523.14</v>
      </c>
      <c r="N64" s="2">
        <f>Table1[[#This Row],[CostPrice]]*Table1[[#This Row],[Quantity]]</f>
        <v>1136.82</v>
      </c>
      <c r="O64" s="2">
        <v>340.63</v>
      </c>
      <c r="P64" s="4">
        <v>0.03</v>
      </c>
      <c r="Q64" t="s">
        <v>92</v>
      </c>
      <c r="R64" s="4">
        <f t="shared" si="0"/>
        <v>0.22363669787412843</v>
      </c>
    </row>
    <row r="65" spans="1:18" x14ac:dyDescent="0.25">
      <c r="A65">
        <v>1067</v>
      </c>
      <c r="B65" s="1">
        <v>45109</v>
      </c>
      <c r="C65" t="s">
        <v>135</v>
      </c>
      <c r="D65" t="s">
        <v>32</v>
      </c>
      <c r="E65" t="s">
        <v>18</v>
      </c>
      <c r="F65" t="s">
        <v>40</v>
      </c>
      <c r="G65" t="s">
        <v>20</v>
      </c>
      <c r="H65" t="s">
        <v>28</v>
      </c>
      <c r="I65" t="s">
        <v>90</v>
      </c>
      <c r="J65">
        <v>9</v>
      </c>
      <c r="K65" s="3">
        <v>464.67</v>
      </c>
      <c r="L65" s="2">
        <v>241.15</v>
      </c>
      <c r="M65" s="2">
        <f>Table1[[#This Row],[UnitPrice]]*Table1[[#This Row],[Quantity]]</f>
        <v>4182.03</v>
      </c>
      <c r="N65" s="2">
        <f>Table1[[#This Row],[CostPrice]]*Table1[[#This Row],[Quantity]]</f>
        <v>2170.35</v>
      </c>
      <c r="O65" s="2">
        <v>1342.56</v>
      </c>
      <c r="P65" s="4">
        <v>0.16</v>
      </c>
      <c r="Q65" t="s">
        <v>125</v>
      </c>
      <c r="R65" s="4">
        <f t="shared" si="0"/>
        <v>0.32103069561911324</v>
      </c>
    </row>
    <row r="66" spans="1:18" x14ac:dyDescent="0.25">
      <c r="A66">
        <v>1652</v>
      </c>
      <c r="B66" s="1">
        <v>45109</v>
      </c>
      <c r="C66" t="s">
        <v>76</v>
      </c>
      <c r="D66" t="s">
        <v>17</v>
      </c>
      <c r="E66" t="s">
        <v>26</v>
      </c>
      <c r="F66" t="s">
        <v>34</v>
      </c>
      <c r="G66" t="s">
        <v>20</v>
      </c>
      <c r="H66" t="s">
        <v>113</v>
      </c>
      <c r="I66" t="s">
        <v>153</v>
      </c>
      <c r="J66">
        <v>2</v>
      </c>
      <c r="K66" s="3">
        <v>870.57</v>
      </c>
      <c r="L66" s="2">
        <v>608.69000000000005</v>
      </c>
      <c r="M66" s="2">
        <f>Table1[[#This Row],[UnitPrice]]*Table1[[#This Row],[Quantity]]</f>
        <v>1741.14</v>
      </c>
      <c r="N66" s="2">
        <f>Table1[[#This Row],[CostPrice]]*Table1[[#This Row],[Quantity]]</f>
        <v>1217.3800000000001</v>
      </c>
      <c r="O66" s="2">
        <v>262.58999999999997</v>
      </c>
      <c r="P66" s="4">
        <v>0.15</v>
      </c>
      <c r="Q66" t="s">
        <v>38</v>
      </c>
      <c r="R66" s="4">
        <f t="shared" ref="R66:R129" si="1">O66/M66</f>
        <v>0.15081498328681206</v>
      </c>
    </row>
    <row r="67" spans="1:18" x14ac:dyDescent="0.25">
      <c r="A67">
        <v>1118</v>
      </c>
      <c r="B67" s="1">
        <v>45140</v>
      </c>
      <c r="C67" t="s">
        <v>174</v>
      </c>
      <c r="D67" t="s">
        <v>17</v>
      </c>
      <c r="E67" t="s">
        <v>26</v>
      </c>
      <c r="F67" t="s">
        <v>27</v>
      </c>
      <c r="G67" t="s">
        <v>20</v>
      </c>
      <c r="H67" t="s">
        <v>21</v>
      </c>
      <c r="I67" t="s">
        <v>132</v>
      </c>
      <c r="J67">
        <v>10</v>
      </c>
      <c r="K67" s="3">
        <v>810</v>
      </c>
      <c r="L67" s="2">
        <v>451.93</v>
      </c>
      <c r="M67" s="2">
        <f>Table1[[#This Row],[UnitPrice]]*Table1[[#This Row],[Quantity]]</f>
        <v>8100</v>
      </c>
      <c r="N67" s="2">
        <f>Table1[[#This Row],[CostPrice]]*Table1[[#This Row],[Quantity]]</f>
        <v>4519.3</v>
      </c>
      <c r="O67" s="2">
        <v>2527.6999999999998</v>
      </c>
      <c r="P67" s="4">
        <v>0.13</v>
      </c>
      <c r="Q67" t="s">
        <v>75</v>
      </c>
      <c r="R67" s="4">
        <f t="shared" si="1"/>
        <v>0.31206172839506169</v>
      </c>
    </row>
    <row r="68" spans="1:18" x14ac:dyDescent="0.25">
      <c r="A68">
        <v>1164</v>
      </c>
      <c r="B68" s="1">
        <v>45140</v>
      </c>
      <c r="C68" t="s">
        <v>197</v>
      </c>
      <c r="D68" t="s">
        <v>25</v>
      </c>
      <c r="E68" t="s">
        <v>53</v>
      </c>
      <c r="F68" t="s">
        <v>19</v>
      </c>
      <c r="G68" t="s">
        <v>20</v>
      </c>
      <c r="H68" t="s">
        <v>28</v>
      </c>
      <c r="I68" t="s">
        <v>61</v>
      </c>
      <c r="J68">
        <v>3</v>
      </c>
      <c r="K68" s="3">
        <v>936.93</v>
      </c>
      <c r="L68" s="2">
        <v>783.97</v>
      </c>
      <c r="M68" s="2">
        <f>Table1[[#This Row],[UnitPrice]]*Table1[[#This Row],[Quantity]]</f>
        <v>2810.79</v>
      </c>
      <c r="N68" s="2">
        <f>Table1[[#This Row],[CostPrice]]*Table1[[#This Row],[Quantity]]</f>
        <v>2351.91</v>
      </c>
      <c r="O68" s="2">
        <v>-328.14</v>
      </c>
      <c r="P68" s="4">
        <v>0.28000000000000003</v>
      </c>
      <c r="Q68" t="s">
        <v>51</v>
      </c>
      <c r="R68" s="4">
        <f t="shared" si="1"/>
        <v>-0.11674297973167685</v>
      </c>
    </row>
    <row r="69" spans="1:18" x14ac:dyDescent="0.25">
      <c r="A69">
        <v>1336</v>
      </c>
      <c r="B69" s="1">
        <v>45140</v>
      </c>
      <c r="C69" t="s">
        <v>251</v>
      </c>
      <c r="D69" t="s">
        <v>25</v>
      </c>
      <c r="E69" t="s">
        <v>26</v>
      </c>
      <c r="F69" t="s">
        <v>40</v>
      </c>
      <c r="G69" t="s">
        <v>41</v>
      </c>
      <c r="H69" t="s">
        <v>42</v>
      </c>
      <c r="I69" t="s">
        <v>43</v>
      </c>
      <c r="J69">
        <v>4</v>
      </c>
      <c r="K69" s="3">
        <v>911.43</v>
      </c>
      <c r="L69" s="2">
        <v>585.75</v>
      </c>
      <c r="M69" s="2">
        <f>Table1[[#This Row],[UnitPrice]]*Table1[[#This Row],[Quantity]]</f>
        <v>3645.72</v>
      </c>
      <c r="N69" s="2">
        <f>Table1[[#This Row],[CostPrice]]*Table1[[#This Row],[Quantity]]</f>
        <v>2343</v>
      </c>
      <c r="O69" s="2">
        <v>792.32</v>
      </c>
      <c r="P69" s="4">
        <v>0.14000000000000001</v>
      </c>
      <c r="Q69" t="s">
        <v>75</v>
      </c>
      <c r="R69" s="4">
        <f t="shared" si="1"/>
        <v>0.21732881296424303</v>
      </c>
    </row>
    <row r="70" spans="1:18" x14ac:dyDescent="0.25">
      <c r="A70">
        <v>1492</v>
      </c>
      <c r="B70" s="1">
        <v>45140</v>
      </c>
      <c r="C70" t="s">
        <v>160</v>
      </c>
      <c r="D70" t="s">
        <v>32</v>
      </c>
      <c r="E70" t="s">
        <v>26</v>
      </c>
      <c r="F70" t="s">
        <v>40</v>
      </c>
      <c r="G70" t="s">
        <v>35</v>
      </c>
      <c r="H70" t="s">
        <v>70</v>
      </c>
      <c r="I70" t="s">
        <v>98</v>
      </c>
      <c r="J70">
        <v>9</v>
      </c>
      <c r="K70" s="3">
        <v>709.07</v>
      </c>
      <c r="L70" s="2">
        <v>545.88</v>
      </c>
      <c r="M70" s="2">
        <f>Table1[[#This Row],[UnitPrice]]*Table1[[#This Row],[Quantity]]</f>
        <v>6381.63</v>
      </c>
      <c r="N70" s="2">
        <f>Table1[[#This Row],[CostPrice]]*Table1[[#This Row],[Quantity]]</f>
        <v>4912.92</v>
      </c>
      <c r="O70" s="2">
        <v>575.28</v>
      </c>
      <c r="P70" s="4">
        <v>0.14000000000000001</v>
      </c>
      <c r="Q70" t="s">
        <v>75</v>
      </c>
      <c r="R70" s="4">
        <f t="shared" si="1"/>
        <v>9.0146247902181731E-2</v>
      </c>
    </row>
    <row r="71" spans="1:18" x14ac:dyDescent="0.25">
      <c r="A71">
        <v>1426</v>
      </c>
      <c r="B71" s="1">
        <v>45201</v>
      </c>
      <c r="C71" t="s">
        <v>151</v>
      </c>
      <c r="D71" t="s">
        <v>17</v>
      </c>
      <c r="E71" t="s">
        <v>18</v>
      </c>
      <c r="F71" t="s">
        <v>40</v>
      </c>
      <c r="G71" t="s">
        <v>35</v>
      </c>
      <c r="H71" t="s">
        <v>49</v>
      </c>
      <c r="I71" t="s">
        <v>59</v>
      </c>
      <c r="J71">
        <v>3</v>
      </c>
      <c r="K71" s="3">
        <v>23.28</v>
      </c>
      <c r="L71" s="2">
        <v>17.22</v>
      </c>
      <c r="M71" s="2">
        <f>Table1[[#This Row],[UnitPrice]]*Table1[[#This Row],[Quantity]]</f>
        <v>69.84</v>
      </c>
      <c r="N71" s="2">
        <f>Table1[[#This Row],[CostPrice]]*Table1[[#This Row],[Quantity]]</f>
        <v>51.66</v>
      </c>
      <c r="O71" s="2">
        <v>10.5</v>
      </c>
      <c r="P71" s="4">
        <v>0.11</v>
      </c>
      <c r="Q71" t="s">
        <v>30</v>
      </c>
      <c r="R71" s="4">
        <f t="shared" si="1"/>
        <v>0.15034364261168384</v>
      </c>
    </row>
    <row r="72" spans="1:18" x14ac:dyDescent="0.25">
      <c r="A72">
        <v>1588</v>
      </c>
      <c r="B72" s="1">
        <v>45262</v>
      </c>
      <c r="C72" t="s">
        <v>185</v>
      </c>
      <c r="D72" t="s">
        <v>32</v>
      </c>
      <c r="E72" t="s">
        <v>26</v>
      </c>
      <c r="F72" t="s">
        <v>27</v>
      </c>
      <c r="G72" t="s">
        <v>35</v>
      </c>
      <c r="H72" t="s">
        <v>49</v>
      </c>
      <c r="I72" t="s">
        <v>66</v>
      </c>
      <c r="J72">
        <v>2</v>
      </c>
      <c r="K72" s="3">
        <v>320.73</v>
      </c>
      <c r="L72" s="2">
        <v>219.91</v>
      </c>
      <c r="M72" s="2">
        <f>Table1[[#This Row],[UnitPrice]]*Table1[[#This Row],[Quantity]]</f>
        <v>641.46</v>
      </c>
      <c r="N72" s="2">
        <f>Table1[[#This Row],[CostPrice]]*Table1[[#This Row],[Quantity]]</f>
        <v>439.82</v>
      </c>
      <c r="O72" s="2">
        <v>175.98</v>
      </c>
      <c r="P72" s="4">
        <v>0.04</v>
      </c>
      <c r="Q72" t="s">
        <v>44</v>
      </c>
      <c r="R72" s="4">
        <f t="shared" si="1"/>
        <v>0.27434290524740435</v>
      </c>
    </row>
    <row r="73" spans="1:18" x14ac:dyDescent="0.25">
      <c r="A73">
        <v>1645</v>
      </c>
      <c r="B73" s="1">
        <v>45262</v>
      </c>
      <c r="C73" t="s">
        <v>191</v>
      </c>
      <c r="D73" t="s">
        <v>32</v>
      </c>
      <c r="E73" t="s">
        <v>18</v>
      </c>
      <c r="F73" t="s">
        <v>19</v>
      </c>
      <c r="G73" t="s">
        <v>20</v>
      </c>
      <c r="H73" t="s">
        <v>21</v>
      </c>
      <c r="I73" t="s">
        <v>79</v>
      </c>
      <c r="J73">
        <v>5</v>
      </c>
      <c r="K73" s="3">
        <v>599.88</v>
      </c>
      <c r="L73" s="2">
        <v>476.2</v>
      </c>
      <c r="M73" s="2">
        <f>Table1[[#This Row],[UnitPrice]]*Table1[[#This Row],[Quantity]]</f>
        <v>2999.4</v>
      </c>
      <c r="N73" s="2">
        <f>Table1[[#This Row],[CostPrice]]*Table1[[#This Row],[Quantity]]</f>
        <v>2381</v>
      </c>
      <c r="O73" s="2">
        <v>288.47000000000003</v>
      </c>
      <c r="P73" s="4">
        <v>0.11</v>
      </c>
      <c r="Q73" t="s">
        <v>85</v>
      </c>
      <c r="R73" s="4">
        <f t="shared" si="1"/>
        <v>9.6175901847036074E-2</v>
      </c>
    </row>
    <row r="74" spans="1:18" x14ac:dyDescent="0.25">
      <c r="A74">
        <v>1311</v>
      </c>
      <c r="B74" s="1">
        <v>44974</v>
      </c>
      <c r="C74" t="s">
        <v>168</v>
      </c>
      <c r="D74" t="s">
        <v>17</v>
      </c>
      <c r="E74" t="s">
        <v>18</v>
      </c>
      <c r="F74" t="s">
        <v>34</v>
      </c>
      <c r="G74" t="s">
        <v>41</v>
      </c>
      <c r="H74" t="s">
        <v>63</v>
      </c>
      <c r="I74" t="s">
        <v>64</v>
      </c>
      <c r="J74">
        <v>10</v>
      </c>
      <c r="K74" s="3">
        <v>725.15</v>
      </c>
      <c r="L74" s="2">
        <v>419.42</v>
      </c>
      <c r="M74" s="2">
        <f>Table1[[#This Row],[UnitPrice]]*Table1[[#This Row],[Quantity]]</f>
        <v>7251.5</v>
      </c>
      <c r="N74" s="2">
        <f>Table1[[#This Row],[CostPrice]]*Table1[[#This Row],[Quantity]]</f>
        <v>4194.2</v>
      </c>
      <c r="O74" s="2">
        <v>954.36</v>
      </c>
      <c r="P74" s="4">
        <v>0.28999999999999998</v>
      </c>
      <c r="Q74" t="s">
        <v>85</v>
      </c>
      <c r="R74" s="4">
        <f t="shared" si="1"/>
        <v>0.13160863269668344</v>
      </c>
    </row>
    <row r="75" spans="1:18" x14ac:dyDescent="0.25">
      <c r="A75">
        <v>1616</v>
      </c>
      <c r="B75" s="1">
        <v>44974</v>
      </c>
      <c r="C75" t="s">
        <v>169</v>
      </c>
      <c r="D75" t="s">
        <v>17</v>
      </c>
      <c r="E75" t="s">
        <v>18</v>
      </c>
      <c r="F75" t="s">
        <v>19</v>
      </c>
      <c r="G75" t="s">
        <v>41</v>
      </c>
      <c r="H75" t="s">
        <v>63</v>
      </c>
      <c r="I75" t="s">
        <v>64</v>
      </c>
      <c r="J75">
        <v>2</v>
      </c>
      <c r="K75" s="3">
        <v>707.87</v>
      </c>
      <c r="L75" s="2">
        <v>583.51</v>
      </c>
      <c r="M75" s="2">
        <f>Table1[[#This Row],[UnitPrice]]*Table1[[#This Row],[Quantity]]</f>
        <v>1415.74</v>
      </c>
      <c r="N75" s="2">
        <f>Table1[[#This Row],[CostPrice]]*Table1[[#This Row],[Quantity]]</f>
        <v>1167.02</v>
      </c>
      <c r="O75" s="2">
        <v>64.67</v>
      </c>
      <c r="P75" s="4">
        <v>0.13</v>
      </c>
      <c r="Q75" t="s">
        <v>55</v>
      </c>
      <c r="R75" s="4">
        <f t="shared" si="1"/>
        <v>4.5679291395312696E-2</v>
      </c>
    </row>
    <row r="76" spans="1:18" x14ac:dyDescent="0.25">
      <c r="A76">
        <v>1656</v>
      </c>
      <c r="B76" s="1">
        <v>44975</v>
      </c>
      <c r="C76" t="s">
        <v>144</v>
      </c>
      <c r="D76" t="s">
        <v>32</v>
      </c>
      <c r="E76" t="s">
        <v>53</v>
      </c>
      <c r="F76" t="s">
        <v>40</v>
      </c>
      <c r="G76" t="s">
        <v>20</v>
      </c>
      <c r="H76" t="s">
        <v>28</v>
      </c>
      <c r="I76" t="s">
        <v>81</v>
      </c>
      <c r="J76">
        <v>6</v>
      </c>
      <c r="K76" s="3">
        <v>86.4</v>
      </c>
      <c r="L76" s="2">
        <v>60.49</v>
      </c>
      <c r="M76" s="2">
        <f>Table1[[#This Row],[UnitPrice]]*Table1[[#This Row],[Quantity]]</f>
        <v>518.40000000000009</v>
      </c>
      <c r="N76" s="2">
        <f>Table1[[#This Row],[CostPrice]]*Table1[[#This Row],[Quantity]]</f>
        <v>362.94</v>
      </c>
      <c r="O76" s="2">
        <v>150.28</v>
      </c>
      <c r="P76" s="4">
        <v>0.01</v>
      </c>
      <c r="Q76" t="s">
        <v>23</v>
      </c>
      <c r="R76" s="4">
        <f t="shared" si="1"/>
        <v>0.28989197530864191</v>
      </c>
    </row>
    <row r="77" spans="1:18" x14ac:dyDescent="0.25">
      <c r="A77">
        <v>1772</v>
      </c>
      <c r="B77" s="1">
        <v>44975</v>
      </c>
      <c r="C77" t="s">
        <v>228</v>
      </c>
      <c r="D77" t="s">
        <v>25</v>
      </c>
      <c r="E77" t="s">
        <v>33</v>
      </c>
      <c r="F77" t="s">
        <v>40</v>
      </c>
      <c r="G77" t="s">
        <v>20</v>
      </c>
      <c r="H77" t="s">
        <v>28</v>
      </c>
      <c r="I77" t="s">
        <v>61</v>
      </c>
      <c r="J77">
        <v>5</v>
      </c>
      <c r="K77" s="3">
        <v>908.94</v>
      </c>
      <c r="L77" s="2">
        <v>486.53</v>
      </c>
      <c r="M77" s="2">
        <f>Table1[[#This Row],[UnitPrice]]*Table1[[#This Row],[Quantity]]</f>
        <v>4544.7000000000007</v>
      </c>
      <c r="N77" s="2">
        <f>Table1[[#This Row],[CostPrice]]*Table1[[#This Row],[Quantity]]</f>
        <v>2432.6499999999996</v>
      </c>
      <c r="O77" s="2">
        <v>1839.37</v>
      </c>
      <c r="P77" s="4">
        <v>0.06</v>
      </c>
      <c r="Q77" t="s">
        <v>55</v>
      </c>
      <c r="R77" s="4">
        <f t="shared" si="1"/>
        <v>0.40472858494510078</v>
      </c>
    </row>
    <row r="78" spans="1:18" x14ac:dyDescent="0.25">
      <c r="A78">
        <v>1538</v>
      </c>
      <c r="B78" s="1">
        <v>44976</v>
      </c>
      <c r="C78" t="s">
        <v>231</v>
      </c>
      <c r="D78" t="s">
        <v>17</v>
      </c>
      <c r="E78" t="s">
        <v>33</v>
      </c>
      <c r="F78" t="s">
        <v>19</v>
      </c>
      <c r="G78" t="s">
        <v>41</v>
      </c>
      <c r="H78" t="s">
        <v>42</v>
      </c>
      <c r="I78" t="s">
        <v>77</v>
      </c>
      <c r="J78">
        <v>10</v>
      </c>
      <c r="K78" s="3">
        <v>753.87</v>
      </c>
      <c r="L78" s="2">
        <v>520.4</v>
      </c>
      <c r="M78" s="2">
        <f>Table1[[#This Row],[UnitPrice]]*Table1[[#This Row],[Quantity]]</f>
        <v>7538.7</v>
      </c>
      <c r="N78" s="2">
        <f>Table1[[#This Row],[CostPrice]]*Table1[[#This Row],[Quantity]]</f>
        <v>5204</v>
      </c>
      <c r="O78" s="2">
        <v>374.64</v>
      </c>
      <c r="P78" s="4">
        <v>0.26</v>
      </c>
      <c r="Q78" t="s">
        <v>30</v>
      </c>
      <c r="R78" s="4">
        <f t="shared" si="1"/>
        <v>4.9695570854391337E-2</v>
      </c>
    </row>
    <row r="79" spans="1:18" x14ac:dyDescent="0.25">
      <c r="A79">
        <v>1020</v>
      </c>
      <c r="B79" s="1">
        <v>44978</v>
      </c>
      <c r="C79" t="s">
        <v>82</v>
      </c>
      <c r="D79" t="s">
        <v>17</v>
      </c>
      <c r="E79" t="s">
        <v>26</v>
      </c>
      <c r="F79" t="s">
        <v>34</v>
      </c>
      <c r="G79" t="s">
        <v>41</v>
      </c>
      <c r="H79" t="s">
        <v>42</v>
      </c>
      <c r="I79" t="s">
        <v>77</v>
      </c>
      <c r="J79">
        <v>2</v>
      </c>
      <c r="K79" s="3">
        <v>597.05999999999995</v>
      </c>
      <c r="L79" s="2">
        <v>439.63</v>
      </c>
      <c r="M79" s="2">
        <f>Table1[[#This Row],[UnitPrice]]*Table1[[#This Row],[Quantity]]</f>
        <v>1194.1199999999999</v>
      </c>
      <c r="N79" s="2">
        <f>Table1[[#This Row],[CostPrice]]*Table1[[#This Row],[Quantity]]</f>
        <v>879.26</v>
      </c>
      <c r="O79" s="2">
        <v>231.27</v>
      </c>
      <c r="P79" s="4">
        <v>7.0000000000000007E-2</v>
      </c>
      <c r="Q79" t="s">
        <v>44</v>
      </c>
      <c r="R79" s="4">
        <f t="shared" si="1"/>
        <v>0.19367400261280276</v>
      </c>
    </row>
    <row r="80" spans="1:18" x14ac:dyDescent="0.25">
      <c r="A80">
        <v>1045</v>
      </c>
      <c r="B80" s="1">
        <v>44978</v>
      </c>
      <c r="C80" t="s">
        <v>86</v>
      </c>
      <c r="D80" t="s">
        <v>32</v>
      </c>
      <c r="E80" t="s">
        <v>26</v>
      </c>
      <c r="F80" t="s">
        <v>27</v>
      </c>
      <c r="G80" t="s">
        <v>35</v>
      </c>
      <c r="H80" t="s">
        <v>49</v>
      </c>
      <c r="I80" t="s">
        <v>50</v>
      </c>
      <c r="J80">
        <v>5</v>
      </c>
      <c r="K80" s="3">
        <v>753.25</v>
      </c>
      <c r="L80" s="2">
        <v>595.95000000000005</v>
      </c>
      <c r="M80" s="2">
        <f>Table1[[#This Row],[UnitPrice]]*Table1[[#This Row],[Quantity]]</f>
        <v>3766.25</v>
      </c>
      <c r="N80" s="2">
        <f>Table1[[#This Row],[CostPrice]]*Table1[[#This Row],[Quantity]]</f>
        <v>2979.75</v>
      </c>
      <c r="O80" s="2">
        <v>485.2</v>
      </c>
      <c r="P80" s="4">
        <v>0.08</v>
      </c>
      <c r="Q80" t="s">
        <v>44</v>
      </c>
      <c r="R80" s="4">
        <f t="shared" si="1"/>
        <v>0.12882841022236974</v>
      </c>
    </row>
    <row r="81" spans="1:18" x14ac:dyDescent="0.25">
      <c r="A81">
        <v>1872</v>
      </c>
      <c r="B81" s="1">
        <v>44978</v>
      </c>
      <c r="C81" t="s">
        <v>56</v>
      </c>
      <c r="D81" t="s">
        <v>32</v>
      </c>
      <c r="E81" t="s">
        <v>18</v>
      </c>
      <c r="F81" t="s">
        <v>19</v>
      </c>
      <c r="G81" t="s">
        <v>20</v>
      </c>
      <c r="H81" t="s">
        <v>113</v>
      </c>
      <c r="I81" t="s">
        <v>153</v>
      </c>
      <c r="J81">
        <v>3</v>
      </c>
      <c r="K81" s="3">
        <v>995.93</v>
      </c>
      <c r="L81" s="2">
        <v>566.54</v>
      </c>
      <c r="M81" s="2">
        <f>Table1[[#This Row],[UnitPrice]]*Table1[[#This Row],[Quantity]]</f>
        <v>2987.79</v>
      </c>
      <c r="N81" s="2">
        <f>Table1[[#This Row],[CostPrice]]*Table1[[#This Row],[Quantity]]</f>
        <v>1699.62</v>
      </c>
      <c r="O81" s="2">
        <v>750.37</v>
      </c>
      <c r="P81" s="4">
        <v>0.18</v>
      </c>
      <c r="Q81" t="s">
        <v>44</v>
      </c>
      <c r="R81" s="4">
        <f t="shared" si="1"/>
        <v>0.25114549550001841</v>
      </c>
    </row>
    <row r="82" spans="1:18" x14ac:dyDescent="0.25">
      <c r="A82">
        <v>1058</v>
      </c>
      <c r="B82" s="1">
        <v>44979</v>
      </c>
      <c r="C82" t="s">
        <v>95</v>
      </c>
      <c r="D82" t="s">
        <v>32</v>
      </c>
      <c r="E82" t="s">
        <v>33</v>
      </c>
      <c r="F82" t="s">
        <v>34</v>
      </c>
      <c r="G82" t="s">
        <v>35</v>
      </c>
      <c r="H82" t="s">
        <v>49</v>
      </c>
      <c r="I82" t="s">
        <v>66</v>
      </c>
      <c r="J82">
        <v>10</v>
      </c>
      <c r="K82" s="3">
        <v>631.29999999999995</v>
      </c>
      <c r="L82" s="2">
        <v>327.5</v>
      </c>
      <c r="M82" s="2">
        <f>Table1[[#This Row],[UnitPrice]]*Table1[[#This Row],[Quantity]]</f>
        <v>6313</v>
      </c>
      <c r="N82" s="2">
        <f>Table1[[#This Row],[CostPrice]]*Table1[[#This Row],[Quantity]]</f>
        <v>3275</v>
      </c>
      <c r="O82" s="2">
        <v>2785.48</v>
      </c>
      <c r="P82" s="4">
        <v>0.04</v>
      </c>
      <c r="Q82" t="s">
        <v>125</v>
      </c>
      <c r="R82" s="4">
        <f t="shared" si="1"/>
        <v>0.44122920956755901</v>
      </c>
    </row>
    <row r="83" spans="1:18" x14ac:dyDescent="0.25">
      <c r="A83">
        <v>1184</v>
      </c>
      <c r="B83" s="1">
        <v>44979</v>
      </c>
      <c r="C83" t="s">
        <v>86</v>
      </c>
      <c r="D83" t="s">
        <v>17</v>
      </c>
      <c r="E83" t="s">
        <v>33</v>
      </c>
      <c r="F83" t="s">
        <v>34</v>
      </c>
      <c r="G83" t="s">
        <v>20</v>
      </c>
      <c r="H83" t="s">
        <v>113</v>
      </c>
      <c r="I83" t="s">
        <v>161</v>
      </c>
      <c r="J83">
        <v>9</v>
      </c>
      <c r="K83" s="3">
        <v>220.93</v>
      </c>
      <c r="L83" s="2">
        <v>126.62</v>
      </c>
      <c r="M83" s="2">
        <f>Table1[[#This Row],[UnitPrice]]*Table1[[#This Row],[Quantity]]</f>
        <v>1988.3700000000001</v>
      </c>
      <c r="N83" s="2">
        <f>Table1[[#This Row],[CostPrice]]*Table1[[#This Row],[Quantity]]</f>
        <v>1139.58</v>
      </c>
      <c r="O83" s="2">
        <v>311.93</v>
      </c>
      <c r="P83" s="4">
        <v>0.27</v>
      </c>
      <c r="Q83" t="s">
        <v>30</v>
      </c>
      <c r="R83" s="4">
        <f t="shared" si="1"/>
        <v>0.15687724115732987</v>
      </c>
    </row>
    <row r="84" spans="1:18" x14ac:dyDescent="0.25">
      <c r="A84">
        <v>1517</v>
      </c>
      <c r="B84" s="1">
        <v>44979</v>
      </c>
      <c r="C84" t="s">
        <v>118</v>
      </c>
      <c r="D84" t="s">
        <v>32</v>
      </c>
      <c r="E84" t="s">
        <v>53</v>
      </c>
      <c r="F84" t="s">
        <v>34</v>
      </c>
      <c r="G84" t="s">
        <v>35</v>
      </c>
      <c r="H84" t="s">
        <v>49</v>
      </c>
      <c r="I84" t="s">
        <v>66</v>
      </c>
      <c r="J84">
        <v>9</v>
      </c>
      <c r="K84" s="3">
        <v>706.35</v>
      </c>
      <c r="L84" s="2">
        <v>491.81</v>
      </c>
      <c r="M84" s="2">
        <f>Table1[[#This Row],[UnitPrice]]*Table1[[#This Row],[Quantity]]</f>
        <v>6357.1500000000005</v>
      </c>
      <c r="N84" s="2">
        <f>Table1[[#This Row],[CostPrice]]*Table1[[#This Row],[Quantity]]</f>
        <v>4426.29</v>
      </c>
      <c r="O84" s="2">
        <v>468.72</v>
      </c>
      <c r="P84" s="4">
        <v>0.23</v>
      </c>
      <c r="Q84" t="s">
        <v>92</v>
      </c>
      <c r="R84" s="4">
        <f t="shared" si="1"/>
        <v>7.3731153111063916E-2</v>
      </c>
    </row>
    <row r="85" spans="1:18" x14ac:dyDescent="0.25">
      <c r="A85">
        <v>1760</v>
      </c>
      <c r="B85" s="1">
        <v>44979</v>
      </c>
      <c r="C85" t="s">
        <v>78</v>
      </c>
      <c r="D85" t="s">
        <v>32</v>
      </c>
      <c r="E85" t="s">
        <v>26</v>
      </c>
      <c r="F85" t="s">
        <v>40</v>
      </c>
      <c r="G85" t="s">
        <v>20</v>
      </c>
      <c r="H85" t="s">
        <v>28</v>
      </c>
      <c r="I85" t="s">
        <v>81</v>
      </c>
      <c r="J85">
        <v>9</v>
      </c>
      <c r="K85" s="3">
        <v>851.52</v>
      </c>
      <c r="L85" s="2">
        <v>681.41</v>
      </c>
      <c r="M85" s="2">
        <f>Table1[[#This Row],[UnitPrice]]*Table1[[#This Row],[Quantity]]</f>
        <v>7663.68</v>
      </c>
      <c r="N85" s="2">
        <f>Table1[[#This Row],[CostPrice]]*Table1[[#This Row],[Quantity]]</f>
        <v>6132.69</v>
      </c>
      <c r="O85" s="2">
        <v>841.26</v>
      </c>
      <c r="P85" s="4">
        <v>0.09</v>
      </c>
      <c r="Q85" t="s">
        <v>55</v>
      </c>
      <c r="R85" s="4">
        <f t="shared" si="1"/>
        <v>0.10977232869848427</v>
      </c>
    </row>
    <row r="86" spans="1:18" x14ac:dyDescent="0.25">
      <c r="A86">
        <v>1230</v>
      </c>
      <c r="B86" s="1">
        <v>44980</v>
      </c>
      <c r="C86" t="s">
        <v>156</v>
      </c>
      <c r="D86" t="s">
        <v>32</v>
      </c>
      <c r="E86" t="s">
        <v>26</v>
      </c>
      <c r="F86" t="s">
        <v>27</v>
      </c>
      <c r="G86" t="s">
        <v>41</v>
      </c>
      <c r="H86" t="s">
        <v>42</v>
      </c>
      <c r="I86" t="s">
        <v>43</v>
      </c>
      <c r="J86">
        <v>2</v>
      </c>
      <c r="K86" s="3">
        <v>6.08</v>
      </c>
      <c r="L86" s="2">
        <v>4.05</v>
      </c>
      <c r="M86" s="2">
        <f>Table1[[#This Row],[UnitPrice]]*Table1[[#This Row],[Quantity]]</f>
        <v>12.16</v>
      </c>
      <c r="N86" s="2">
        <f>Table1[[#This Row],[CostPrice]]*Table1[[#This Row],[Quantity]]</f>
        <v>8.1</v>
      </c>
      <c r="O86" s="2">
        <v>3.57</v>
      </c>
      <c r="P86" s="4">
        <v>0.04</v>
      </c>
      <c r="Q86" t="s">
        <v>23</v>
      </c>
      <c r="R86" s="4">
        <f t="shared" si="1"/>
        <v>0.29358552631578944</v>
      </c>
    </row>
    <row r="87" spans="1:18" x14ac:dyDescent="0.25">
      <c r="A87">
        <v>1016</v>
      </c>
      <c r="B87" s="1">
        <v>44982</v>
      </c>
      <c r="C87" t="s">
        <v>74</v>
      </c>
      <c r="D87" t="s">
        <v>17</v>
      </c>
      <c r="E87" t="s">
        <v>33</v>
      </c>
      <c r="F87" t="s">
        <v>34</v>
      </c>
      <c r="G87" t="s">
        <v>35</v>
      </c>
      <c r="H87" t="s">
        <v>70</v>
      </c>
      <c r="I87" t="s">
        <v>71</v>
      </c>
      <c r="J87">
        <v>2</v>
      </c>
      <c r="K87" s="3">
        <v>252.41</v>
      </c>
      <c r="L87" s="2">
        <v>143.01</v>
      </c>
      <c r="M87" s="2">
        <f>Table1[[#This Row],[UnitPrice]]*Table1[[#This Row],[Quantity]]</f>
        <v>504.82</v>
      </c>
      <c r="N87" s="2">
        <f>Table1[[#This Row],[CostPrice]]*Table1[[#This Row],[Quantity]]</f>
        <v>286.02</v>
      </c>
      <c r="O87" s="2">
        <v>153.16999999999999</v>
      </c>
      <c r="P87" s="4">
        <v>0.13</v>
      </c>
      <c r="Q87" t="s">
        <v>75</v>
      </c>
      <c r="R87" s="4">
        <f t="shared" si="1"/>
        <v>0.30341507864189216</v>
      </c>
    </row>
    <row r="88" spans="1:18" x14ac:dyDescent="0.25">
      <c r="A88">
        <v>1737</v>
      </c>
      <c r="B88" s="1">
        <v>44982</v>
      </c>
      <c r="C88" t="s">
        <v>189</v>
      </c>
      <c r="D88" t="s">
        <v>17</v>
      </c>
      <c r="E88" t="s">
        <v>18</v>
      </c>
      <c r="F88" t="s">
        <v>27</v>
      </c>
      <c r="G88" t="s">
        <v>41</v>
      </c>
      <c r="H88" t="s">
        <v>42</v>
      </c>
      <c r="I88" t="s">
        <v>43</v>
      </c>
      <c r="J88">
        <v>3</v>
      </c>
      <c r="K88" s="3">
        <v>444.67</v>
      </c>
      <c r="L88" s="2">
        <v>297.42</v>
      </c>
      <c r="M88" s="2">
        <f>Table1[[#This Row],[UnitPrice]]*Table1[[#This Row],[Quantity]]</f>
        <v>1334.01</v>
      </c>
      <c r="N88" s="2">
        <f>Table1[[#This Row],[CostPrice]]*Table1[[#This Row],[Quantity]]</f>
        <v>892.26</v>
      </c>
      <c r="O88" s="2">
        <v>81.569999999999993</v>
      </c>
      <c r="P88" s="4">
        <v>0.27</v>
      </c>
      <c r="Q88" t="s">
        <v>23</v>
      </c>
      <c r="R88" s="4">
        <f t="shared" si="1"/>
        <v>6.1146468167405037E-2</v>
      </c>
    </row>
    <row r="89" spans="1:18" x14ac:dyDescent="0.25">
      <c r="A89">
        <v>1799</v>
      </c>
      <c r="B89" s="1">
        <v>44982</v>
      </c>
      <c r="C89" t="s">
        <v>60</v>
      </c>
      <c r="D89" t="s">
        <v>17</v>
      </c>
      <c r="E89" t="s">
        <v>33</v>
      </c>
      <c r="F89" t="s">
        <v>27</v>
      </c>
      <c r="G89" t="s">
        <v>41</v>
      </c>
      <c r="H89" t="s">
        <v>42</v>
      </c>
      <c r="I89" t="s">
        <v>77</v>
      </c>
      <c r="J89">
        <v>3</v>
      </c>
      <c r="K89" s="3">
        <v>368.42</v>
      </c>
      <c r="L89" s="2">
        <v>194.4</v>
      </c>
      <c r="M89" s="2">
        <f>Table1[[#This Row],[UnitPrice]]*Table1[[#This Row],[Quantity]]</f>
        <v>1105.26</v>
      </c>
      <c r="N89" s="2">
        <f>Table1[[#This Row],[CostPrice]]*Table1[[#This Row],[Quantity]]</f>
        <v>583.20000000000005</v>
      </c>
      <c r="O89" s="2">
        <v>499.95</v>
      </c>
      <c r="P89" s="4">
        <v>0.02</v>
      </c>
      <c r="Q89" t="s">
        <v>125</v>
      </c>
      <c r="R89" s="4">
        <f t="shared" si="1"/>
        <v>0.45233700667716192</v>
      </c>
    </row>
    <row r="90" spans="1:18" x14ac:dyDescent="0.25">
      <c r="A90">
        <v>1596</v>
      </c>
      <c r="B90" s="1">
        <v>44983</v>
      </c>
      <c r="C90" t="s">
        <v>60</v>
      </c>
      <c r="D90" t="s">
        <v>17</v>
      </c>
      <c r="E90" t="s">
        <v>53</v>
      </c>
      <c r="F90" t="s">
        <v>34</v>
      </c>
      <c r="G90" t="s">
        <v>35</v>
      </c>
      <c r="H90" t="s">
        <v>49</v>
      </c>
      <c r="I90" t="s">
        <v>66</v>
      </c>
      <c r="J90">
        <v>4</v>
      </c>
      <c r="K90" s="3">
        <v>965.22</v>
      </c>
      <c r="L90" s="2">
        <v>775</v>
      </c>
      <c r="M90" s="2">
        <f>Table1[[#This Row],[UnitPrice]]*Table1[[#This Row],[Quantity]]</f>
        <v>3860.88</v>
      </c>
      <c r="N90" s="2">
        <f>Table1[[#This Row],[CostPrice]]*Table1[[#This Row],[Quantity]]</f>
        <v>3100</v>
      </c>
      <c r="O90" s="2">
        <v>645.04999999999995</v>
      </c>
      <c r="P90" s="4">
        <v>0.03</v>
      </c>
      <c r="Q90" t="s">
        <v>23</v>
      </c>
      <c r="R90" s="4">
        <f t="shared" si="1"/>
        <v>0.16707330971177553</v>
      </c>
    </row>
    <row r="91" spans="1:18" x14ac:dyDescent="0.25">
      <c r="A91">
        <v>1739</v>
      </c>
      <c r="B91" s="1">
        <v>44984</v>
      </c>
      <c r="C91" t="s">
        <v>210</v>
      </c>
      <c r="D91" t="s">
        <v>32</v>
      </c>
      <c r="E91" t="s">
        <v>26</v>
      </c>
      <c r="F91" t="s">
        <v>34</v>
      </c>
      <c r="G91" t="s">
        <v>20</v>
      </c>
      <c r="H91" t="s">
        <v>113</v>
      </c>
      <c r="I91" t="s">
        <v>161</v>
      </c>
      <c r="J91">
        <v>6</v>
      </c>
      <c r="K91" s="3">
        <v>595.42999999999995</v>
      </c>
      <c r="L91" s="2">
        <v>499.81</v>
      </c>
      <c r="M91" s="2">
        <f>Table1[[#This Row],[UnitPrice]]*Table1[[#This Row],[Quantity]]</f>
        <v>3572.58</v>
      </c>
      <c r="N91" s="2">
        <f>Table1[[#This Row],[CostPrice]]*Table1[[#This Row],[Quantity]]</f>
        <v>2998.86</v>
      </c>
      <c r="O91" s="2">
        <v>-105.07</v>
      </c>
      <c r="P91" s="4">
        <v>0.19</v>
      </c>
      <c r="Q91" t="s">
        <v>75</v>
      </c>
      <c r="R91" s="4">
        <f t="shared" si="1"/>
        <v>-2.9410118177899444E-2</v>
      </c>
    </row>
    <row r="92" spans="1:18" x14ac:dyDescent="0.25">
      <c r="A92">
        <v>1908</v>
      </c>
      <c r="B92" s="1">
        <v>44988</v>
      </c>
      <c r="C92" t="s">
        <v>95</v>
      </c>
      <c r="D92" t="s">
        <v>17</v>
      </c>
      <c r="E92" t="s">
        <v>53</v>
      </c>
      <c r="F92" t="s">
        <v>27</v>
      </c>
      <c r="G92" t="s">
        <v>20</v>
      </c>
      <c r="H92" t="s">
        <v>28</v>
      </c>
      <c r="I92" t="s">
        <v>61</v>
      </c>
      <c r="J92">
        <v>8</v>
      </c>
      <c r="K92" s="3">
        <v>49.19</v>
      </c>
      <c r="L92" s="2">
        <v>28.14</v>
      </c>
      <c r="M92" s="2">
        <f>Table1[[#This Row],[UnitPrice]]*Table1[[#This Row],[Quantity]]</f>
        <v>393.52</v>
      </c>
      <c r="N92" s="2">
        <f>Table1[[#This Row],[CostPrice]]*Table1[[#This Row],[Quantity]]</f>
        <v>225.12</v>
      </c>
      <c r="O92" s="2">
        <v>144.79</v>
      </c>
      <c r="P92" s="4">
        <v>0.06</v>
      </c>
      <c r="Q92" t="s">
        <v>75</v>
      </c>
      <c r="R92" s="4">
        <f t="shared" si="1"/>
        <v>0.36793555600731853</v>
      </c>
    </row>
    <row r="93" spans="1:18" x14ac:dyDescent="0.25">
      <c r="A93">
        <v>1042</v>
      </c>
      <c r="B93" s="1">
        <v>45049</v>
      </c>
      <c r="C93" t="s">
        <v>110</v>
      </c>
      <c r="D93" t="s">
        <v>32</v>
      </c>
      <c r="E93" t="s">
        <v>53</v>
      </c>
      <c r="F93" t="s">
        <v>34</v>
      </c>
      <c r="G93" t="s">
        <v>41</v>
      </c>
      <c r="H93" t="s">
        <v>46</v>
      </c>
      <c r="I93" t="s">
        <v>57</v>
      </c>
      <c r="J93">
        <v>1</v>
      </c>
      <c r="K93" s="3">
        <v>943.03</v>
      </c>
      <c r="L93" s="2">
        <v>570.08000000000004</v>
      </c>
      <c r="M93" s="2">
        <f>Table1[[#This Row],[UnitPrice]]*Table1[[#This Row],[Quantity]]</f>
        <v>943.03</v>
      </c>
      <c r="N93" s="2">
        <f>Table1[[#This Row],[CostPrice]]*Table1[[#This Row],[Quantity]]</f>
        <v>570.08000000000004</v>
      </c>
      <c r="O93" s="2">
        <v>259.79000000000002</v>
      </c>
      <c r="P93" s="4">
        <v>0.12</v>
      </c>
      <c r="Q93" t="s">
        <v>75</v>
      </c>
      <c r="R93" s="4">
        <f t="shared" si="1"/>
        <v>0.27548434302196118</v>
      </c>
    </row>
    <row r="94" spans="1:18" x14ac:dyDescent="0.25">
      <c r="A94">
        <v>1349</v>
      </c>
      <c r="B94" s="1">
        <v>45080</v>
      </c>
      <c r="C94" t="s">
        <v>255</v>
      </c>
      <c r="D94" t="s">
        <v>25</v>
      </c>
      <c r="E94" t="s">
        <v>33</v>
      </c>
      <c r="F94" t="s">
        <v>19</v>
      </c>
      <c r="G94" t="s">
        <v>41</v>
      </c>
      <c r="H94" t="s">
        <v>46</v>
      </c>
      <c r="I94" t="s">
        <v>57</v>
      </c>
      <c r="J94">
        <v>8</v>
      </c>
      <c r="K94" s="3">
        <v>918.31</v>
      </c>
      <c r="L94" s="2">
        <v>742.49</v>
      </c>
      <c r="M94" s="2">
        <f>Table1[[#This Row],[UnitPrice]]*Table1[[#This Row],[Quantity]]</f>
        <v>7346.48</v>
      </c>
      <c r="N94" s="2">
        <f>Table1[[#This Row],[CostPrice]]*Table1[[#This Row],[Quantity]]</f>
        <v>5939.92</v>
      </c>
      <c r="O94" s="2">
        <v>1333.1</v>
      </c>
      <c r="P94" s="4">
        <v>0.01</v>
      </c>
      <c r="Q94" t="s">
        <v>85</v>
      </c>
      <c r="R94" s="4">
        <f t="shared" si="1"/>
        <v>0.18146105345689365</v>
      </c>
    </row>
    <row r="95" spans="1:18" x14ac:dyDescent="0.25">
      <c r="A95">
        <v>1519</v>
      </c>
      <c r="B95" s="1">
        <v>45080</v>
      </c>
      <c r="C95" t="s">
        <v>134</v>
      </c>
      <c r="D95" t="s">
        <v>32</v>
      </c>
      <c r="E95" t="s">
        <v>53</v>
      </c>
      <c r="F95" t="s">
        <v>34</v>
      </c>
      <c r="G95" t="s">
        <v>35</v>
      </c>
      <c r="H95" t="s">
        <v>70</v>
      </c>
      <c r="I95" t="s">
        <v>84</v>
      </c>
      <c r="J95">
        <v>9</v>
      </c>
      <c r="K95" s="3">
        <v>899.95</v>
      </c>
      <c r="L95" s="2">
        <v>592.34</v>
      </c>
      <c r="M95" s="2">
        <f>Table1[[#This Row],[UnitPrice]]*Table1[[#This Row],[Quantity]]</f>
        <v>8099.55</v>
      </c>
      <c r="N95" s="2">
        <f>Table1[[#This Row],[CostPrice]]*Table1[[#This Row],[Quantity]]</f>
        <v>5331.06</v>
      </c>
      <c r="O95" s="2">
        <v>1877.54</v>
      </c>
      <c r="P95" s="4">
        <v>0.11</v>
      </c>
      <c r="Q95" t="s">
        <v>44</v>
      </c>
      <c r="R95" s="4">
        <f t="shared" si="1"/>
        <v>0.23180793994728102</v>
      </c>
    </row>
    <row r="96" spans="1:18" x14ac:dyDescent="0.25">
      <c r="A96">
        <v>1365</v>
      </c>
      <c r="B96" s="1">
        <v>45110</v>
      </c>
      <c r="C96" t="s">
        <v>163</v>
      </c>
      <c r="D96" t="s">
        <v>32</v>
      </c>
      <c r="E96" t="s">
        <v>33</v>
      </c>
      <c r="F96" t="s">
        <v>34</v>
      </c>
      <c r="G96" t="s">
        <v>41</v>
      </c>
      <c r="H96" t="s">
        <v>46</v>
      </c>
      <c r="I96" t="s">
        <v>57</v>
      </c>
      <c r="J96">
        <v>10</v>
      </c>
      <c r="K96" s="3">
        <v>657.89</v>
      </c>
      <c r="L96" s="2">
        <v>394.91</v>
      </c>
      <c r="M96" s="2">
        <f>Table1[[#This Row],[UnitPrice]]*Table1[[#This Row],[Quantity]]</f>
        <v>6578.9</v>
      </c>
      <c r="N96" s="2">
        <f>Table1[[#This Row],[CostPrice]]*Table1[[#This Row],[Quantity]]</f>
        <v>3949.1000000000004</v>
      </c>
      <c r="O96" s="2">
        <v>721.92</v>
      </c>
      <c r="P96" s="4">
        <v>0.28999999999999998</v>
      </c>
      <c r="Q96" t="s">
        <v>51</v>
      </c>
      <c r="R96" s="4">
        <f t="shared" si="1"/>
        <v>0.10973263007493654</v>
      </c>
    </row>
    <row r="97" spans="1:18" x14ac:dyDescent="0.25">
      <c r="A97">
        <v>1499</v>
      </c>
      <c r="B97" s="1">
        <v>45110</v>
      </c>
      <c r="C97" t="s">
        <v>142</v>
      </c>
      <c r="D97" t="s">
        <v>25</v>
      </c>
      <c r="E97" t="s">
        <v>33</v>
      </c>
      <c r="F97" t="s">
        <v>27</v>
      </c>
      <c r="G97" t="s">
        <v>41</v>
      </c>
      <c r="H97" t="s">
        <v>63</v>
      </c>
      <c r="I97" t="s">
        <v>141</v>
      </c>
      <c r="J97">
        <v>2</v>
      </c>
      <c r="K97" s="3">
        <v>805.43</v>
      </c>
      <c r="L97" s="2">
        <v>522.86</v>
      </c>
      <c r="M97" s="2">
        <f>Table1[[#This Row],[UnitPrice]]*Table1[[#This Row],[Quantity]]</f>
        <v>1610.86</v>
      </c>
      <c r="N97" s="2">
        <f>Table1[[#This Row],[CostPrice]]*Table1[[#This Row],[Quantity]]</f>
        <v>1045.72</v>
      </c>
      <c r="O97" s="2">
        <v>178.53</v>
      </c>
      <c r="P97" s="4">
        <v>0.24</v>
      </c>
      <c r="Q97" t="s">
        <v>75</v>
      </c>
      <c r="R97" s="4">
        <f t="shared" si="1"/>
        <v>0.11082899817488795</v>
      </c>
    </row>
    <row r="98" spans="1:18" x14ac:dyDescent="0.25">
      <c r="A98">
        <v>1890</v>
      </c>
      <c r="B98" s="1">
        <v>45110</v>
      </c>
      <c r="C98" t="s">
        <v>127</v>
      </c>
      <c r="D98" t="s">
        <v>32</v>
      </c>
      <c r="E98" t="s">
        <v>33</v>
      </c>
      <c r="F98" t="s">
        <v>34</v>
      </c>
      <c r="G98" t="s">
        <v>41</v>
      </c>
      <c r="H98" t="s">
        <v>42</v>
      </c>
      <c r="I98" t="s">
        <v>68</v>
      </c>
      <c r="J98">
        <v>6</v>
      </c>
      <c r="K98" s="3">
        <v>608.5</v>
      </c>
      <c r="L98" s="2">
        <v>483.29</v>
      </c>
      <c r="M98" s="2">
        <f>Table1[[#This Row],[UnitPrice]]*Table1[[#This Row],[Quantity]]</f>
        <v>3651</v>
      </c>
      <c r="N98" s="2">
        <f>Table1[[#This Row],[CostPrice]]*Table1[[#This Row],[Quantity]]</f>
        <v>2899.7400000000002</v>
      </c>
      <c r="O98" s="2">
        <v>-271.02</v>
      </c>
      <c r="P98" s="4">
        <v>0.28000000000000003</v>
      </c>
      <c r="Q98" t="s">
        <v>85</v>
      </c>
      <c r="R98" s="4">
        <f t="shared" si="1"/>
        <v>-7.4231717337715691E-2</v>
      </c>
    </row>
    <row r="99" spans="1:18" x14ac:dyDescent="0.25">
      <c r="A99">
        <v>1255</v>
      </c>
      <c r="B99" s="1">
        <v>45141</v>
      </c>
      <c r="C99" t="s">
        <v>151</v>
      </c>
      <c r="D99" t="s">
        <v>17</v>
      </c>
      <c r="E99" t="s">
        <v>53</v>
      </c>
      <c r="F99" t="s">
        <v>19</v>
      </c>
      <c r="G99" t="s">
        <v>20</v>
      </c>
      <c r="H99" t="s">
        <v>28</v>
      </c>
      <c r="I99" t="s">
        <v>90</v>
      </c>
      <c r="J99">
        <v>1</v>
      </c>
      <c r="K99" s="3">
        <v>942.57</v>
      </c>
      <c r="L99" s="2">
        <v>487.99</v>
      </c>
      <c r="M99" s="2">
        <f>Table1[[#This Row],[UnitPrice]]*Table1[[#This Row],[Quantity]]</f>
        <v>942.57</v>
      </c>
      <c r="N99" s="2">
        <f>Table1[[#This Row],[CostPrice]]*Table1[[#This Row],[Quantity]]</f>
        <v>487.99</v>
      </c>
      <c r="O99" s="2">
        <v>190.66</v>
      </c>
      <c r="P99" s="4">
        <v>0.28000000000000003</v>
      </c>
      <c r="Q99" t="s">
        <v>75</v>
      </c>
      <c r="R99" s="4">
        <f t="shared" si="1"/>
        <v>0.20227675398113668</v>
      </c>
    </row>
    <row r="100" spans="1:18" x14ac:dyDescent="0.25">
      <c r="A100">
        <v>1552</v>
      </c>
      <c r="B100" s="1">
        <v>45141</v>
      </c>
      <c r="C100" t="s">
        <v>180</v>
      </c>
      <c r="D100" t="s">
        <v>32</v>
      </c>
      <c r="E100" t="s">
        <v>26</v>
      </c>
      <c r="F100" t="s">
        <v>27</v>
      </c>
      <c r="G100" t="s">
        <v>20</v>
      </c>
      <c r="H100" t="s">
        <v>21</v>
      </c>
      <c r="I100" t="s">
        <v>79</v>
      </c>
      <c r="J100">
        <v>8</v>
      </c>
      <c r="K100" s="3">
        <v>282.13</v>
      </c>
      <c r="L100" s="2">
        <v>211.52</v>
      </c>
      <c r="M100" s="2">
        <f>Table1[[#This Row],[UnitPrice]]*Table1[[#This Row],[Quantity]]</f>
        <v>2257.04</v>
      </c>
      <c r="N100" s="2">
        <f>Table1[[#This Row],[CostPrice]]*Table1[[#This Row],[Quantity]]</f>
        <v>1692.16</v>
      </c>
      <c r="O100" s="2">
        <v>181.18</v>
      </c>
      <c r="P100" s="4">
        <v>0.17</v>
      </c>
      <c r="Q100" t="s">
        <v>30</v>
      </c>
      <c r="R100" s="4">
        <f t="shared" si="1"/>
        <v>8.0273278275972068E-2</v>
      </c>
    </row>
    <row r="101" spans="1:18" x14ac:dyDescent="0.25">
      <c r="A101">
        <v>1871</v>
      </c>
      <c r="B101" s="1">
        <v>45141</v>
      </c>
      <c r="C101" t="s">
        <v>263</v>
      </c>
      <c r="D101" t="s">
        <v>25</v>
      </c>
      <c r="E101" t="s">
        <v>53</v>
      </c>
      <c r="F101" t="s">
        <v>34</v>
      </c>
      <c r="G101" t="s">
        <v>20</v>
      </c>
      <c r="H101" t="s">
        <v>28</v>
      </c>
      <c r="I101" t="s">
        <v>90</v>
      </c>
      <c r="J101">
        <v>1</v>
      </c>
      <c r="K101" s="3">
        <v>490.92</v>
      </c>
      <c r="L101" s="2">
        <v>246.33</v>
      </c>
      <c r="M101" s="2">
        <f>Table1[[#This Row],[UnitPrice]]*Table1[[#This Row],[Quantity]]</f>
        <v>490.92</v>
      </c>
      <c r="N101" s="2">
        <f>Table1[[#This Row],[CostPrice]]*Table1[[#This Row],[Quantity]]</f>
        <v>246.33</v>
      </c>
      <c r="O101" s="2">
        <v>190.59</v>
      </c>
      <c r="P101" s="4">
        <v>0.11</v>
      </c>
      <c r="Q101" t="s">
        <v>51</v>
      </c>
      <c r="R101" s="4">
        <f t="shared" si="1"/>
        <v>0.38823026154974333</v>
      </c>
    </row>
    <row r="102" spans="1:18" x14ac:dyDescent="0.25">
      <c r="A102">
        <v>1973</v>
      </c>
      <c r="B102" s="1">
        <v>45141</v>
      </c>
      <c r="C102" t="s">
        <v>110</v>
      </c>
      <c r="D102" t="s">
        <v>17</v>
      </c>
      <c r="E102" t="s">
        <v>26</v>
      </c>
      <c r="F102" t="s">
        <v>40</v>
      </c>
      <c r="G102" t="s">
        <v>20</v>
      </c>
      <c r="H102" t="s">
        <v>21</v>
      </c>
      <c r="I102" t="s">
        <v>79</v>
      </c>
      <c r="J102">
        <v>1</v>
      </c>
      <c r="K102" s="3">
        <v>279.14999999999998</v>
      </c>
      <c r="L102" s="2">
        <v>158.99</v>
      </c>
      <c r="M102" s="2">
        <f>Table1[[#This Row],[UnitPrice]]*Table1[[#This Row],[Quantity]]</f>
        <v>279.14999999999998</v>
      </c>
      <c r="N102" s="2">
        <f>Table1[[#This Row],[CostPrice]]*Table1[[#This Row],[Quantity]]</f>
        <v>158.99</v>
      </c>
      <c r="O102" s="2">
        <v>78.290000000000006</v>
      </c>
      <c r="P102" s="4">
        <v>0.15</v>
      </c>
      <c r="Q102" t="s">
        <v>92</v>
      </c>
      <c r="R102" s="4">
        <f t="shared" si="1"/>
        <v>0.28045853483790084</v>
      </c>
    </row>
    <row r="103" spans="1:18" x14ac:dyDescent="0.25">
      <c r="A103">
        <v>1794</v>
      </c>
      <c r="B103" s="1">
        <v>45202</v>
      </c>
      <c r="C103" t="s">
        <v>275</v>
      </c>
      <c r="D103" t="s">
        <v>32</v>
      </c>
      <c r="E103" t="s">
        <v>18</v>
      </c>
      <c r="F103" t="s">
        <v>19</v>
      </c>
      <c r="G103" t="s">
        <v>20</v>
      </c>
      <c r="H103" t="s">
        <v>28</v>
      </c>
      <c r="I103" t="s">
        <v>81</v>
      </c>
      <c r="J103">
        <v>3</v>
      </c>
      <c r="K103" s="3">
        <v>768.7</v>
      </c>
      <c r="L103" s="2">
        <v>479.22</v>
      </c>
      <c r="M103" s="2">
        <f>Table1[[#This Row],[UnitPrice]]*Table1[[#This Row],[Quantity]]</f>
        <v>2306.1000000000004</v>
      </c>
      <c r="N103" s="2">
        <f>Table1[[#This Row],[CostPrice]]*Table1[[#This Row],[Quantity]]</f>
        <v>1437.66</v>
      </c>
      <c r="O103" s="2">
        <v>522.53</v>
      </c>
      <c r="P103" s="4">
        <v>0.15</v>
      </c>
      <c r="Q103" t="s">
        <v>55</v>
      </c>
      <c r="R103" s="4">
        <f t="shared" si="1"/>
        <v>0.22658601101426645</v>
      </c>
    </row>
    <row r="104" spans="1:18" x14ac:dyDescent="0.25">
      <c r="A104">
        <v>1446</v>
      </c>
      <c r="B104" s="1">
        <v>45233</v>
      </c>
      <c r="C104" t="s">
        <v>272</v>
      </c>
      <c r="D104" t="s">
        <v>17</v>
      </c>
      <c r="E104" t="s">
        <v>33</v>
      </c>
      <c r="F104" t="s">
        <v>40</v>
      </c>
      <c r="G104" t="s">
        <v>35</v>
      </c>
      <c r="H104" t="s">
        <v>36</v>
      </c>
      <c r="I104" t="s">
        <v>87</v>
      </c>
      <c r="J104">
        <v>5</v>
      </c>
      <c r="K104" s="3">
        <v>332.56</v>
      </c>
      <c r="L104" s="2">
        <v>214.44</v>
      </c>
      <c r="M104" s="2">
        <f>Table1[[#This Row],[UnitPrice]]*Table1[[#This Row],[Quantity]]</f>
        <v>1662.8</v>
      </c>
      <c r="N104" s="2">
        <f>Table1[[#This Row],[CostPrice]]*Table1[[#This Row],[Quantity]]</f>
        <v>1072.2</v>
      </c>
      <c r="O104" s="2">
        <v>490.83</v>
      </c>
      <c r="P104" s="4">
        <v>0.06</v>
      </c>
      <c r="Q104" t="s">
        <v>23</v>
      </c>
      <c r="R104" s="4">
        <f t="shared" si="1"/>
        <v>0.29518282415203273</v>
      </c>
    </row>
    <row r="105" spans="1:18" x14ac:dyDescent="0.25">
      <c r="A105">
        <v>1703</v>
      </c>
      <c r="B105" s="1">
        <v>45233</v>
      </c>
      <c r="C105" t="s">
        <v>252</v>
      </c>
      <c r="D105" t="s">
        <v>17</v>
      </c>
      <c r="E105" t="s">
        <v>53</v>
      </c>
      <c r="F105" t="s">
        <v>27</v>
      </c>
      <c r="G105" t="s">
        <v>41</v>
      </c>
      <c r="H105" t="s">
        <v>63</v>
      </c>
      <c r="I105" t="s">
        <v>64</v>
      </c>
      <c r="J105">
        <v>4</v>
      </c>
      <c r="K105" s="3">
        <v>505.9</v>
      </c>
      <c r="L105" s="2">
        <v>377.72</v>
      </c>
      <c r="M105" s="2">
        <f>Table1[[#This Row],[UnitPrice]]*Table1[[#This Row],[Quantity]]</f>
        <v>2023.6</v>
      </c>
      <c r="N105" s="2">
        <f>Table1[[#This Row],[CostPrice]]*Table1[[#This Row],[Quantity]]</f>
        <v>1510.88</v>
      </c>
      <c r="O105" s="2">
        <v>512.72</v>
      </c>
      <c r="P105" s="4">
        <v>0</v>
      </c>
      <c r="Q105" t="s">
        <v>51</v>
      </c>
      <c r="R105" s="4">
        <f t="shared" si="1"/>
        <v>0.25337023127100222</v>
      </c>
    </row>
    <row r="106" spans="1:18" x14ac:dyDescent="0.25">
      <c r="A106">
        <v>1812</v>
      </c>
      <c r="B106" s="1">
        <v>45233</v>
      </c>
      <c r="C106" t="s">
        <v>198</v>
      </c>
      <c r="D106" t="s">
        <v>32</v>
      </c>
      <c r="E106" t="s">
        <v>18</v>
      </c>
      <c r="F106" t="s">
        <v>34</v>
      </c>
      <c r="G106" t="s">
        <v>20</v>
      </c>
      <c r="H106" t="s">
        <v>21</v>
      </c>
      <c r="I106" t="s">
        <v>79</v>
      </c>
      <c r="J106">
        <v>5</v>
      </c>
      <c r="K106" s="3">
        <v>986.21</v>
      </c>
      <c r="L106" s="2">
        <v>830.85</v>
      </c>
      <c r="M106" s="2">
        <f>Table1[[#This Row],[UnitPrice]]*Table1[[#This Row],[Quantity]]</f>
        <v>4931.05</v>
      </c>
      <c r="N106" s="2">
        <f>Table1[[#This Row],[CostPrice]]*Table1[[#This Row],[Quantity]]</f>
        <v>4154.25</v>
      </c>
      <c r="O106" s="2">
        <v>-357.34</v>
      </c>
      <c r="P106" s="4">
        <v>0.23</v>
      </c>
      <c r="Q106" t="s">
        <v>55</v>
      </c>
      <c r="R106" s="4">
        <f t="shared" si="1"/>
        <v>-7.2467324403524602E-2</v>
      </c>
    </row>
    <row r="107" spans="1:18" x14ac:dyDescent="0.25">
      <c r="A107">
        <v>1012</v>
      </c>
      <c r="B107" s="1">
        <v>45263</v>
      </c>
      <c r="C107" t="s">
        <v>67</v>
      </c>
      <c r="D107" t="s">
        <v>25</v>
      </c>
      <c r="E107" t="s">
        <v>26</v>
      </c>
      <c r="F107" t="s">
        <v>27</v>
      </c>
      <c r="G107" t="s">
        <v>41</v>
      </c>
      <c r="H107" t="s">
        <v>42</v>
      </c>
      <c r="I107" t="s">
        <v>68</v>
      </c>
      <c r="J107">
        <v>9</v>
      </c>
      <c r="K107" s="3">
        <v>873.07</v>
      </c>
      <c r="L107" s="2">
        <v>565.84</v>
      </c>
      <c r="M107" s="2">
        <f>Table1[[#This Row],[UnitPrice]]*Table1[[#This Row],[Quantity]]</f>
        <v>7857.63</v>
      </c>
      <c r="N107" s="2">
        <f>Table1[[#This Row],[CostPrice]]*Table1[[#This Row],[Quantity]]</f>
        <v>5092.5600000000004</v>
      </c>
      <c r="O107" s="2">
        <v>2293.61</v>
      </c>
      <c r="P107" s="4">
        <v>0.06</v>
      </c>
      <c r="Q107" t="s">
        <v>38</v>
      </c>
      <c r="R107" s="4">
        <f t="shared" si="1"/>
        <v>0.29189590245404784</v>
      </c>
    </row>
    <row r="108" spans="1:18" x14ac:dyDescent="0.25">
      <c r="A108">
        <v>1071</v>
      </c>
      <c r="B108" s="1">
        <v>44998</v>
      </c>
      <c r="C108" t="s">
        <v>108</v>
      </c>
      <c r="D108" t="s">
        <v>32</v>
      </c>
      <c r="E108" t="s">
        <v>18</v>
      </c>
      <c r="F108" t="s">
        <v>40</v>
      </c>
      <c r="G108" t="s">
        <v>20</v>
      </c>
      <c r="H108" t="s">
        <v>28</v>
      </c>
      <c r="I108" t="s">
        <v>29</v>
      </c>
      <c r="J108">
        <v>10</v>
      </c>
      <c r="K108" s="3">
        <v>582.02</v>
      </c>
      <c r="L108" s="2">
        <v>425.44</v>
      </c>
      <c r="M108" s="2">
        <f>Table1[[#This Row],[UnitPrice]]*Table1[[#This Row],[Quantity]]</f>
        <v>5820.2</v>
      </c>
      <c r="N108" s="2">
        <f>Table1[[#This Row],[CostPrice]]*Table1[[#This Row],[Quantity]]</f>
        <v>4254.3999999999996</v>
      </c>
      <c r="O108" s="2">
        <v>52.55</v>
      </c>
      <c r="P108" s="4">
        <v>0.26</v>
      </c>
      <c r="Q108" t="s">
        <v>55</v>
      </c>
      <c r="R108" s="4">
        <f t="shared" si="1"/>
        <v>9.0288993505377828E-3</v>
      </c>
    </row>
    <row r="109" spans="1:18" x14ac:dyDescent="0.25">
      <c r="A109">
        <v>1493</v>
      </c>
      <c r="B109" s="1">
        <v>44998</v>
      </c>
      <c r="C109" t="s">
        <v>121</v>
      </c>
      <c r="D109" t="s">
        <v>25</v>
      </c>
      <c r="E109" t="s">
        <v>53</v>
      </c>
      <c r="F109" t="s">
        <v>27</v>
      </c>
      <c r="G109" t="s">
        <v>20</v>
      </c>
      <c r="H109" t="s">
        <v>113</v>
      </c>
      <c r="I109" t="s">
        <v>161</v>
      </c>
      <c r="J109">
        <v>6</v>
      </c>
      <c r="K109" s="3">
        <v>336.77</v>
      </c>
      <c r="L109" s="2">
        <v>204.08</v>
      </c>
      <c r="M109" s="2">
        <f>Table1[[#This Row],[UnitPrice]]*Table1[[#This Row],[Quantity]]</f>
        <v>2020.62</v>
      </c>
      <c r="N109" s="2">
        <f>Table1[[#This Row],[CostPrice]]*Table1[[#This Row],[Quantity]]</f>
        <v>1224.48</v>
      </c>
      <c r="O109" s="2">
        <v>755.73</v>
      </c>
      <c r="P109" s="4">
        <v>0.02</v>
      </c>
      <c r="Q109" t="s">
        <v>44</v>
      </c>
      <c r="R109" s="4">
        <f t="shared" si="1"/>
        <v>0.37400896754461505</v>
      </c>
    </row>
    <row r="110" spans="1:18" x14ac:dyDescent="0.25">
      <c r="A110">
        <v>1686</v>
      </c>
      <c r="B110" s="1">
        <v>44998</v>
      </c>
      <c r="C110" t="s">
        <v>39</v>
      </c>
      <c r="D110" t="s">
        <v>32</v>
      </c>
      <c r="E110" t="s">
        <v>26</v>
      </c>
      <c r="F110" t="s">
        <v>19</v>
      </c>
      <c r="G110" t="s">
        <v>35</v>
      </c>
      <c r="H110" t="s">
        <v>70</v>
      </c>
      <c r="I110" t="s">
        <v>84</v>
      </c>
      <c r="J110">
        <v>2</v>
      </c>
      <c r="K110" s="3">
        <v>457.39</v>
      </c>
      <c r="L110" s="2">
        <v>287.70999999999998</v>
      </c>
      <c r="M110" s="2">
        <f>Table1[[#This Row],[UnitPrice]]*Table1[[#This Row],[Quantity]]</f>
        <v>914.78</v>
      </c>
      <c r="N110" s="2">
        <f>Table1[[#This Row],[CostPrice]]*Table1[[#This Row],[Quantity]]</f>
        <v>575.41999999999996</v>
      </c>
      <c r="O110" s="2">
        <v>339.36</v>
      </c>
      <c r="P110" s="4">
        <v>0</v>
      </c>
      <c r="Q110" t="s">
        <v>85</v>
      </c>
      <c r="R110" s="4">
        <f t="shared" si="1"/>
        <v>0.37097444194232498</v>
      </c>
    </row>
    <row r="111" spans="1:18" x14ac:dyDescent="0.25">
      <c r="A111">
        <v>1236</v>
      </c>
      <c r="B111" s="1">
        <v>44999</v>
      </c>
      <c r="C111" t="s">
        <v>224</v>
      </c>
      <c r="D111" t="s">
        <v>25</v>
      </c>
      <c r="E111" t="s">
        <v>18</v>
      </c>
      <c r="F111" t="s">
        <v>40</v>
      </c>
      <c r="G111" t="s">
        <v>20</v>
      </c>
      <c r="H111" t="s">
        <v>28</v>
      </c>
      <c r="I111" t="s">
        <v>61</v>
      </c>
      <c r="J111">
        <v>6</v>
      </c>
      <c r="K111" s="3">
        <v>548.62</v>
      </c>
      <c r="L111" s="2">
        <v>307.48</v>
      </c>
      <c r="M111" s="2">
        <f>Table1[[#This Row],[UnitPrice]]*Table1[[#This Row],[Quantity]]</f>
        <v>3291.7200000000003</v>
      </c>
      <c r="N111" s="2">
        <f>Table1[[#This Row],[CostPrice]]*Table1[[#This Row],[Quantity]]</f>
        <v>1844.88</v>
      </c>
      <c r="O111" s="2">
        <v>986</v>
      </c>
      <c r="P111" s="4">
        <v>0.14000000000000001</v>
      </c>
      <c r="Q111" t="s">
        <v>44</v>
      </c>
      <c r="R111" s="4">
        <f t="shared" si="1"/>
        <v>0.29953945050004249</v>
      </c>
    </row>
    <row r="112" spans="1:18" x14ac:dyDescent="0.25">
      <c r="A112">
        <v>1407</v>
      </c>
      <c r="B112" s="1">
        <v>44999</v>
      </c>
      <c r="C112" t="s">
        <v>131</v>
      </c>
      <c r="D112" t="s">
        <v>25</v>
      </c>
      <c r="E112" t="s">
        <v>53</v>
      </c>
      <c r="F112" t="s">
        <v>34</v>
      </c>
      <c r="G112" t="s">
        <v>35</v>
      </c>
      <c r="H112" t="s">
        <v>70</v>
      </c>
      <c r="I112" t="s">
        <v>98</v>
      </c>
      <c r="J112">
        <v>6</v>
      </c>
      <c r="K112" s="3">
        <v>560.23</v>
      </c>
      <c r="L112" s="2">
        <v>464.09</v>
      </c>
      <c r="M112" s="2">
        <f>Table1[[#This Row],[UnitPrice]]*Table1[[#This Row],[Quantity]]</f>
        <v>3361.38</v>
      </c>
      <c r="N112" s="2">
        <f>Table1[[#This Row],[CostPrice]]*Table1[[#This Row],[Quantity]]</f>
        <v>2784.54</v>
      </c>
      <c r="O112" s="2">
        <v>173.47</v>
      </c>
      <c r="P112" s="4">
        <v>0.12</v>
      </c>
      <c r="Q112" t="s">
        <v>85</v>
      </c>
      <c r="R112" s="4">
        <f t="shared" si="1"/>
        <v>5.1606780548465209E-2</v>
      </c>
    </row>
    <row r="113" spans="1:18" x14ac:dyDescent="0.25">
      <c r="A113">
        <v>1396</v>
      </c>
      <c r="B113" s="1">
        <v>45000</v>
      </c>
      <c r="C113" t="s">
        <v>190</v>
      </c>
      <c r="D113" t="s">
        <v>25</v>
      </c>
      <c r="E113" t="s">
        <v>26</v>
      </c>
      <c r="F113" t="s">
        <v>40</v>
      </c>
      <c r="G113" t="s">
        <v>35</v>
      </c>
      <c r="H113" t="s">
        <v>36</v>
      </c>
      <c r="I113" t="s">
        <v>87</v>
      </c>
      <c r="J113">
        <v>4</v>
      </c>
      <c r="K113" s="3">
        <v>387.87</v>
      </c>
      <c r="L113" s="2">
        <v>326.29000000000002</v>
      </c>
      <c r="M113" s="2">
        <f>Table1[[#This Row],[UnitPrice]]*Table1[[#This Row],[Quantity]]</f>
        <v>1551.48</v>
      </c>
      <c r="N113" s="2">
        <f>Table1[[#This Row],[CostPrice]]*Table1[[#This Row],[Quantity]]</f>
        <v>1305.1600000000001</v>
      </c>
      <c r="O113" s="2">
        <v>137.72</v>
      </c>
      <c r="P113" s="4">
        <v>7.0000000000000007E-2</v>
      </c>
      <c r="Q113" t="s">
        <v>51</v>
      </c>
      <c r="R113" s="4">
        <f t="shared" si="1"/>
        <v>8.8766854874055737E-2</v>
      </c>
    </row>
    <row r="114" spans="1:18" x14ac:dyDescent="0.25">
      <c r="A114">
        <v>1509</v>
      </c>
      <c r="B114" s="1">
        <v>45002</v>
      </c>
      <c r="C114" t="s">
        <v>184</v>
      </c>
      <c r="D114" t="s">
        <v>32</v>
      </c>
      <c r="E114" t="s">
        <v>33</v>
      </c>
      <c r="F114" t="s">
        <v>27</v>
      </c>
      <c r="G114" t="s">
        <v>20</v>
      </c>
      <c r="H114" t="s">
        <v>21</v>
      </c>
      <c r="I114" t="s">
        <v>79</v>
      </c>
      <c r="J114">
        <v>3</v>
      </c>
      <c r="K114" s="3">
        <v>390.39</v>
      </c>
      <c r="L114" s="2">
        <v>213.83</v>
      </c>
      <c r="M114" s="2">
        <f>Table1[[#This Row],[UnitPrice]]*Table1[[#This Row],[Quantity]]</f>
        <v>1171.17</v>
      </c>
      <c r="N114" s="2">
        <f>Table1[[#This Row],[CostPrice]]*Table1[[#This Row],[Quantity]]</f>
        <v>641.49</v>
      </c>
      <c r="O114" s="2">
        <v>272.02</v>
      </c>
      <c r="P114" s="4">
        <v>0.22</v>
      </c>
      <c r="Q114" t="s">
        <v>85</v>
      </c>
      <c r="R114" s="4">
        <f t="shared" si="1"/>
        <v>0.23226346303269377</v>
      </c>
    </row>
    <row r="115" spans="1:18" x14ac:dyDescent="0.25">
      <c r="A115">
        <v>1136</v>
      </c>
      <c r="B115" s="1">
        <v>45005</v>
      </c>
      <c r="C115" t="s">
        <v>185</v>
      </c>
      <c r="D115" t="s">
        <v>17</v>
      </c>
      <c r="E115" t="s">
        <v>18</v>
      </c>
      <c r="F115" t="s">
        <v>27</v>
      </c>
      <c r="G115" t="s">
        <v>35</v>
      </c>
      <c r="H115" t="s">
        <v>70</v>
      </c>
      <c r="I115" t="s">
        <v>71</v>
      </c>
      <c r="J115">
        <v>4</v>
      </c>
      <c r="K115" s="3">
        <v>960.72</v>
      </c>
      <c r="L115" s="2">
        <v>489.07</v>
      </c>
      <c r="M115" s="2">
        <f>Table1[[#This Row],[UnitPrice]]*Table1[[#This Row],[Quantity]]</f>
        <v>3842.88</v>
      </c>
      <c r="N115" s="2">
        <f>Table1[[#This Row],[CostPrice]]*Table1[[#This Row],[Quantity]]</f>
        <v>1956.28</v>
      </c>
      <c r="O115" s="2">
        <v>1656.03</v>
      </c>
      <c r="P115" s="4">
        <v>0.06</v>
      </c>
      <c r="Q115" t="s">
        <v>38</v>
      </c>
      <c r="R115" s="4">
        <f t="shared" si="1"/>
        <v>0.43093461154134399</v>
      </c>
    </row>
    <row r="116" spans="1:18" x14ac:dyDescent="0.25">
      <c r="A116">
        <v>1352</v>
      </c>
      <c r="B116" s="1">
        <v>45005</v>
      </c>
      <c r="C116" t="s">
        <v>247</v>
      </c>
      <c r="D116" t="s">
        <v>32</v>
      </c>
      <c r="E116" t="s">
        <v>26</v>
      </c>
      <c r="F116" t="s">
        <v>19</v>
      </c>
      <c r="G116" t="s">
        <v>20</v>
      </c>
      <c r="H116" t="s">
        <v>21</v>
      </c>
      <c r="I116" t="s">
        <v>54</v>
      </c>
      <c r="J116">
        <v>10</v>
      </c>
      <c r="K116" s="3">
        <v>718.72</v>
      </c>
      <c r="L116" s="2">
        <v>389.13</v>
      </c>
      <c r="M116" s="2">
        <f>Table1[[#This Row],[UnitPrice]]*Table1[[#This Row],[Quantity]]</f>
        <v>7187.2000000000007</v>
      </c>
      <c r="N116" s="2">
        <f>Table1[[#This Row],[CostPrice]]*Table1[[#This Row],[Quantity]]</f>
        <v>3891.3</v>
      </c>
      <c r="O116" s="2">
        <v>2792.8</v>
      </c>
      <c r="P116" s="4">
        <v>7.0000000000000007E-2</v>
      </c>
      <c r="Q116" t="s">
        <v>85</v>
      </c>
      <c r="R116" s="4">
        <f t="shared" si="1"/>
        <v>0.38857969723953695</v>
      </c>
    </row>
    <row r="117" spans="1:18" x14ac:dyDescent="0.25">
      <c r="A117">
        <v>1565</v>
      </c>
      <c r="B117" s="1">
        <v>45005</v>
      </c>
      <c r="C117" t="s">
        <v>89</v>
      </c>
      <c r="D117" t="s">
        <v>32</v>
      </c>
      <c r="E117" t="s">
        <v>18</v>
      </c>
      <c r="F117" t="s">
        <v>27</v>
      </c>
      <c r="G117" t="s">
        <v>41</v>
      </c>
      <c r="H117" t="s">
        <v>63</v>
      </c>
      <c r="I117" t="s">
        <v>117</v>
      </c>
      <c r="J117">
        <v>4</v>
      </c>
      <c r="K117" s="3">
        <v>417.24</v>
      </c>
      <c r="L117" s="2">
        <v>245.31</v>
      </c>
      <c r="M117" s="2">
        <f>Table1[[#This Row],[UnitPrice]]*Table1[[#This Row],[Quantity]]</f>
        <v>1668.96</v>
      </c>
      <c r="N117" s="2">
        <f>Table1[[#This Row],[CostPrice]]*Table1[[#This Row],[Quantity]]</f>
        <v>981.24</v>
      </c>
      <c r="O117" s="2">
        <v>437.38</v>
      </c>
      <c r="P117" s="4">
        <v>0.15</v>
      </c>
      <c r="Q117" t="s">
        <v>38</v>
      </c>
      <c r="R117" s="4">
        <f t="shared" si="1"/>
        <v>0.26206739526411654</v>
      </c>
    </row>
    <row r="118" spans="1:18" x14ac:dyDescent="0.25">
      <c r="A118">
        <v>1864</v>
      </c>
      <c r="B118" s="1">
        <v>45005</v>
      </c>
      <c r="C118" t="s">
        <v>58</v>
      </c>
      <c r="D118" t="s">
        <v>25</v>
      </c>
      <c r="E118" t="s">
        <v>18</v>
      </c>
      <c r="F118" t="s">
        <v>27</v>
      </c>
      <c r="G118" t="s">
        <v>41</v>
      </c>
      <c r="H118" t="s">
        <v>42</v>
      </c>
      <c r="I118" t="s">
        <v>68</v>
      </c>
      <c r="J118">
        <v>4</v>
      </c>
      <c r="K118" s="3">
        <v>475.21</v>
      </c>
      <c r="L118" s="2">
        <v>245.12</v>
      </c>
      <c r="M118" s="2">
        <f>Table1[[#This Row],[UnitPrice]]*Table1[[#This Row],[Quantity]]</f>
        <v>1900.84</v>
      </c>
      <c r="N118" s="2">
        <f>Table1[[#This Row],[CostPrice]]*Table1[[#This Row],[Quantity]]</f>
        <v>980.48</v>
      </c>
      <c r="O118" s="2">
        <v>901.35</v>
      </c>
      <c r="P118" s="4">
        <v>0.01</v>
      </c>
      <c r="Q118" t="s">
        <v>30</v>
      </c>
      <c r="R118" s="4">
        <f t="shared" si="1"/>
        <v>0.47418509711495971</v>
      </c>
    </row>
    <row r="119" spans="1:18" x14ac:dyDescent="0.25">
      <c r="A119">
        <v>1903</v>
      </c>
      <c r="B119" s="1">
        <v>45005</v>
      </c>
      <c r="C119" t="s">
        <v>276</v>
      </c>
      <c r="D119" t="s">
        <v>32</v>
      </c>
      <c r="E119" t="s">
        <v>26</v>
      </c>
      <c r="F119" t="s">
        <v>40</v>
      </c>
      <c r="G119" t="s">
        <v>20</v>
      </c>
      <c r="H119" t="s">
        <v>28</v>
      </c>
      <c r="I119" t="s">
        <v>29</v>
      </c>
      <c r="J119">
        <v>10</v>
      </c>
      <c r="K119" s="3">
        <v>656.93</v>
      </c>
      <c r="L119" s="2">
        <v>384.62</v>
      </c>
      <c r="M119" s="2">
        <f>Table1[[#This Row],[UnitPrice]]*Table1[[#This Row],[Quantity]]</f>
        <v>6569.2999999999993</v>
      </c>
      <c r="N119" s="2">
        <f>Table1[[#This Row],[CostPrice]]*Table1[[#This Row],[Quantity]]</f>
        <v>3846.2</v>
      </c>
      <c r="O119" s="2">
        <v>2131.86</v>
      </c>
      <c r="P119" s="4">
        <v>0.09</v>
      </c>
      <c r="Q119" t="s">
        <v>125</v>
      </c>
      <c r="R119" s="4">
        <f t="shared" si="1"/>
        <v>0.32451859406633893</v>
      </c>
    </row>
    <row r="120" spans="1:18" x14ac:dyDescent="0.25">
      <c r="A120">
        <v>1267</v>
      </c>
      <c r="B120" s="1">
        <v>45006</v>
      </c>
      <c r="C120" t="s">
        <v>208</v>
      </c>
      <c r="D120" t="s">
        <v>32</v>
      </c>
      <c r="E120" t="s">
        <v>26</v>
      </c>
      <c r="F120" t="s">
        <v>34</v>
      </c>
      <c r="G120" t="s">
        <v>41</v>
      </c>
      <c r="H120" t="s">
        <v>63</v>
      </c>
      <c r="I120" t="s">
        <v>64</v>
      </c>
      <c r="J120">
        <v>6</v>
      </c>
      <c r="K120" s="3">
        <v>449.4</v>
      </c>
      <c r="L120" s="2">
        <v>266.42</v>
      </c>
      <c r="M120" s="2">
        <f>Table1[[#This Row],[UnitPrice]]*Table1[[#This Row],[Quantity]]</f>
        <v>2696.3999999999996</v>
      </c>
      <c r="N120" s="2">
        <f>Table1[[#This Row],[CostPrice]]*Table1[[#This Row],[Quantity]]</f>
        <v>1598.52</v>
      </c>
      <c r="O120" s="2">
        <v>909.13</v>
      </c>
      <c r="P120" s="4">
        <v>7.0000000000000007E-2</v>
      </c>
      <c r="Q120" t="s">
        <v>44</v>
      </c>
      <c r="R120" s="4">
        <f t="shared" si="1"/>
        <v>0.33716436730455429</v>
      </c>
    </row>
    <row r="121" spans="1:18" x14ac:dyDescent="0.25">
      <c r="A121">
        <v>1935</v>
      </c>
      <c r="B121" s="1">
        <v>45007</v>
      </c>
      <c r="C121" t="s">
        <v>97</v>
      </c>
      <c r="D121" t="s">
        <v>25</v>
      </c>
      <c r="E121" t="s">
        <v>33</v>
      </c>
      <c r="F121" t="s">
        <v>40</v>
      </c>
      <c r="G121" t="s">
        <v>20</v>
      </c>
      <c r="H121" t="s">
        <v>113</v>
      </c>
      <c r="I121" t="s">
        <v>153</v>
      </c>
      <c r="J121">
        <v>5</v>
      </c>
      <c r="K121" s="3">
        <v>456.2</v>
      </c>
      <c r="L121" s="2">
        <v>345.54</v>
      </c>
      <c r="M121" s="2">
        <f>Table1[[#This Row],[UnitPrice]]*Table1[[#This Row],[Quantity]]</f>
        <v>2281</v>
      </c>
      <c r="N121" s="2">
        <f>Table1[[#This Row],[CostPrice]]*Table1[[#This Row],[Quantity]]</f>
        <v>1727.7</v>
      </c>
      <c r="O121" s="2">
        <v>97.1</v>
      </c>
      <c r="P121" s="4">
        <v>0.2</v>
      </c>
      <c r="Q121" t="s">
        <v>44</v>
      </c>
      <c r="R121" s="4">
        <f t="shared" si="1"/>
        <v>4.2569048662867162E-2</v>
      </c>
    </row>
    <row r="122" spans="1:18" x14ac:dyDescent="0.25">
      <c r="A122">
        <v>1768</v>
      </c>
      <c r="B122" s="1">
        <v>45011</v>
      </c>
      <c r="C122" t="s">
        <v>272</v>
      </c>
      <c r="D122" t="s">
        <v>25</v>
      </c>
      <c r="E122" t="s">
        <v>26</v>
      </c>
      <c r="F122" t="s">
        <v>19</v>
      </c>
      <c r="G122" t="s">
        <v>20</v>
      </c>
      <c r="H122" t="s">
        <v>28</v>
      </c>
      <c r="I122" t="s">
        <v>90</v>
      </c>
      <c r="J122">
        <v>5</v>
      </c>
      <c r="K122" s="3">
        <v>994.29</v>
      </c>
      <c r="L122" s="2">
        <v>583.22</v>
      </c>
      <c r="M122" s="2">
        <f>Table1[[#This Row],[UnitPrice]]*Table1[[#This Row],[Quantity]]</f>
        <v>4971.45</v>
      </c>
      <c r="N122" s="2">
        <f>Table1[[#This Row],[CostPrice]]*Table1[[#This Row],[Quantity]]</f>
        <v>2916.1000000000004</v>
      </c>
      <c r="O122" s="2">
        <v>812.49</v>
      </c>
      <c r="P122" s="4">
        <v>0.25</v>
      </c>
      <c r="Q122" t="s">
        <v>23</v>
      </c>
      <c r="R122" s="4">
        <f t="shared" si="1"/>
        <v>0.16343119210693058</v>
      </c>
    </row>
    <row r="123" spans="1:18" x14ac:dyDescent="0.25">
      <c r="A123">
        <v>1360</v>
      </c>
      <c r="B123" s="1">
        <v>45012</v>
      </c>
      <c r="C123" t="s">
        <v>198</v>
      </c>
      <c r="D123" t="s">
        <v>17</v>
      </c>
      <c r="E123" t="s">
        <v>53</v>
      </c>
      <c r="F123" t="s">
        <v>40</v>
      </c>
      <c r="G123" t="s">
        <v>20</v>
      </c>
      <c r="H123" t="s">
        <v>21</v>
      </c>
      <c r="I123" t="s">
        <v>22</v>
      </c>
      <c r="J123">
        <v>10</v>
      </c>
      <c r="K123" s="3">
        <v>524.92999999999995</v>
      </c>
      <c r="L123" s="2">
        <v>357.96</v>
      </c>
      <c r="M123" s="2">
        <f>Table1[[#This Row],[UnitPrice]]*Table1[[#This Row],[Quantity]]</f>
        <v>5249.2999999999993</v>
      </c>
      <c r="N123" s="2">
        <f>Table1[[#This Row],[CostPrice]]*Table1[[#This Row],[Quantity]]</f>
        <v>3579.6</v>
      </c>
      <c r="O123" s="2">
        <v>1092.28</v>
      </c>
      <c r="P123" s="4">
        <v>0.11</v>
      </c>
      <c r="Q123" t="s">
        <v>23</v>
      </c>
      <c r="R123" s="4">
        <f t="shared" si="1"/>
        <v>0.20808107747699695</v>
      </c>
    </row>
    <row r="124" spans="1:18" x14ac:dyDescent="0.25">
      <c r="A124">
        <v>1806</v>
      </c>
      <c r="B124" s="1">
        <v>45014</v>
      </c>
      <c r="C124" t="s">
        <v>204</v>
      </c>
      <c r="D124" t="s">
        <v>25</v>
      </c>
      <c r="E124" t="s">
        <v>53</v>
      </c>
      <c r="F124" t="s">
        <v>34</v>
      </c>
      <c r="G124" t="s">
        <v>20</v>
      </c>
      <c r="H124" t="s">
        <v>28</v>
      </c>
      <c r="I124" t="s">
        <v>90</v>
      </c>
      <c r="J124">
        <v>5</v>
      </c>
      <c r="K124" s="3">
        <v>13.44</v>
      </c>
      <c r="L124" s="2">
        <v>8.4</v>
      </c>
      <c r="M124" s="2">
        <f>Table1[[#This Row],[UnitPrice]]*Table1[[#This Row],[Quantity]]</f>
        <v>67.2</v>
      </c>
      <c r="N124" s="2">
        <f>Table1[[#This Row],[CostPrice]]*Table1[[#This Row],[Quantity]]</f>
        <v>42</v>
      </c>
      <c r="O124" s="2">
        <v>19.82</v>
      </c>
      <c r="P124" s="4">
        <v>0.08</v>
      </c>
      <c r="Q124" t="s">
        <v>75</v>
      </c>
      <c r="R124" s="4">
        <f t="shared" si="1"/>
        <v>0.2949404761904762</v>
      </c>
    </row>
    <row r="125" spans="1:18" x14ac:dyDescent="0.25">
      <c r="A125">
        <v>1875</v>
      </c>
      <c r="B125" s="1">
        <v>45014</v>
      </c>
      <c r="C125" t="s">
        <v>198</v>
      </c>
      <c r="D125" t="s">
        <v>17</v>
      </c>
      <c r="E125" t="s">
        <v>53</v>
      </c>
      <c r="F125" t="s">
        <v>19</v>
      </c>
      <c r="G125" t="s">
        <v>35</v>
      </c>
      <c r="H125" t="s">
        <v>49</v>
      </c>
      <c r="I125" t="s">
        <v>66</v>
      </c>
      <c r="J125">
        <v>3</v>
      </c>
      <c r="K125" s="3">
        <v>528.94000000000005</v>
      </c>
      <c r="L125" s="2">
        <v>392.97</v>
      </c>
      <c r="M125" s="2">
        <f>Table1[[#This Row],[UnitPrice]]*Table1[[#This Row],[Quantity]]</f>
        <v>1586.8200000000002</v>
      </c>
      <c r="N125" s="2">
        <f>Table1[[#This Row],[CostPrice]]*Table1[[#This Row],[Quantity]]</f>
        <v>1178.9100000000001</v>
      </c>
      <c r="O125" s="2">
        <v>169.89</v>
      </c>
      <c r="P125" s="4">
        <v>0.15</v>
      </c>
      <c r="Q125" t="s">
        <v>85</v>
      </c>
      <c r="R125" s="4">
        <f t="shared" si="1"/>
        <v>0.107063182969713</v>
      </c>
    </row>
    <row r="126" spans="1:18" x14ac:dyDescent="0.25">
      <c r="A126">
        <v>1912</v>
      </c>
      <c r="B126" s="1">
        <v>45014</v>
      </c>
      <c r="C126" t="s">
        <v>31</v>
      </c>
      <c r="D126" t="s">
        <v>17</v>
      </c>
      <c r="E126" t="s">
        <v>18</v>
      </c>
      <c r="F126" t="s">
        <v>40</v>
      </c>
      <c r="G126" t="s">
        <v>41</v>
      </c>
      <c r="H126" t="s">
        <v>46</v>
      </c>
      <c r="I126" t="s">
        <v>47</v>
      </c>
      <c r="J126">
        <v>10</v>
      </c>
      <c r="K126" s="3">
        <v>277.89999999999998</v>
      </c>
      <c r="L126" s="2">
        <v>165.09</v>
      </c>
      <c r="M126" s="2">
        <f>Table1[[#This Row],[UnitPrice]]*Table1[[#This Row],[Quantity]]</f>
        <v>2779</v>
      </c>
      <c r="N126" s="2">
        <f>Table1[[#This Row],[CostPrice]]*Table1[[#This Row],[Quantity]]</f>
        <v>1650.9</v>
      </c>
      <c r="O126" s="2">
        <v>905.78</v>
      </c>
      <c r="P126" s="4">
        <v>0.08</v>
      </c>
      <c r="Q126" t="s">
        <v>125</v>
      </c>
      <c r="R126" s="4">
        <f t="shared" si="1"/>
        <v>0.32593738754947821</v>
      </c>
    </row>
    <row r="127" spans="1:18" x14ac:dyDescent="0.25">
      <c r="A127">
        <v>1532</v>
      </c>
      <c r="B127" s="1">
        <v>45015</v>
      </c>
      <c r="C127" t="s">
        <v>115</v>
      </c>
      <c r="D127" t="s">
        <v>32</v>
      </c>
      <c r="E127" t="s">
        <v>53</v>
      </c>
      <c r="F127" t="s">
        <v>40</v>
      </c>
      <c r="G127" t="s">
        <v>20</v>
      </c>
      <c r="H127" t="s">
        <v>113</v>
      </c>
      <c r="I127" t="s">
        <v>153</v>
      </c>
      <c r="J127">
        <v>2</v>
      </c>
      <c r="K127" s="3">
        <v>11.59</v>
      </c>
      <c r="L127" s="2">
        <v>8.39</v>
      </c>
      <c r="M127" s="2">
        <f>Table1[[#This Row],[UnitPrice]]*Table1[[#This Row],[Quantity]]</f>
        <v>23.18</v>
      </c>
      <c r="N127" s="2">
        <f>Table1[[#This Row],[CostPrice]]*Table1[[#This Row],[Quantity]]</f>
        <v>16.78</v>
      </c>
      <c r="O127" s="2">
        <v>4.55</v>
      </c>
      <c r="P127" s="4">
        <v>0.08</v>
      </c>
      <c r="Q127" t="s">
        <v>92</v>
      </c>
      <c r="R127" s="4">
        <f t="shared" si="1"/>
        <v>0.19628990509059532</v>
      </c>
    </row>
    <row r="128" spans="1:18" x14ac:dyDescent="0.25">
      <c r="A128">
        <v>1607</v>
      </c>
      <c r="B128" s="1">
        <v>45015</v>
      </c>
      <c r="C128" t="s">
        <v>108</v>
      </c>
      <c r="D128" t="s">
        <v>32</v>
      </c>
      <c r="E128" t="s">
        <v>26</v>
      </c>
      <c r="F128" t="s">
        <v>27</v>
      </c>
      <c r="G128" t="s">
        <v>35</v>
      </c>
      <c r="H128" t="s">
        <v>36</v>
      </c>
      <c r="I128" t="s">
        <v>87</v>
      </c>
      <c r="J128">
        <v>3</v>
      </c>
      <c r="K128" s="3">
        <v>902.9</v>
      </c>
      <c r="L128" s="2">
        <v>684.92</v>
      </c>
      <c r="M128" s="2">
        <f>Table1[[#This Row],[UnitPrice]]*Table1[[#This Row],[Quantity]]</f>
        <v>2708.7</v>
      </c>
      <c r="N128" s="2">
        <f>Table1[[#This Row],[CostPrice]]*Table1[[#This Row],[Quantity]]</f>
        <v>2054.7599999999998</v>
      </c>
      <c r="O128" s="2">
        <v>301.81</v>
      </c>
      <c r="P128" s="4">
        <v>0.13</v>
      </c>
      <c r="Q128" t="s">
        <v>55</v>
      </c>
      <c r="R128" s="4">
        <f t="shared" si="1"/>
        <v>0.11142245357551595</v>
      </c>
    </row>
    <row r="129" spans="1:18" x14ac:dyDescent="0.25">
      <c r="A129">
        <v>1222</v>
      </c>
      <c r="B129" s="1">
        <v>45016</v>
      </c>
      <c r="C129" t="s">
        <v>220</v>
      </c>
      <c r="D129" t="s">
        <v>25</v>
      </c>
      <c r="E129" t="s">
        <v>26</v>
      </c>
      <c r="F129" t="s">
        <v>19</v>
      </c>
      <c r="G129" t="s">
        <v>41</v>
      </c>
      <c r="H129" t="s">
        <v>63</v>
      </c>
      <c r="I129" t="s">
        <v>64</v>
      </c>
      <c r="J129">
        <v>6</v>
      </c>
      <c r="K129" s="3">
        <v>861.74</v>
      </c>
      <c r="L129" s="2">
        <v>614.92999999999995</v>
      </c>
      <c r="M129" s="2">
        <f>Table1[[#This Row],[UnitPrice]]*Table1[[#This Row],[Quantity]]</f>
        <v>5170.4400000000005</v>
      </c>
      <c r="N129" s="2">
        <f>Table1[[#This Row],[CostPrice]]*Table1[[#This Row],[Quantity]]</f>
        <v>3689.58</v>
      </c>
      <c r="O129" s="2">
        <v>808.7</v>
      </c>
      <c r="P129" s="4">
        <v>0.13</v>
      </c>
      <c r="Q129" t="s">
        <v>125</v>
      </c>
      <c r="R129" s="4">
        <f t="shared" si="1"/>
        <v>0.15640835209382567</v>
      </c>
    </row>
    <row r="130" spans="1:18" x14ac:dyDescent="0.25">
      <c r="A130">
        <v>1107</v>
      </c>
      <c r="B130" s="1">
        <v>44930</v>
      </c>
      <c r="C130" t="s">
        <v>147</v>
      </c>
      <c r="D130" t="s">
        <v>25</v>
      </c>
      <c r="E130" t="s">
        <v>26</v>
      </c>
      <c r="F130" t="s">
        <v>27</v>
      </c>
      <c r="G130" t="s">
        <v>41</v>
      </c>
      <c r="H130" t="s">
        <v>46</v>
      </c>
      <c r="I130" t="s">
        <v>102</v>
      </c>
      <c r="J130">
        <v>2</v>
      </c>
      <c r="K130" s="3">
        <v>398.79</v>
      </c>
      <c r="L130" s="2">
        <v>242.7</v>
      </c>
      <c r="M130" s="2">
        <f>Table1[[#This Row],[UnitPrice]]*Table1[[#This Row],[Quantity]]</f>
        <v>797.58</v>
      </c>
      <c r="N130" s="2">
        <f>Table1[[#This Row],[CostPrice]]*Table1[[#This Row],[Quantity]]</f>
        <v>485.4</v>
      </c>
      <c r="O130" s="2">
        <v>232.42</v>
      </c>
      <c r="P130" s="4">
        <v>0.1</v>
      </c>
      <c r="Q130" t="s">
        <v>85</v>
      </c>
      <c r="R130" s="4">
        <f t="shared" ref="R130:R193" si="2">O130/M130</f>
        <v>0.2914065046766468</v>
      </c>
    </row>
    <row r="131" spans="1:18" x14ac:dyDescent="0.25">
      <c r="A131">
        <v>1975</v>
      </c>
      <c r="B131" s="1">
        <v>44930</v>
      </c>
      <c r="C131" t="s">
        <v>148</v>
      </c>
      <c r="D131" t="s">
        <v>25</v>
      </c>
      <c r="E131" t="s">
        <v>26</v>
      </c>
      <c r="F131" t="s">
        <v>34</v>
      </c>
      <c r="G131" t="s">
        <v>20</v>
      </c>
      <c r="H131" t="s">
        <v>28</v>
      </c>
      <c r="I131" t="s">
        <v>90</v>
      </c>
      <c r="J131">
        <v>3</v>
      </c>
      <c r="K131" s="3">
        <v>789.79</v>
      </c>
      <c r="L131" s="2">
        <v>455.02</v>
      </c>
      <c r="M131" s="2">
        <f>Table1[[#This Row],[UnitPrice]]*Table1[[#This Row],[Quantity]]</f>
        <v>2369.37</v>
      </c>
      <c r="N131" s="2">
        <f>Table1[[#This Row],[CostPrice]]*Table1[[#This Row],[Quantity]]</f>
        <v>1365.06</v>
      </c>
      <c r="O131" s="2">
        <v>743.68</v>
      </c>
      <c r="P131" s="4">
        <v>0.11</v>
      </c>
      <c r="Q131" t="s">
        <v>44</v>
      </c>
      <c r="R131" s="4">
        <f t="shared" si="2"/>
        <v>0.31387246398831758</v>
      </c>
    </row>
    <row r="132" spans="1:18" x14ac:dyDescent="0.25">
      <c r="A132">
        <v>1400</v>
      </c>
      <c r="B132" s="1">
        <v>44961</v>
      </c>
      <c r="C132" t="s">
        <v>149</v>
      </c>
      <c r="D132" t="s">
        <v>32</v>
      </c>
      <c r="E132" t="s">
        <v>33</v>
      </c>
      <c r="F132" t="s">
        <v>40</v>
      </c>
      <c r="G132" t="s">
        <v>41</v>
      </c>
      <c r="H132" t="s">
        <v>42</v>
      </c>
      <c r="I132" t="s">
        <v>77</v>
      </c>
      <c r="J132">
        <v>6</v>
      </c>
      <c r="K132" s="3">
        <v>646.35</v>
      </c>
      <c r="L132" s="2">
        <v>481.83</v>
      </c>
      <c r="M132" s="2">
        <f>Table1[[#This Row],[UnitPrice]]*Table1[[#This Row],[Quantity]]</f>
        <v>3878.1000000000004</v>
      </c>
      <c r="N132" s="2">
        <f>Table1[[#This Row],[CostPrice]]*Table1[[#This Row],[Quantity]]</f>
        <v>2890.98</v>
      </c>
      <c r="O132" s="2">
        <v>56.38</v>
      </c>
      <c r="P132" s="4">
        <v>0.24</v>
      </c>
      <c r="Q132" t="s">
        <v>92</v>
      </c>
      <c r="R132" s="4">
        <f t="shared" si="2"/>
        <v>1.4538046981769422E-2</v>
      </c>
    </row>
    <row r="133" spans="1:18" x14ac:dyDescent="0.25">
      <c r="A133">
        <v>1582</v>
      </c>
      <c r="B133" s="1">
        <v>44961</v>
      </c>
      <c r="C133" t="s">
        <v>264</v>
      </c>
      <c r="D133" t="s">
        <v>32</v>
      </c>
      <c r="E133" t="s">
        <v>26</v>
      </c>
      <c r="F133" t="s">
        <v>34</v>
      </c>
      <c r="G133" t="s">
        <v>35</v>
      </c>
      <c r="H133" t="s">
        <v>70</v>
      </c>
      <c r="I133" t="s">
        <v>71</v>
      </c>
      <c r="J133">
        <v>10</v>
      </c>
      <c r="K133" s="3">
        <v>263.86</v>
      </c>
      <c r="L133" s="2">
        <v>140.15</v>
      </c>
      <c r="M133" s="2">
        <f>Table1[[#This Row],[UnitPrice]]*Table1[[#This Row],[Quantity]]</f>
        <v>2638.6000000000004</v>
      </c>
      <c r="N133" s="2">
        <f>Table1[[#This Row],[CostPrice]]*Table1[[#This Row],[Quantity]]</f>
        <v>1401.5</v>
      </c>
      <c r="O133" s="2">
        <v>946.85</v>
      </c>
      <c r="P133" s="4">
        <v>0.11</v>
      </c>
      <c r="Q133" t="s">
        <v>125</v>
      </c>
      <c r="R133" s="4">
        <f t="shared" si="2"/>
        <v>0.35884559993936171</v>
      </c>
    </row>
    <row r="134" spans="1:18" x14ac:dyDescent="0.25">
      <c r="A134">
        <v>1964</v>
      </c>
      <c r="B134" s="1">
        <v>45020</v>
      </c>
      <c r="C134" t="s">
        <v>245</v>
      </c>
      <c r="D134" t="s">
        <v>17</v>
      </c>
      <c r="E134" t="s">
        <v>26</v>
      </c>
      <c r="F134" t="s">
        <v>19</v>
      </c>
      <c r="G134" t="s">
        <v>20</v>
      </c>
      <c r="H134" t="s">
        <v>28</v>
      </c>
      <c r="I134" t="s">
        <v>90</v>
      </c>
      <c r="J134">
        <v>6</v>
      </c>
      <c r="K134" s="3">
        <v>82.4</v>
      </c>
      <c r="L134" s="2">
        <v>69.17</v>
      </c>
      <c r="M134" s="2">
        <f>Table1[[#This Row],[UnitPrice]]*Table1[[#This Row],[Quantity]]</f>
        <v>494.40000000000003</v>
      </c>
      <c r="N134" s="2">
        <f>Table1[[#This Row],[CostPrice]]*Table1[[#This Row],[Quantity]]</f>
        <v>415.02</v>
      </c>
      <c r="O134" s="2">
        <v>59.6</v>
      </c>
      <c r="P134" s="4">
        <v>0.04</v>
      </c>
      <c r="Q134" t="s">
        <v>55</v>
      </c>
      <c r="R134" s="4">
        <f t="shared" si="2"/>
        <v>0.12055016181229773</v>
      </c>
    </row>
    <row r="135" spans="1:18" x14ac:dyDescent="0.25">
      <c r="A135">
        <v>1308</v>
      </c>
      <c r="B135" s="1">
        <v>45081</v>
      </c>
      <c r="C135" t="s">
        <v>239</v>
      </c>
      <c r="D135" t="s">
        <v>32</v>
      </c>
      <c r="E135" t="s">
        <v>26</v>
      </c>
      <c r="F135" t="s">
        <v>34</v>
      </c>
      <c r="G135" t="s">
        <v>35</v>
      </c>
      <c r="H135" t="s">
        <v>49</v>
      </c>
      <c r="I135" t="s">
        <v>50</v>
      </c>
      <c r="J135">
        <v>5</v>
      </c>
      <c r="K135" s="3">
        <v>836.53</v>
      </c>
      <c r="L135" s="2">
        <v>620.26</v>
      </c>
      <c r="M135" s="2">
        <f>Table1[[#This Row],[UnitPrice]]*Table1[[#This Row],[Quantity]]</f>
        <v>4182.6499999999996</v>
      </c>
      <c r="N135" s="2">
        <f>Table1[[#This Row],[CostPrice]]*Table1[[#This Row],[Quantity]]</f>
        <v>3101.3</v>
      </c>
      <c r="O135" s="2">
        <v>495.78</v>
      </c>
      <c r="P135" s="4">
        <v>0.14000000000000001</v>
      </c>
      <c r="Q135" t="s">
        <v>75</v>
      </c>
      <c r="R135" s="4">
        <f t="shared" si="2"/>
        <v>0.11853250929434689</v>
      </c>
    </row>
    <row r="136" spans="1:18" x14ac:dyDescent="0.25">
      <c r="A136">
        <v>1415</v>
      </c>
      <c r="B136" s="1">
        <v>45142</v>
      </c>
      <c r="C136" t="s">
        <v>129</v>
      </c>
      <c r="D136" t="s">
        <v>32</v>
      </c>
      <c r="E136" t="s">
        <v>33</v>
      </c>
      <c r="F136" t="s">
        <v>27</v>
      </c>
      <c r="G136" t="s">
        <v>20</v>
      </c>
      <c r="H136" t="s">
        <v>21</v>
      </c>
      <c r="I136" t="s">
        <v>54</v>
      </c>
      <c r="J136">
        <v>6</v>
      </c>
      <c r="K136" s="3">
        <v>880.39</v>
      </c>
      <c r="L136" s="2">
        <v>574.02</v>
      </c>
      <c r="M136" s="2">
        <f>Table1[[#This Row],[UnitPrice]]*Table1[[#This Row],[Quantity]]</f>
        <v>5282.34</v>
      </c>
      <c r="N136" s="2">
        <f>Table1[[#This Row],[CostPrice]]*Table1[[#This Row],[Quantity]]</f>
        <v>3444.12</v>
      </c>
      <c r="O136" s="2">
        <v>359.16</v>
      </c>
      <c r="P136" s="4">
        <v>0.28000000000000003</v>
      </c>
      <c r="Q136" t="s">
        <v>44</v>
      </c>
      <c r="R136" s="4">
        <f t="shared" si="2"/>
        <v>6.7992594191210717E-2</v>
      </c>
    </row>
    <row r="137" spans="1:18" x14ac:dyDescent="0.25">
      <c r="A137">
        <v>1753</v>
      </c>
      <c r="B137" s="1">
        <v>45142</v>
      </c>
      <c r="C137" t="s">
        <v>249</v>
      </c>
      <c r="D137" t="s">
        <v>17</v>
      </c>
      <c r="E137" t="s">
        <v>18</v>
      </c>
      <c r="F137" t="s">
        <v>40</v>
      </c>
      <c r="G137" t="s">
        <v>41</v>
      </c>
      <c r="H137" t="s">
        <v>42</v>
      </c>
      <c r="I137" t="s">
        <v>77</v>
      </c>
      <c r="J137">
        <v>3</v>
      </c>
      <c r="K137" s="3">
        <v>321.41000000000003</v>
      </c>
      <c r="L137" s="2">
        <v>245.29</v>
      </c>
      <c r="M137" s="2">
        <f>Table1[[#This Row],[UnitPrice]]*Table1[[#This Row],[Quantity]]</f>
        <v>964.23</v>
      </c>
      <c r="N137" s="2">
        <f>Table1[[#This Row],[CostPrice]]*Table1[[#This Row],[Quantity]]</f>
        <v>735.87</v>
      </c>
      <c r="O137" s="2">
        <v>180.15</v>
      </c>
      <c r="P137" s="4">
        <v>0.05</v>
      </c>
      <c r="Q137" t="s">
        <v>38</v>
      </c>
      <c r="R137" s="4">
        <f t="shared" si="2"/>
        <v>0.18683301701876109</v>
      </c>
    </row>
    <row r="138" spans="1:18" x14ac:dyDescent="0.25">
      <c r="A138">
        <v>1555</v>
      </c>
      <c r="B138" s="1">
        <v>45173</v>
      </c>
      <c r="C138" t="s">
        <v>183</v>
      </c>
      <c r="D138" t="s">
        <v>17</v>
      </c>
      <c r="E138" t="s">
        <v>53</v>
      </c>
      <c r="F138" t="s">
        <v>27</v>
      </c>
      <c r="G138" t="s">
        <v>20</v>
      </c>
      <c r="H138" t="s">
        <v>28</v>
      </c>
      <c r="I138" t="s">
        <v>61</v>
      </c>
      <c r="J138">
        <v>8</v>
      </c>
      <c r="K138" s="3">
        <v>507.27</v>
      </c>
      <c r="L138" s="2">
        <v>349.94</v>
      </c>
      <c r="M138" s="2">
        <f>Table1[[#This Row],[UnitPrice]]*Table1[[#This Row],[Quantity]]</f>
        <v>4058.16</v>
      </c>
      <c r="N138" s="2">
        <f>Table1[[#This Row],[CostPrice]]*Table1[[#This Row],[Quantity]]</f>
        <v>2799.52</v>
      </c>
      <c r="O138" s="2">
        <v>284.68</v>
      </c>
      <c r="P138" s="4">
        <v>0.24</v>
      </c>
      <c r="Q138" t="s">
        <v>38</v>
      </c>
      <c r="R138" s="4">
        <f t="shared" si="2"/>
        <v>7.0150018727699257E-2</v>
      </c>
    </row>
    <row r="139" spans="1:18" x14ac:dyDescent="0.25">
      <c r="A139">
        <v>1699</v>
      </c>
      <c r="B139" s="1">
        <v>45173</v>
      </c>
      <c r="C139" t="s">
        <v>221</v>
      </c>
      <c r="D139" t="s">
        <v>17</v>
      </c>
      <c r="E139" t="s">
        <v>26</v>
      </c>
      <c r="F139" t="s">
        <v>19</v>
      </c>
      <c r="G139" t="s">
        <v>20</v>
      </c>
      <c r="H139" t="s">
        <v>28</v>
      </c>
      <c r="I139" t="s">
        <v>90</v>
      </c>
      <c r="J139">
        <v>6</v>
      </c>
      <c r="K139" s="3">
        <v>326.07</v>
      </c>
      <c r="L139" s="2">
        <v>234.57</v>
      </c>
      <c r="M139" s="2">
        <f>Table1[[#This Row],[UnitPrice]]*Table1[[#This Row],[Quantity]]</f>
        <v>1956.42</v>
      </c>
      <c r="N139" s="2">
        <f>Table1[[#This Row],[CostPrice]]*Table1[[#This Row],[Quantity]]</f>
        <v>1407.42</v>
      </c>
      <c r="O139" s="2">
        <v>177.28</v>
      </c>
      <c r="P139" s="4">
        <v>0.19</v>
      </c>
      <c r="Q139" t="s">
        <v>38</v>
      </c>
      <c r="R139" s="4">
        <f t="shared" si="2"/>
        <v>9.0614489731243794E-2</v>
      </c>
    </row>
    <row r="140" spans="1:18" x14ac:dyDescent="0.25">
      <c r="A140">
        <v>1087</v>
      </c>
      <c r="B140" s="1">
        <v>45203</v>
      </c>
      <c r="C140" t="s">
        <v>151</v>
      </c>
      <c r="D140" t="s">
        <v>17</v>
      </c>
      <c r="E140" t="s">
        <v>26</v>
      </c>
      <c r="F140" t="s">
        <v>27</v>
      </c>
      <c r="G140" t="s">
        <v>35</v>
      </c>
      <c r="H140" t="s">
        <v>49</v>
      </c>
      <c r="I140" t="s">
        <v>59</v>
      </c>
      <c r="J140">
        <v>9</v>
      </c>
      <c r="K140" s="3">
        <v>422.03</v>
      </c>
      <c r="L140" s="2">
        <v>320.66000000000003</v>
      </c>
      <c r="M140" s="2">
        <f>Table1[[#This Row],[UnitPrice]]*Table1[[#This Row],[Quantity]]</f>
        <v>3798.2699999999995</v>
      </c>
      <c r="N140" s="2">
        <f>Table1[[#This Row],[CostPrice]]*Table1[[#This Row],[Quantity]]</f>
        <v>2885.94</v>
      </c>
      <c r="O140" s="2">
        <v>722.42</v>
      </c>
      <c r="P140" s="4">
        <v>0.05</v>
      </c>
      <c r="Q140" t="s">
        <v>75</v>
      </c>
      <c r="R140" s="4">
        <f t="shared" si="2"/>
        <v>0.19019711605546738</v>
      </c>
    </row>
    <row r="141" spans="1:18" x14ac:dyDescent="0.25">
      <c r="A141">
        <v>1881</v>
      </c>
      <c r="B141" s="1">
        <v>45203</v>
      </c>
      <c r="C141" t="s">
        <v>261</v>
      </c>
      <c r="D141" t="s">
        <v>25</v>
      </c>
      <c r="E141" t="s">
        <v>53</v>
      </c>
      <c r="F141" t="s">
        <v>34</v>
      </c>
      <c r="G141" t="s">
        <v>41</v>
      </c>
      <c r="H141" t="s">
        <v>46</v>
      </c>
      <c r="I141" t="s">
        <v>57</v>
      </c>
      <c r="J141">
        <v>1</v>
      </c>
      <c r="K141" s="3">
        <v>926.41</v>
      </c>
      <c r="L141" s="2">
        <v>560.45000000000005</v>
      </c>
      <c r="M141" s="2">
        <f>Table1[[#This Row],[UnitPrice]]*Table1[[#This Row],[Quantity]]</f>
        <v>926.41</v>
      </c>
      <c r="N141" s="2">
        <f>Table1[[#This Row],[CostPrice]]*Table1[[#This Row],[Quantity]]</f>
        <v>560.45000000000005</v>
      </c>
      <c r="O141" s="2">
        <v>227</v>
      </c>
      <c r="P141" s="4">
        <v>0.15</v>
      </c>
      <c r="Q141" t="s">
        <v>92</v>
      </c>
      <c r="R141" s="4">
        <f t="shared" si="2"/>
        <v>0.24503189732407898</v>
      </c>
    </row>
    <row r="142" spans="1:18" x14ac:dyDescent="0.25">
      <c r="A142">
        <v>1859</v>
      </c>
      <c r="B142" s="1">
        <v>45234</v>
      </c>
      <c r="C142" t="s">
        <v>176</v>
      </c>
      <c r="D142" t="s">
        <v>32</v>
      </c>
      <c r="E142" t="s">
        <v>53</v>
      </c>
      <c r="F142" t="s">
        <v>19</v>
      </c>
      <c r="G142" t="s">
        <v>35</v>
      </c>
      <c r="H142" t="s">
        <v>36</v>
      </c>
      <c r="I142" t="s">
        <v>37</v>
      </c>
      <c r="J142">
        <v>3</v>
      </c>
      <c r="K142" s="3">
        <v>596.08000000000004</v>
      </c>
      <c r="L142" s="2">
        <v>408.52</v>
      </c>
      <c r="M142" s="2">
        <f>Table1[[#This Row],[UnitPrice]]*Table1[[#This Row],[Quantity]]</f>
        <v>1788.2400000000002</v>
      </c>
      <c r="N142" s="2">
        <f>Table1[[#This Row],[CostPrice]]*Table1[[#This Row],[Quantity]]</f>
        <v>1225.56</v>
      </c>
      <c r="O142" s="2">
        <v>294.44</v>
      </c>
      <c r="P142" s="4">
        <v>0.15</v>
      </c>
      <c r="Q142" t="s">
        <v>75</v>
      </c>
      <c r="R142" s="4">
        <f t="shared" si="2"/>
        <v>0.1646535140696998</v>
      </c>
    </row>
    <row r="143" spans="1:18" x14ac:dyDescent="0.25">
      <c r="A143">
        <v>1074</v>
      </c>
      <c r="B143" s="1">
        <v>45029</v>
      </c>
      <c r="C143" t="s">
        <v>142</v>
      </c>
      <c r="D143" t="s">
        <v>32</v>
      </c>
      <c r="E143" t="s">
        <v>33</v>
      </c>
      <c r="F143" t="s">
        <v>27</v>
      </c>
      <c r="G143" t="s">
        <v>20</v>
      </c>
      <c r="H143" t="s">
        <v>113</v>
      </c>
      <c r="I143" t="s">
        <v>114</v>
      </c>
      <c r="J143">
        <v>7</v>
      </c>
      <c r="K143" s="3">
        <v>871.58</v>
      </c>
      <c r="L143" s="2">
        <v>731.68</v>
      </c>
      <c r="M143" s="2">
        <f>Table1[[#This Row],[UnitPrice]]*Table1[[#This Row],[Quantity]]</f>
        <v>6101.06</v>
      </c>
      <c r="N143" s="2">
        <f>Table1[[#This Row],[CostPrice]]*Table1[[#This Row],[Quantity]]</f>
        <v>5121.7599999999993</v>
      </c>
      <c r="O143" s="2">
        <v>857.28</v>
      </c>
      <c r="P143" s="4">
        <v>0.02</v>
      </c>
      <c r="Q143" t="s">
        <v>30</v>
      </c>
      <c r="R143" s="4">
        <f t="shared" si="2"/>
        <v>0.14051328785489733</v>
      </c>
    </row>
    <row r="144" spans="1:18" x14ac:dyDescent="0.25">
      <c r="A144">
        <v>1260</v>
      </c>
      <c r="B144" s="1">
        <v>45029</v>
      </c>
      <c r="C144" t="s">
        <v>91</v>
      </c>
      <c r="D144" t="s">
        <v>25</v>
      </c>
      <c r="E144" t="s">
        <v>18</v>
      </c>
      <c r="F144" t="s">
        <v>34</v>
      </c>
      <c r="G144" t="s">
        <v>20</v>
      </c>
      <c r="H144" t="s">
        <v>113</v>
      </c>
      <c r="I144" t="s">
        <v>153</v>
      </c>
      <c r="J144">
        <v>6</v>
      </c>
      <c r="K144" s="3">
        <v>935.53</v>
      </c>
      <c r="L144" s="2">
        <v>792.43</v>
      </c>
      <c r="M144" s="2">
        <f>Table1[[#This Row],[UnitPrice]]*Table1[[#This Row],[Quantity]]</f>
        <v>5613.18</v>
      </c>
      <c r="N144" s="2">
        <f>Table1[[#This Row],[CostPrice]]*Table1[[#This Row],[Quantity]]</f>
        <v>4754.58</v>
      </c>
      <c r="O144" s="2">
        <v>577.94000000000005</v>
      </c>
      <c r="P144" s="4">
        <v>0.05</v>
      </c>
      <c r="Q144" t="s">
        <v>23</v>
      </c>
      <c r="R144" s="4">
        <f t="shared" si="2"/>
        <v>0.10296124478459626</v>
      </c>
    </row>
    <row r="145" spans="1:18" x14ac:dyDescent="0.25">
      <c r="A145">
        <v>1578</v>
      </c>
      <c r="B145" s="1">
        <v>45029</v>
      </c>
      <c r="C145" t="s">
        <v>270</v>
      </c>
      <c r="D145" t="s">
        <v>17</v>
      </c>
      <c r="E145" t="s">
        <v>18</v>
      </c>
      <c r="F145" t="s">
        <v>34</v>
      </c>
      <c r="G145" t="s">
        <v>35</v>
      </c>
      <c r="H145" t="s">
        <v>49</v>
      </c>
      <c r="I145" t="s">
        <v>59</v>
      </c>
      <c r="J145">
        <v>9</v>
      </c>
      <c r="K145" s="3">
        <v>739.1</v>
      </c>
      <c r="L145" s="2">
        <v>486.8</v>
      </c>
      <c r="M145" s="2">
        <f>Table1[[#This Row],[UnitPrice]]*Table1[[#This Row],[Quantity]]</f>
        <v>6651.9000000000005</v>
      </c>
      <c r="N145" s="2">
        <f>Table1[[#This Row],[CostPrice]]*Table1[[#This Row],[Quantity]]</f>
        <v>4381.2</v>
      </c>
      <c r="O145" s="2">
        <v>2204.1799999999998</v>
      </c>
      <c r="P145" s="4">
        <v>0.01</v>
      </c>
      <c r="Q145" t="s">
        <v>51</v>
      </c>
      <c r="R145" s="4">
        <f t="shared" si="2"/>
        <v>0.3313609645364482</v>
      </c>
    </row>
    <row r="146" spans="1:18" x14ac:dyDescent="0.25">
      <c r="A146">
        <v>1049</v>
      </c>
      <c r="B146" s="1">
        <v>45031</v>
      </c>
      <c r="C146" t="s">
        <v>97</v>
      </c>
      <c r="D146" t="s">
        <v>32</v>
      </c>
      <c r="E146" t="s">
        <v>33</v>
      </c>
      <c r="F146" t="s">
        <v>34</v>
      </c>
      <c r="G146" t="s">
        <v>35</v>
      </c>
      <c r="H146" t="s">
        <v>70</v>
      </c>
      <c r="I146" t="s">
        <v>71</v>
      </c>
      <c r="J146">
        <v>6</v>
      </c>
      <c r="K146" s="3">
        <v>73.61</v>
      </c>
      <c r="L146" s="2">
        <v>53.49</v>
      </c>
      <c r="M146" s="2">
        <f>Table1[[#This Row],[UnitPrice]]*Table1[[#This Row],[Quantity]]</f>
        <v>441.65999999999997</v>
      </c>
      <c r="N146" s="2">
        <f>Table1[[#This Row],[CostPrice]]*Table1[[#This Row],[Quantity]]</f>
        <v>320.94</v>
      </c>
      <c r="O146" s="2">
        <v>120.72</v>
      </c>
      <c r="P146" s="4">
        <v>0</v>
      </c>
      <c r="Q146" t="s">
        <v>75</v>
      </c>
      <c r="R146" s="4">
        <f t="shared" si="2"/>
        <v>0.27333242765928545</v>
      </c>
    </row>
    <row r="147" spans="1:18" x14ac:dyDescent="0.25">
      <c r="A147">
        <v>1113</v>
      </c>
      <c r="B147" s="1">
        <v>45032</v>
      </c>
      <c r="C147" t="s">
        <v>169</v>
      </c>
      <c r="D147" t="s">
        <v>32</v>
      </c>
      <c r="E147" t="s">
        <v>33</v>
      </c>
      <c r="F147" t="s">
        <v>19</v>
      </c>
      <c r="G147" t="s">
        <v>20</v>
      </c>
      <c r="H147" t="s">
        <v>21</v>
      </c>
      <c r="I147" t="s">
        <v>79</v>
      </c>
      <c r="J147">
        <v>8</v>
      </c>
      <c r="K147" s="3">
        <v>526.45000000000005</v>
      </c>
      <c r="L147" s="2">
        <v>375.59</v>
      </c>
      <c r="M147" s="2">
        <f>Table1[[#This Row],[UnitPrice]]*Table1[[#This Row],[Quantity]]</f>
        <v>4211.6000000000004</v>
      </c>
      <c r="N147" s="2">
        <f>Table1[[#This Row],[CostPrice]]*Table1[[#This Row],[Quantity]]</f>
        <v>3004.72</v>
      </c>
      <c r="O147" s="2">
        <v>743.6</v>
      </c>
      <c r="P147" s="4">
        <v>0.11</v>
      </c>
      <c r="Q147" t="s">
        <v>30</v>
      </c>
      <c r="R147" s="4">
        <f t="shared" si="2"/>
        <v>0.17655997720581251</v>
      </c>
    </row>
    <row r="148" spans="1:18" x14ac:dyDescent="0.25">
      <c r="A148">
        <v>1232</v>
      </c>
      <c r="B148" s="1">
        <v>45032</v>
      </c>
      <c r="C148" t="s">
        <v>134</v>
      </c>
      <c r="D148" t="s">
        <v>32</v>
      </c>
      <c r="E148" t="s">
        <v>26</v>
      </c>
      <c r="F148" t="s">
        <v>27</v>
      </c>
      <c r="G148" t="s">
        <v>20</v>
      </c>
      <c r="H148" t="s">
        <v>113</v>
      </c>
      <c r="I148" t="s">
        <v>161</v>
      </c>
      <c r="J148">
        <v>3</v>
      </c>
      <c r="K148" s="3">
        <v>73.069999999999993</v>
      </c>
      <c r="L148" s="2">
        <v>50.94</v>
      </c>
      <c r="M148" s="2">
        <f>Table1[[#This Row],[UnitPrice]]*Table1[[#This Row],[Quantity]]</f>
        <v>219.20999999999998</v>
      </c>
      <c r="N148" s="2">
        <f>Table1[[#This Row],[CostPrice]]*Table1[[#This Row],[Quantity]]</f>
        <v>152.82</v>
      </c>
      <c r="O148" s="2">
        <v>26.93</v>
      </c>
      <c r="P148" s="4">
        <v>0.18</v>
      </c>
      <c r="Q148" t="s">
        <v>92</v>
      </c>
      <c r="R148" s="4">
        <f t="shared" si="2"/>
        <v>0.12285023493453767</v>
      </c>
    </row>
    <row r="149" spans="1:18" x14ac:dyDescent="0.25">
      <c r="A149">
        <v>1350</v>
      </c>
      <c r="B149" s="1">
        <v>45032</v>
      </c>
      <c r="C149" t="s">
        <v>226</v>
      </c>
      <c r="D149" t="s">
        <v>17</v>
      </c>
      <c r="E149" t="s">
        <v>18</v>
      </c>
      <c r="F149" t="s">
        <v>40</v>
      </c>
      <c r="G149" t="s">
        <v>41</v>
      </c>
      <c r="H149" t="s">
        <v>63</v>
      </c>
      <c r="I149" t="s">
        <v>64</v>
      </c>
      <c r="J149">
        <v>3</v>
      </c>
      <c r="K149" s="3">
        <v>379.78</v>
      </c>
      <c r="L149" s="2">
        <v>240.2</v>
      </c>
      <c r="M149" s="2">
        <f>Table1[[#This Row],[UnitPrice]]*Table1[[#This Row],[Quantity]]</f>
        <v>1139.3399999999999</v>
      </c>
      <c r="N149" s="2">
        <f>Table1[[#This Row],[CostPrice]]*Table1[[#This Row],[Quantity]]</f>
        <v>720.59999999999991</v>
      </c>
      <c r="O149" s="2">
        <v>213.66</v>
      </c>
      <c r="P149" s="4">
        <v>0.18</v>
      </c>
      <c r="Q149" t="s">
        <v>44</v>
      </c>
      <c r="R149" s="4">
        <f t="shared" si="2"/>
        <v>0.18752962241297594</v>
      </c>
    </row>
    <row r="150" spans="1:18" x14ac:dyDescent="0.25">
      <c r="A150">
        <v>1248</v>
      </c>
      <c r="B150" s="1">
        <v>45033</v>
      </c>
      <c r="C150" t="s">
        <v>229</v>
      </c>
      <c r="D150" t="s">
        <v>25</v>
      </c>
      <c r="E150" t="s">
        <v>53</v>
      </c>
      <c r="F150" t="s">
        <v>27</v>
      </c>
      <c r="G150" t="s">
        <v>20</v>
      </c>
      <c r="H150" t="s">
        <v>21</v>
      </c>
      <c r="I150" t="s">
        <v>54</v>
      </c>
      <c r="J150">
        <v>2</v>
      </c>
      <c r="K150" s="3">
        <v>48.68</v>
      </c>
      <c r="L150" s="2">
        <v>28.28</v>
      </c>
      <c r="M150" s="2">
        <f>Table1[[#This Row],[UnitPrice]]*Table1[[#This Row],[Quantity]]</f>
        <v>97.36</v>
      </c>
      <c r="N150" s="2">
        <f>Table1[[#This Row],[CostPrice]]*Table1[[#This Row],[Quantity]]</f>
        <v>56.56</v>
      </c>
      <c r="O150" s="2">
        <v>16.46</v>
      </c>
      <c r="P150" s="4">
        <v>0.25</v>
      </c>
      <c r="Q150" t="s">
        <v>75</v>
      </c>
      <c r="R150" s="4">
        <f t="shared" si="2"/>
        <v>0.169063270336894</v>
      </c>
    </row>
    <row r="151" spans="1:18" x14ac:dyDescent="0.25">
      <c r="A151">
        <v>1507</v>
      </c>
      <c r="B151" s="1">
        <v>45033</v>
      </c>
      <c r="C151" t="s">
        <v>203</v>
      </c>
      <c r="D151" t="s">
        <v>17</v>
      </c>
      <c r="E151" t="s">
        <v>26</v>
      </c>
      <c r="F151" t="s">
        <v>19</v>
      </c>
      <c r="G151" t="s">
        <v>20</v>
      </c>
      <c r="H151" t="s">
        <v>28</v>
      </c>
      <c r="I151" t="s">
        <v>90</v>
      </c>
      <c r="J151">
        <v>2</v>
      </c>
      <c r="K151" s="3">
        <v>895.6</v>
      </c>
      <c r="L151" s="2">
        <v>673.93</v>
      </c>
      <c r="M151" s="2">
        <f>Table1[[#This Row],[UnitPrice]]*Table1[[#This Row],[Quantity]]</f>
        <v>1791.2</v>
      </c>
      <c r="N151" s="2">
        <f>Table1[[#This Row],[CostPrice]]*Table1[[#This Row],[Quantity]]</f>
        <v>1347.86</v>
      </c>
      <c r="O151" s="2">
        <v>120.92</v>
      </c>
      <c r="P151" s="4">
        <v>0.18</v>
      </c>
      <c r="Q151" t="s">
        <v>85</v>
      </c>
      <c r="R151" s="4">
        <f t="shared" si="2"/>
        <v>6.7507815989280934E-2</v>
      </c>
    </row>
    <row r="152" spans="1:18" x14ac:dyDescent="0.25">
      <c r="A152">
        <v>1147</v>
      </c>
      <c r="B152" s="1">
        <v>45035</v>
      </c>
      <c r="C152" t="s">
        <v>180</v>
      </c>
      <c r="D152" t="s">
        <v>32</v>
      </c>
      <c r="E152" t="s">
        <v>33</v>
      </c>
      <c r="F152" t="s">
        <v>40</v>
      </c>
      <c r="G152" t="s">
        <v>35</v>
      </c>
      <c r="H152" t="s">
        <v>36</v>
      </c>
      <c r="I152" t="s">
        <v>87</v>
      </c>
      <c r="J152">
        <v>2</v>
      </c>
      <c r="K152" s="3">
        <v>55.35</v>
      </c>
      <c r="L152" s="2">
        <v>45.99</v>
      </c>
      <c r="M152" s="2">
        <f>Table1[[#This Row],[UnitPrice]]*Table1[[#This Row],[Quantity]]</f>
        <v>110.7</v>
      </c>
      <c r="N152" s="2">
        <f>Table1[[#This Row],[CostPrice]]*Table1[[#This Row],[Quantity]]</f>
        <v>91.98</v>
      </c>
      <c r="O152" s="2">
        <v>-10.06</v>
      </c>
      <c r="P152" s="4">
        <v>0.26</v>
      </c>
      <c r="Q152" t="s">
        <v>75</v>
      </c>
      <c r="R152" s="4">
        <f t="shared" si="2"/>
        <v>-9.0876242095754289E-2</v>
      </c>
    </row>
    <row r="153" spans="1:18" x14ac:dyDescent="0.25">
      <c r="A153">
        <v>1728</v>
      </c>
      <c r="B153" s="1">
        <v>45035</v>
      </c>
      <c r="C153" t="s">
        <v>80</v>
      </c>
      <c r="D153" t="s">
        <v>25</v>
      </c>
      <c r="E153" t="s">
        <v>26</v>
      </c>
      <c r="F153" t="s">
        <v>40</v>
      </c>
      <c r="G153" t="s">
        <v>35</v>
      </c>
      <c r="H153" t="s">
        <v>49</v>
      </c>
      <c r="I153" t="s">
        <v>66</v>
      </c>
      <c r="J153">
        <v>5</v>
      </c>
      <c r="K153" s="3">
        <v>667.6</v>
      </c>
      <c r="L153" s="2">
        <v>556.13</v>
      </c>
      <c r="M153" s="2">
        <f>Table1[[#This Row],[UnitPrice]]*Table1[[#This Row],[Quantity]]</f>
        <v>3338</v>
      </c>
      <c r="N153" s="2">
        <f>Table1[[#This Row],[CostPrice]]*Table1[[#This Row],[Quantity]]</f>
        <v>2780.65</v>
      </c>
      <c r="O153" s="2">
        <v>-110.25</v>
      </c>
      <c r="P153" s="4">
        <v>0.2</v>
      </c>
      <c r="Q153" t="s">
        <v>92</v>
      </c>
      <c r="R153" s="4">
        <f t="shared" si="2"/>
        <v>-3.3028759736369082E-2</v>
      </c>
    </row>
    <row r="154" spans="1:18" x14ac:dyDescent="0.25">
      <c r="A154">
        <v>1406</v>
      </c>
      <c r="B154" s="1">
        <v>45036</v>
      </c>
      <c r="C154" t="s">
        <v>264</v>
      </c>
      <c r="D154" t="s">
        <v>25</v>
      </c>
      <c r="E154" t="s">
        <v>33</v>
      </c>
      <c r="F154" t="s">
        <v>27</v>
      </c>
      <c r="G154" t="s">
        <v>41</v>
      </c>
      <c r="H154" t="s">
        <v>46</v>
      </c>
      <c r="I154" t="s">
        <v>102</v>
      </c>
      <c r="J154">
        <v>10</v>
      </c>
      <c r="K154" s="3">
        <v>702.81</v>
      </c>
      <c r="L154" s="2">
        <v>414.36</v>
      </c>
      <c r="M154" s="2">
        <f>Table1[[#This Row],[UnitPrice]]*Table1[[#This Row],[Quantity]]</f>
        <v>7028.0999999999995</v>
      </c>
      <c r="N154" s="2">
        <f>Table1[[#This Row],[CostPrice]]*Table1[[#This Row],[Quantity]]</f>
        <v>4143.6000000000004</v>
      </c>
      <c r="O154" s="2">
        <v>2111.41</v>
      </c>
      <c r="P154" s="4">
        <v>0.11</v>
      </c>
      <c r="Q154" t="s">
        <v>125</v>
      </c>
      <c r="R154" s="4">
        <f t="shared" si="2"/>
        <v>0.30042401217967873</v>
      </c>
    </row>
    <row r="155" spans="1:18" x14ac:dyDescent="0.25">
      <c r="A155">
        <v>1891</v>
      </c>
      <c r="B155" s="1">
        <v>45037</v>
      </c>
      <c r="C155" t="s">
        <v>140</v>
      </c>
      <c r="D155" t="s">
        <v>32</v>
      </c>
      <c r="E155" t="s">
        <v>26</v>
      </c>
      <c r="F155" t="s">
        <v>19</v>
      </c>
      <c r="G155" t="s">
        <v>20</v>
      </c>
      <c r="H155" t="s">
        <v>28</v>
      </c>
      <c r="I155" t="s">
        <v>61</v>
      </c>
      <c r="J155">
        <v>8</v>
      </c>
      <c r="K155" s="3">
        <v>680.45</v>
      </c>
      <c r="L155" s="2">
        <v>393.93</v>
      </c>
      <c r="M155" s="2">
        <f>Table1[[#This Row],[UnitPrice]]*Table1[[#This Row],[Quantity]]</f>
        <v>5443.6</v>
      </c>
      <c r="N155" s="2">
        <f>Table1[[#This Row],[CostPrice]]*Table1[[#This Row],[Quantity]]</f>
        <v>3151.44</v>
      </c>
      <c r="O155" s="2">
        <v>1094.57</v>
      </c>
      <c r="P155" s="4">
        <v>0.22</v>
      </c>
      <c r="Q155" t="s">
        <v>75</v>
      </c>
      <c r="R155" s="4">
        <f t="shared" si="2"/>
        <v>0.20107465647733117</v>
      </c>
    </row>
    <row r="156" spans="1:18" x14ac:dyDescent="0.25">
      <c r="A156">
        <v>1251</v>
      </c>
      <c r="B156" s="1">
        <v>45038</v>
      </c>
      <c r="C156" t="s">
        <v>145</v>
      </c>
      <c r="D156" t="s">
        <v>25</v>
      </c>
      <c r="E156" t="s">
        <v>53</v>
      </c>
      <c r="F156" t="s">
        <v>27</v>
      </c>
      <c r="G156" t="s">
        <v>35</v>
      </c>
      <c r="H156" t="s">
        <v>49</v>
      </c>
      <c r="I156" t="s">
        <v>66</v>
      </c>
      <c r="J156">
        <v>9</v>
      </c>
      <c r="K156" s="3">
        <v>361.5</v>
      </c>
      <c r="L156" s="2">
        <v>278.22000000000003</v>
      </c>
      <c r="M156" s="2">
        <f>Table1[[#This Row],[UnitPrice]]*Table1[[#This Row],[Quantity]]</f>
        <v>3253.5</v>
      </c>
      <c r="N156" s="2">
        <f>Table1[[#This Row],[CostPrice]]*Table1[[#This Row],[Quantity]]</f>
        <v>2503.9800000000005</v>
      </c>
      <c r="O156" s="2">
        <v>294.02999999999997</v>
      </c>
      <c r="P156" s="4">
        <v>0.14000000000000001</v>
      </c>
      <c r="Q156" t="s">
        <v>55</v>
      </c>
      <c r="R156" s="4">
        <f t="shared" si="2"/>
        <v>9.0373443983402482E-2</v>
      </c>
    </row>
    <row r="157" spans="1:18" x14ac:dyDescent="0.25">
      <c r="A157">
        <v>1357</v>
      </c>
      <c r="B157" s="1">
        <v>45038</v>
      </c>
      <c r="C157" t="s">
        <v>258</v>
      </c>
      <c r="D157" t="s">
        <v>17</v>
      </c>
      <c r="E157" t="s">
        <v>53</v>
      </c>
      <c r="F157" t="s">
        <v>19</v>
      </c>
      <c r="G157" t="s">
        <v>41</v>
      </c>
      <c r="H157" t="s">
        <v>42</v>
      </c>
      <c r="I157" t="s">
        <v>77</v>
      </c>
      <c r="J157">
        <v>8</v>
      </c>
      <c r="K157" s="3">
        <v>902.1</v>
      </c>
      <c r="L157" s="2">
        <v>640.42999999999995</v>
      </c>
      <c r="M157" s="2">
        <f>Table1[[#This Row],[UnitPrice]]*Table1[[#This Row],[Quantity]]</f>
        <v>7216.8</v>
      </c>
      <c r="N157" s="2">
        <f>Table1[[#This Row],[CostPrice]]*Table1[[#This Row],[Quantity]]</f>
        <v>5123.4399999999996</v>
      </c>
      <c r="O157" s="2">
        <v>216.99</v>
      </c>
      <c r="P157" s="4">
        <v>0.26</v>
      </c>
      <c r="Q157" t="s">
        <v>38</v>
      </c>
      <c r="R157" s="4">
        <f t="shared" si="2"/>
        <v>3.0067342866644496E-2</v>
      </c>
    </row>
    <row r="158" spans="1:18" x14ac:dyDescent="0.25">
      <c r="A158">
        <v>1717</v>
      </c>
      <c r="B158" s="1">
        <v>45038</v>
      </c>
      <c r="C158" t="s">
        <v>155</v>
      </c>
      <c r="D158" t="s">
        <v>32</v>
      </c>
      <c r="E158" t="s">
        <v>26</v>
      </c>
      <c r="F158" t="s">
        <v>40</v>
      </c>
      <c r="G158" t="s">
        <v>41</v>
      </c>
      <c r="H158" t="s">
        <v>42</v>
      </c>
      <c r="I158" t="s">
        <v>43</v>
      </c>
      <c r="J158">
        <v>7</v>
      </c>
      <c r="K158" s="3">
        <v>700.51</v>
      </c>
      <c r="L158" s="2">
        <v>351.83</v>
      </c>
      <c r="M158" s="2">
        <f>Table1[[#This Row],[UnitPrice]]*Table1[[#This Row],[Quantity]]</f>
        <v>4903.57</v>
      </c>
      <c r="N158" s="2">
        <f>Table1[[#This Row],[CostPrice]]*Table1[[#This Row],[Quantity]]</f>
        <v>2462.81</v>
      </c>
      <c r="O158" s="2">
        <v>2195.58</v>
      </c>
      <c r="P158" s="4">
        <v>0.05</v>
      </c>
      <c r="Q158" t="s">
        <v>55</v>
      </c>
      <c r="R158" s="4">
        <f t="shared" si="2"/>
        <v>0.44775133219266783</v>
      </c>
    </row>
    <row r="159" spans="1:18" x14ac:dyDescent="0.25">
      <c r="A159">
        <v>1860</v>
      </c>
      <c r="B159" s="1">
        <v>45038</v>
      </c>
      <c r="C159" t="s">
        <v>254</v>
      </c>
      <c r="D159" t="s">
        <v>17</v>
      </c>
      <c r="E159" t="s">
        <v>26</v>
      </c>
      <c r="F159" t="s">
        <v>34</v>
      </c>
      <c r="G159" t="s">
        <v>20</v>
      </c>
      <c r="H159" t="s">
        <v>21</v>
      </c>
      <c r="I159" t="s">
        <v>22</v>
      </c>
      <c r="J159">
        <v>1</v>
      </c>
      <c r="K159" s="3">
        <v>577.35</v>
      </c>
      <c r="L159" s="2">
        <v>336.92</v>
      </c>
      <c r="M159" s="2">
        <f>Table1[[#This Row],[UnitPrice]]*Table1[[#This Row],[Quantity]]</f>
        <v>577.35</v>
      </c>
      <c r="N159" s="2">
        <f>Table1[[#This Row],[CostPrice]]*Table1[[#This Row],[Quantity]]</f>
        <v>336.92</v>
      </c>
      <c r="O159" s="2">
        <v>148.05000000000001</v>
      </c>
      <c r="P159" s="4">
        <v>0.16</v>
      </c>
      <c r="Q159" t="s">
        <v>30</v>
      </c>
      <c r="R159" s="4">
        <f t="shared" si="2"/>
        <v>0.25643024162120032</v>
      </c>
    </row>
    <row r="160" spans="1:18" x14ac:dyDescent="0.25">
      <c r="A160">
        <v>1008</v>
      </c>
      <c r="B160" s="1">
        <v>45039</v>
      </c>
      <c r="C160" t="s">
        <v>58</v>
      </c>
      <c r="D160" t="s">
        <v>25</v>
      </c>
      <c r="E160" t="s">
        <v>53</v>
      </c>
      <c r="F160" t="s">
        <v>34</v>
      </c>
      <c r="G160" t="s">
        <v>35</v>
      </c>
      <c r="H160" t="s">
        <v>49</v>
      </c>
      <c r="I160" t="s">
        <v>59</v>
      </c>
      <c r="J160">
        <v>8</v>
      </c>
      <c r="K160" s="3">
        <v>531.47</v>
      </c>
      <c r="L160" s="2">
        <v>446.37</v>
      </c>
      <c r="M160" s="2">
        <f>Table1[[#This Row],[UnitPrice]]*Table1[[#This Row],[Quantity]]</f>
        <v>4251.76</v>
      </c>
      <c r="N160" s="2">
        <f>Table1[[#This Row],[CostPrice]]*Table1[[#This Row],[Quantity]]</f>
        <v>3570.96</v>
      </c>
      <c r="O160" s="2">
        <v>-424.66</v>
      </c>
      <c r="P160" s="4">
        <v>0.26</v>
      </c>
      <c r="Q160" t="s">
        <v>51</v>
      </c>
      <c r="R160" s="4">
        <f t="shared" si="2"/>
        <v>-9.987863849323575E-2</v>
      </c>
    </row>
    <row r="161" spans="1:18" x14ac:dyDescent="0.25">
      <c r="A161">
        <v>1471</v>
      </c>
      <c r="B161" s="1">
        <v>45039</v>
      </c>
      <c r="C161" t="s">
        <v>257</v>
      </c>
      <c r="D161" t="s">
        <v>25</v>
      </c>
      <c r="E161" t="s">
        <v>26</v>
      </c>
      <c r="F161" t="s">
        <v>27</v>
      </c>
      <c r="G161" t="s">
        <v>41</v>
      </c>
      <c r="H161" t="s">
        <v>63</v>
      </c>
      <c r="I161" t="s">
        <v>117</v>
      </c>
      <c r="J161">
        <v>6</v>
      </c>
      <c r="K161" s="3">
        <v>713.21</v>
      </c>
      <c r="L161" s="2">
        <v>457.96</v>
      </c>
      <c r="M161" s="2">
        <f>Table1[[#This Row],[UnitPrice]]*Table1[[#This Row],[Quantity]]</f>
        <v>4279.26</v>
      </c>
      <c r="N161" s="2">
        <f>Table1[[#This Row],[CostPrice]]*Table1[[#This Row],[Quantity]]</f>
        <v>2747.7599999999998</v>
      </c>
      <c r="O161" s="2">
        <v>975.2</v>
      </c>
      <c r="P161" s="4">
        <v>0.13</v>
      </c>
      <c r="Q161" t="s">
        <v>23</v>
      </c>
      <c r="R161" s="4">
        <f t="shared" si="2"/>
        <v>0.22788986880909315</v>
      </c>
    </row>
    <row r="162" spans="1:18" x14ac:dyDescent="0.25">
      <c r="A162">
        <v>1488</v>
      </c>
      <c r="B162" s="1">
        <v>45040</v>
      </c>
      <c r="C162" t="s">
        <v>137</v>
      </c>
      <c r="D162" t="s">
        <v>32</v>
      </c>
      <c r="E162" t="s">
        <v>18</v>
      </c>
      <c r="F162" t="s">
        <v>27</v>
      </c>
      <c r="G162" t="s">
        <v>41</v>
      </c>
      <c r="H162" t="s">
        <v>42</v>
      </c>
      <c r="I162" t="s">
        <v>43</v>
      </c>
      <c r="J162">
        <v>8</v>
      </c>
      <c r="K162" s="3">
        <v>923.08</v>
      </c>
      <c r="L162" s="2">
        <v>550.83000000000004</v>
      </c>
      <c r="M162" s="2">
        <f>Table1[[#This Row],[UnitPrice]]*Table1[[#This Row],[Quantity]]</f>
        <v>7384.64</v>
      </c>
      <c r="N162" s="2">
        <f>Table1[[#This Row],[CostPrice]]*Table1[[#This Row],[Quantity]]</f>
        <v>4406.6400000000003</v>
      </c>
      <c r="O162" s="2">
        <v>2018</v>
      </c>
      <c r="P162" s="4">
        <v>0.13</v>
      </c>
      <c r="Q162" t="s">
        <v>85</v>
      </c>
      <c r="R162" s="4">
        <f t="shared" si="2"/>
        <v>0.27326992243359188</v>
      </c>
    </row>
    <row r="163" spans="1:18" x14ac:dyDescent="0.25">
      <c r="A163">
        <v>1617</v>
      </c>
      <c r="B163" s="1">
        <v>45040</v>
      </c>
      <c r="C163" t="s">
        <v>182</v>
      </c>
      <c r="D163" t="s">
        <v>17</v>
      </c>
      <c r="E163" t="s">
        <v>33</v>
      </c>
      <c r="F163" t="s">
        <v>34</v>
      </c>
      <c r="G163" t="s">
        <v>41</v>
      </c>
      <c r="H163" t="s">
        <v>42</v>
      </c>
      <c r="I163" t="s">
        <v>77</v>
      </c>
      <c r="J163">
        <v>2</v>
      </c>
      <c r="K163" s="3">
        <v>871.52</v>
      </c>
      <c r="L163" s="2">
        <v>713.64</v>
      </c>
      <c r="M163" s="2">
        <f>Table1[[#This Row],[UnitPrice]]*Table1[[#This Row],[Quantity]]</f>
        <v>1743.04</v>
      </c>
      <c r="N163" s="2">
        <f>Table1[[#This Row],[CostPrice]]*Table1[[#This Row],[Quantity]]</f>
        <v>1427.28</v>
      </c>
      <c r="O163" s="2">
        <v>228.61</v>
      </c>
      <c r="P163" s="4">
        <v>0.05</v>
      </c>
      <c r="Q163" t="s">
        <v>30</v>
      </c>
      <c r="R163" s="4">
        <f t="shared" si="2"/>
        <v>0.13115591151092346</v>
      </c>
    </row>
    <row r="164" spans="1:18" x14ac:dyDescent="0.25">
      <c r="A164">
        <v>1765</v>
      </c>
      <c r="B164" s="1">
        <v>45040</v>
      </c>
      <c r="C164" t="s">
        <v>289</v>
      </c>
      <c r="D164" t="s">
        <v>25</v>
      </c>
      <c r="E164" t="s">
        <v>26</v>
      </c>
      <c r="F164" t="s">
        <v>27</v>
      </c>
      <c r="G164" t="s">
        <v>35</v>
      </c>
      <c r="H164" t="s">
        <v>70</v>
      </c>
      <c r="I164" t="s">
        <v>71</v>
      </c>
      <c r="J164">
        <v>1</v>
      </c>
      <c r="K164" s="3">
        <v>164.51</v>
      </c>
      <c r="L164" s="2">
        <v>93.71</v>
      </c>
      <c r="M164" s="2">
        <f>Table1[[#This Row],[UnitPrice]]*Table1[[#This Row],[Quantity]]</f>
        <v>164.51</v>
      </c>
      <c r="N164" s="2">
        <f>Table1[[#This Row],[CostPrice]]*Table1[[#This Row],[Quantity]]</f>
        <v>93.71</v>
      </c>
      <c r="O164" s="2">
        <v>47.77</v>
      </c>
      <c r="P164" s="4">
        <v>0.14000000000000001</v>
      </c>
      <c r="Q164" t="s">
        <v>30</v>
      </c>
      <c r="R164" s="4">
        <f t="shared" si="2"/>
        <v>0.29037748465138902</v>
      </c>
    </row>
    <row r="165" spans="1:18" x14ac:dyDescent="0.25">
      <c r="A165">
        <v>1172</v>
      </c>
      <c r="B165" s="1">
        <v>45041</v>
      </c>
      <c r="C165" t="s">
        <v>191</v>
      </c>
      <c r="D165" t="s">
        <v>17</v>
      </c>
      <c r="E165" t="s">
        <v>26</v>
      </c>
      <c r="F165" t="s">
        <v>19</v>
      </c>
      <c r="G165" t="s">
        <v>20</v>
      </c>
      <c r="H165" t="s">
        <v>28</v>
      </c>
      <c r="I165" t="s">
        <v>61</v>
      </c>
      <c r="J165">
        <v>2</v>
      </c>
      <c r="K165" s="3">
        <v>681.89</v>
      </c>
      <c r="L165" s="2">
        <v>512.04999999999995</v>
      </c>
      <c r="M165" s="2">
        <f>Table1[[#This Row],[UnitPrice]]*Table1[[#This Row],[Quantity]]</f>
        <v>1363.78</v>
      </c>
      <c r="N165" s="2">
        <f>Table1[[#This Row],[CostPrice]]*Table1[[#This Row],[Quantity]]</f>
        <v>1024.0999999999999</v>
      </c>
      <c r="O165" s="2">
        <v>135.11000000000001</v>
      </c>
      <c r="P165" s="4">
        <v>0.15</v>
      </c>
      <c r="Q165" t="s">
        <v>38</v>
      </c>
      <c r="R165" s="4">
        <f t="shared" si="2"/>
        <v>9.9070231268973019E-2</v>
      </c>
    </row>
    <row r="166" spans="1:18" x14ac:dyDescent="0.25">
      <c r="A166">
        <v>1606</v>
      </c>
      <c r="B166" s="1">
        <v>45041</v>
      </c>
      <c r="C166" t="s">
        <v>52</v>
      </c>
      <c r="D166" t="s">
        <v>17</v>
      </c>
      <c r="E166" t="s">
        <v>26</v>
      </c>
      <c r="F166" t="s">
        <v>34</v>
      </c>
      <c r="G166" t="s">
        <v>20</v>
      </c>
      <c r="H166" t="s">
        <v>28</v>
      </c>
      <c r="I166" t="s">
        <v>81</v>
      </c>
      <c r="J166">
        <v>4</v>
      </c>
      <c r="K166" s="3">
        <v>438.61</v>
      </c>
      <c r="L166" s="2">
        <v>315.41000000000003</v>
      </c>
      <c r="M166" s="2">
        <f>Table1[[#This Row],[UnitPrice]]*Table1[[#This Row],[Quantity]]</f>
        <v>1754.44</v>
      </c>
      <c r="N166" s="2">
        <f>Table1[[#This Row],[CostPrice]]*Table1[[#This Row],[Quantity]]</f>
        <v>1261.6400000000001</v>
      </c>
      <c r="O166" s="2">
        <v>71.73</v>
      </c>
      <c r="P166" s="4">
        <v>0.24</v>
      </c>
      <c r="Q166" t="s">
        <v>23</v>
      </c>
      <c r="R166" s="4">
        <f t="shared" si="2"/>
        <v>4.0884840746904995E-2</v>
      </c>
    </row>
    <row r="167" spans="1:18" x14ac:dyDescent="0.25">
      <c r="A167">
        <v>1353</v>
      </c>
      <c r="B167" s="1">
        <v>45043</v>
      </c>
      <c r="C167" t="s">
        <v>201</v>
      </c>
      <c r="D167" t="s">
        <v>32</v>
      </c>
      <c r="E167" t="s">
        <v>53</v>
      </c>
      <c r="F167" t="s">
        <v>19</v>
      </c>
      <c r="G167" t="s">
        <v>41</v>
      </c>
      <c r="H167" t="s">
        <v>42</v>
      </c>
      <c r="I167" t="s">
        <v>43</v>
      </c>
      <c r="J167">
        <v>7</v>
      </c>
      <c r="K167" s="3">
        <v>27.33</v>
      </c>
      <c r="L167" s="2">
        <v>14.08</v>
      </c>
      <c r="M167" s="2">
        <f>Table1[[#This Row],[UnitPrice]]*Table1[[#This Row],[Quantity]]</f>
        <v>191.31</v>
      </c>
      <c r="N167" s="2">
        <f>Table1[[#This Row],[CostPrice]]*Table1[[#This Row],[Quantity]]</f>
        <v>98.56</v>
      </c>
      <c r="O167" s="2">
        <v>60.23</v>
      </c>
      <c r="P167" s="4">
        <v>0.17</v>
      </c>
      <c r="Q167" t="s">
        <v>92</v>
      </c>
      <c r="R167" s="4">
        <f t="shared" si="2"/>
        <v>0.31482933458784168</v>
      </c>
    </row>
    <row r="168" spans="1:18" x14ac:dyDescent="0.25">
      <c r="A168">
        <v>1826</v>
      </c>
      <c r="B168" s="1">
        <v>45043</v>
      </c>
      <c r="C168" t="s">
        <v>242</v>
      </c>
      <c r="D168" t="s">
        <v>32</v>
      </c>
      <c r="E168" t="s">
        <v>53</v>
      </c>
      <c r="F168" t="s">
        <v>40</v>
      </c>
      <c r="G168" t="s">
        <v>20</v>
      </c>
      <c r="H168" t="s">
        <v>113</v>
      </c>
      <c r="I168" t="s">
        <v>161</v>
      </c>
      <c r="J168">
        <v>3</v>
      </c>
      <c r="K168" s="3">
        <v>545.04999999999995</v>
      </c>
      <c r="L168" s="2">
        <v>345.31</v>
      </c>
      <c r="M168" s="2">
        <f>Table1[[#This Row],[UnitPrice]]*Table1[[#This Row],[Quantity]]</f>
        <v>1635.1499999999999</v>
      </c>
      <c r="N168" s="2">
        <f>Table1[[#This Row],[CostPrice]]*Table1[[#This Row],[Quantity]]</f>
        <v>1035.93</v>
      </c>
      <c r="O168" s="2">
        <v>190.43</v>
      </c>
      <c r="P168" s="4">
        <v>0.25</v>
      </c>
      <c r="Q168" t="s">
        <v>75</v>
      </c>
      <c r="R168" s="4">
        <f t="shared" si="2"/>
        <v>0.11646026358438065</v>
      </c>
    </row>
    <row r="169" spans="1:18" x14ac:dyDescent="0.25">
      <c r="A169">
        <v>1457</v>
      </c>
      <c r="B169" s="1">
        <v>45045</v>
      </c>
      <c r="C169" t="s">
        <v>219</v>
      </c>
      <c r="D169" t="s">
        <v>25</v>
      </c>
      <c r="E169" t="s">
        <v>33</v>
      </c>
      <c r="F169" t="s">
        <v>40</v>
      </c>
      <c r="G169" t="s">
        <v>35</v>
      </c>
      <c r="H169" t="s">
        <v>36</v>
      </c>
      <c r="I169" t="s">
        <v>87</v>
      </c>
      <c r="J169">
        <v>9</v>
      </c>
      <c r="K169" s="3">
        <v>767.35</v>
      </c>
      <c r="L169" s="2">
        <v>583.91</v>
      </c>
      <c r="M169" s="2">
        <f>Table1[[#This Row],[UnitPrice]]*Table1[[#This Row],[Quantity]]</f>
        <v>6906.1500000000005</v>
      </c>
      <c r="N169" s="2">
        <f>Table1[[#This Row],[CostPrice]]*Table1[[#This Row],[Quantity]]</f>
        <v>5255.19</v>
      </c>
      <c r="O169" s="2">
        <v>1581.9</v>
      </c>
      <c r="P169" s="4">
        <v>0.01</v>
      </c>
      <c r="Q169" t="s">
        <v>30</v>
      </c>
      <c r="R169" s="4">
        <f t="shared" si="2"/>
        <v>0.22905671032340738</v>
      </c>
    </row>
    <row r="170" spans="1:18" x14ac:dyDescent="0.25">
      <c r="A170">
        <v>1731</v>
      </c>
      <c r="B170" s="1">
        <v>45045</v>
      </c>
      <c r="C170" t="s">
        <v>65</v>
      </c>
      <c r="D170" t="s">
        <v>25</v>
      </c>
      <c r="E170" t="s">
        <v>18</v>
      </c>
      <c r="F170" t="s">
        <v>27</v>
      </c>
      <c r="G170" t="s">
        <v>41</v>
      </c>
      <c r="H170" t="s">
        <v>63</v>
      </c>
      <c r="I170" t="s">
        <v>141</v>
      </c>
      <c r="J170">
        <v>5</v>
      </c>
      <c r="K170" s="3">
        <v>66.58</v>
      </c>
      <c r="L170" s="2">
        <v>45.77</v>
      </c>
      <c r="M170" s="2">
        <f>Table1[[#This Row],[UnitPrice]]*Table1[[#This Row],[Quantity]]</f>
        <v>332.9</v>
      </c>
      <c r="N170" s="2">
        <f>Table1[[#This Row],[CostPrice]]*Table1[[#This Row],[Quantity]]</f>
        <v>228.85000000000002</v>
      </c>
      <c r="O170" s="2">
        <v>20.82</v>
      </c>
      <c r="P170" s="4">
        <v>0.25</v>
      </c>
      <c r="Q170" t="s">
        <v>75</v>
      </c>
      <c r="R170" s="4">
        <f t="shared" si="2"/>
        <v>6.2541303694803249E-2</v>
      </c>
    </row>
    <row r="171" spans="1:18" x14ac:dyDescent="0.25">
      <c r="A171">
        <v>1583</v>
      </c>
      <c r="B171" s="1">
        <v>44931</v>
      </c>
      <c r="C171" t="s">
        <v>112</v>
      </c>
      <c r="D171" t="s">
        <v>17</v>
      </c>
      <c r="E171" t="s">
        <v>53</v>
      </c>
      <c r="F171" t="s">
        <v>27</v>
      </c>
      <c r="G171" t="s">
        <v>41</v>
      </c>
      <c r="H171" t="s">
        <v>46</v>
      </c>
      <c r="I171" t="s">
        <v>47</v>
      </c>
      <c r="J171">
        <v>4</v>
      </c>
      <c r="K171" s="3">
        <v>715</v>
      </c>
      <c r="L171" s="2">
        <v>405.18</v>
      </c>
      <c r="M171" s="2">
        <f>Table1[[#This Row],[UnitPrice]]*Table1[[#This Row],[Quantity]]</f>
        <v>2860</v>
      </c>
      <c r="N171" s="2">
        <f>Table1[[#This Row],[CostPrice]]*Table1[[#This Row],[Quantity]]</f>
        <v>1620.72</v>
      </c>
      <c r="O171" s="2">
        <v>495.68</v>
      </c>
      <c r="P171" s="4">
        <v>0.26</v>
      </c>
      <c r="Q171" t="s">
        <v>30</v>
      </c>
      <c r="R171" s="4">
        <f t="shared" si="2"/>
        <v>0.17331468531468533</v>
      </c>
    </row>
    <row r="172" spans="1:18" x14ac:dyDescent="0.25">
      <c r="A172">
        <v>1497</v>
      </c>
      <c r="B172" s="1">
        <v>44962</v>
      </c>
      <c r="C172" t="s">
        <v>31</v>
      </c>
      <c r="D172" t="s">
        <v>17</v>
      </c>
      <c r="E172" t="s">
        <v>53</v>
      </c>
      <c r="F172" t="s">
        <v>19</v>
      </c>
      <c r="G172" t="s">
        <v>41</v>
      </c>
      <c r="H172" t="s">
        <v>63</v>
      </c>
      <c r="I172" t="s">
        <v>141</v>
      </c>
      <c r="J172">
        <v>2</v>
      </c>
      <c r="K172" s="3">
        <v>41.69</v>
      </c>
      <c r="L172" s="2">
        <v>22.91</v>
      </c>
      <c r="M172" s="2">
        <f>Table1[[#This Row],[UnitPrice]]*Table1[[#This Row],[Quantity]]</f>
        <v>83.38</v>
      </c>
      <c r="N172" s="2">
        <f>Table1[[#This Row],[CostPrice]]*Table1[[#This Row],[Quantity]]</f>
        <v>45.82</v>
      </c>
      <c r="O172" s="2">
        <v>20.88</v>
      </c>
      <c r="P172" s="4">
        <v>0.2</v>
      </c>
      <c r="Q172" t="s">
        <v>55</v>
      </c>
      <c r="R172" s="4">
        <f t="shared" si="2"/>
        <v>0.25041976493163831</v>
      </c>
    </row>
    <row r="173" spans="1:18" x14ac:dyDescent="0.25">
      <c r="A173">
        <v>1766</v>
      </c>
      <c r="B173" s="1">
        <v>44962</v>
      </c>
      <c r="C173" t="s">
        <v>78</v>
      </c>
      <c r="D173" t="s">
        <v>17</v>
      </c>
      <c r="E173" t="s">
        <v>53</v>
      </c>
      <c r="F173" t="s">
        <v>19</v>
      </c>
      <c r="G173" t="s">
        <v>35</v>
      </c>
      <c r="H173" t="s">
        <v>49</v>
      </c>
      <c r="I173" t="s">
        <v>59</v>
      </c>
      <c r="J173">
        <v>7</v>
      </c>
      <c r="K173" s="3">
        <v>135.76</v>
      </c>
      <c r="L173" s="2">
        <v>113.39</v>
      </c>
      <c r="M173" s="2">
        <f>Table1[[#This Row],[UnitPrice]]*Table1[[#This Row],[Quantity]]</f>
        <v>950.31999999999994</v>
      </c>
      <c r="N173" s="2">
        <f>Table1[[#This Row],[CostPrice]]*Table1[[#This Row],[Quantity]]</f>
        <v>793.73</v>
      </c>
      <c r="O173" s="2">
        <v>-71.489999999999995</v>
      </c>
      <c r="P173" s="4">
        <v>0.24</v>
      </c>
      <c r="Q173" t="s">
        <v>92</v>
      </c>
      <c r="R173" s="4">
        <f t="shared" si="2"/>
        <v>-7.5227291859584142E-2</v>
      </c>
    </row>
    <row r="174" spans="1:18" x14ac:dyDescent="0.25">
      <c r="A174">
        <v>1858</v>
      </c>
      <c r="B174" s="1">
        <v>44962</v>
      </c>
      <c r="C174" t="s">
        <v>186</v>
      </c>
      <c r="D174" t="s">
        <v>25</v>
      </c>
      <c r="E174" t="s">
        <v>18</v>
      </c>
      <c r="F174" t="s">
        <v>27</v>
      </c>
      <c r="G174" t="s">
        <v>20</v>
      </c>
      <c r="H174" t="s">
        <v>21</v>
      </c>
      <c r="I174" t="s">
        <v>79</v>
      </c>
      <c r="J174">
        <v>9</v>
      </c>
      <c r="K174" s="3">
        <v>433.69</v>
      </c>
      <c r="L174" s="2">
        <v>267.5</v>
      </c>
      <c r="M174" s="2">
        <f>Table1[[#This Row],[UnitPrice]]*Table1[[#This Row],[Quantity]]</f>
        <v>3903.21</v>
      </c>
      <c r="N174" s="2">
        <f>Table1[[#This Row],[CostPrice]]*Table1[[#This Row],[Quantity]]</f>
        <v>2407.5</v>
      </c>
      <c r="O174" s="2">
        <v>988.29</v>
      </c>
      <c r="P174" s="4">
        <v>0.13</v>
      </c>
      <c r="Q174" t="s">
        <v>85</v>
      </c>
      <c r="R174" s="4">
        <f t="shared" si="2"/>
        <v>0.25319928981530587</v>
      </c>
    </row>
    <row r="175" spans="1:18" x14ac:dyDescent="0.25">
      <c r="A175">
        <v>1927</v>
      </c>
      <c r="B175" s="1">
        <v>44962</v>
      </c>
      <c r="C175" t="s">
        <v>274</v>
      </c>
      <c r="D175" t="s">
        <v>32</v>
      </c>
      <c r="E175" t="s">
        <v>33</v>
      </c>
      <c r="F175" t="s">
        <v>34</v>
      </c>
      <c r="G175" t="s">
        <v>20</v>
      </c>
      <c r="H175" t="s">
        <v>113</v>
      </c>
      <c r="I175" t="s">
        <v>153</v>
      </c>
      <c r="J175">
        <v>8</v>
      </c>
      <c r="K175" s="3">
        <v>911.12</v>
      </c>
      <c r="L175" s="2">
        <v>656.73</v>
      </c>
      <c r="M175" s="2">
        <f>Table1[[#This Row],[UnitPrice]]*Table1[[#This Row],[Quantity]]</f>
        <v>7288.96</v>
      </c>
      <c r="N175" s="2">
        <f>Table1[[#This Row],[CostPrice]]*Table1[[#This Row],[Quantity]]</f>
        <v>5253.84</v>
      </c>
      <c r="O175" s="2">
        <v>431.55</v>
      </c>
      <c r="P175" s="4">
        <v>0.22</v>
      </c>
      <c r="Q175" t="s">
        <v>75</v>
      </c>
      <c r="R175" s="4">
        <f t="shared" si="2"/>
        <v>5.9205977258758452E-2</v>
      </c>
    </row>
    <row r="176" spans="1:18" x14ac:dyDescent="0.25">
      <c r="A176">
        <v>1526</v>
      </c>
      <c r="B176" s="1">
        <v>45051</v>
      </c>
      <c r="C176" t="s">
        <v>227</v>
      </c>
      <c r="D176" t="s">
        <v>32</v>
      </c>
      <c r="E176" t="s">
        <v>53</v>
      </c>
      <c r="F176" t="s">
        <v>19</v>
      </c>
      <c r="G176" t="s">
        <v>35</v>
      </c>
      <c r="H176" t="s">
        <v>49</v>
      </c>
      <c r="I176" t="s">
        <v>66</v>
      </c>
      <c r="J176">
        <v>1</v>
      </c>
      <c r="K176" s="3">
        <v>970.3</v>
      </c>
      <c r="L176" s="2">
        <v>670.62</v>
      </c>
      <c r="M176" s="2">
        <f>Table1[[#This Row],[UnitPrice]]*Table1[[#This Row],[Quantity]]</f>
        <v>970.3</v>
      </c>
      <c r="N176" s="2">
        <f>Table1[[#This Row],[CostPrice]]*Table1[[#This Row],[Quantity]]</f>
        <v>670.62</v>
      </c>
      <c r="O176" s="2">
        <v>154.13</v>
      </c>
      <c r="P176" s="4">
        <v>0.15</v>
      </c>
      <c r="Q176" t="s">
        <v>30</v>
      </c>
      <c r="R176" s="4">
        <f t="shared" si="2"/>
        <v>0.15884777903741112</v>
      </c>
    </row>
    <row r="177" spans="1:18" x14ac:dyDescent="0.25">
      <c r="A177">
        <v>1839</v>
      </c>
      <c r="B177" s="1">
        <v>45051</v>
      </c>
      <c r="C177" t="s">
        <v>83</v>
      </c>
      <c r="D177" t="s">
        <v>25</v>
      </c>
      <c r="E177" t="s">
        <v>33</v>
      </c>
      <c r="F177" t="s">
        <v>19</v>
      </c>
      <c r="G177" t="s">
        <v>20</v>
      </c>
      <c r="H177" t="s">
        <v>28</v>
      </c>
      <c r="I177" t="s">
        <v>90</v>
      </c>
      <c r="J177">
        <v>4</v>
      </c>
      <c r="K177" s="3">
        <v>34.35</v>
      </c>
      <c r="L177" s="2">
        <v>18.84</v>
      </c>
      <c r="M177" s="2">
        <f>Table1[[#This Row],[UnitPrice]]*Table1[[#This Row],[Quantity]]</f>
        <v>137.4</v>
      </c>
      <c r="N177" s="2">
        <f>Table1[[#This Row],[CostPrice]]*Table1[[#This Row],[Quantity]]</f>
        <v>75.36</v>
      </c>
      <c r="O177" s="2">
        <v>57.92</v>
      </c>
      <c r="P177" s="4">
        <v>0.03</v>
      </c>
      <c r="Q177" t="s">
        <v>92</v>
      </c>
      <c r="R177" s="4">
        <f t="shared" si="2"/>
        <v>0.42154294032023287</v>
      </c>
    </row>
    <row r="178" spans="1:18" x14ac:dyDescent="0.25">
      <c r="A178">
        <v>1745</v>
      </c>
      <c r="B178" s="1">
        <v>45082</v>
      </c>
      <c r="C178" t="s">
        <v>276</v>
      </c>
      <c r="D178" t="s">
        <v>17</v>
      </c>
      <c r="E178" t="s">
        <v>26</v>
      </c>
      <c r="F178" t="s">
        <v>19</v>
      </c>
      <c r="G178" t="s">
        <v>20</v>
      </c>
      <c r="H178" t="s">
        <v>113</v>
      </c>
      <c r="I178" t="s">
        <v>153</v>
      </c>
      <c r="J178">
        <v>1</v>
      </c>
      <c r="K178" s="3">
        <v>89.19</v>
      </c>
      <c r="L178" s="2">
        <v>48.49</v>
      </c>
      <c r="M178" s="2">
        <f>Table1[[#This Row],[UnitPrice]]*Table1[[#This Row],[Quantity]]</f>
        <v>89.19</v>
      </c>
      <c r="N178" s="2">
        <f>Table1[[#This Row],[CostPrice]]*Table1[[#This Row],[Quantity]]</f>
        <v>48.49</v>
      </c>
      <c r="O178" s="2">
        <v>32.67</v>
      </c>
      <c r="P178" s="4">
        <v>0.09</v>
      </c>
      <c r="Q178" t="s">
        <v>38</v>
      </c>
      <c r="R178" s="4">
        <f t="shared" si="2"/>
        <v>0.3662966700302725</v>
      </c>
    </row>
    <row r="179" spans="1:18" x14ac:dyDescent="0.25">
      <c r="A179">
        <v>1340</v>
      </c>
      <c r="B179" s="1">
        <v>45112</v>
      </c>
      <c r="C179" t="s">
        <v>124</v>
      </c>
      <c r="D179" t="s">
        <v>17</v>
      </c>
      <c r="E179" t="s">
        <v>53</v>
      </c>
      <c r="F179" t="s">
        <v>34</v>
      </c>
      <c r="G179" t="s">
        <v>35</v>
      </c>
      <c r="H179" t="s">
        <v>36</v>
      </c>
      <c r="I179" t="s">
        <v>100</v>
      </c>
      <c r="J179">
        <v>6</v>
      </c>
      <c r="K179" s="3">
        <v>215.68</v>
      </c>
      <c r="L179" s="2">
        <v>176.2</v>
      </c>
      <c r="M179" s="2">
        <f>Table1[[#This Row],[UnitPrice]]*Table1[[#This Row],[Quantity]]</f>
        <v>1294.08</v>
      </c>
      <c r="N179" s="2">
        <f>Table1[[#This Row],[CostPrice]]*Table1[[#This Row],[Quantity]]</f>
        <v>1057.1999999999998</v>
      </c>
      <c r="O179" s="2">
        <v>-99.58</v>
      </c>
      <c r="P179" s="4">
        <v>0.26</v>
      </c>
      <c r="Q179" t="s">
        <v>92</v>
      </c>
      <c r="R179" s="4">
        <f t="shared" si="2"/>
        <v>-7.6950420375865483E-2</v>
      </c>
    </row>
    <row r="180" spans="1:18" x14ac:dyDescent="0.25">
      <c r="A180">
        <v>1592</v>
      </c>
      <c r="B180" s="1">
        <v>45112</v>
      </c>
      <c r="C180" t="s">
        <v>171</v>
      </c>
      <c r="D180" t="s">
        <v>25</v>
      </c>
      <c r="E180" t="s">
        <v>18</v>
      </c>
      <c r="F180" t="s">
        <v>19</v>
      </c>
      <c r="G180" t="s">
        <v>20</v>
      </c>
      <c r="H180" t="s">
        <v>113</v>
      </c>
      <c r="I180" t="s">
        <v>161</v>
      </c>
      <c r="J180">
        <v>5</v>
      </c>
      <c r="K180" s="3">
        <v>565.42999999999995</v>
      </c>
      <c r="L180" s="2">
        <v>413.95</v>
      </c>
      <c r="M180" s="2">
        <f>Table1[[#This Row],[UnitPrice]]*Table1[[#This Row],[Quantity]]</f>
        <v>2827.1499999999996</v>
      </c>
      <c r="N180" s="2">
        <f>Table1[[#This Row],[CostPrice]]*Table1[[#This Row],[Quantity]]</f>
        <v>2069.75</v>
      </c>
      <c r="O180" s="2">
        <v>587.77</v>
      </c>
      <c r="P180" s="4">
        <v>0.06</v>
      </c>
      <c r="Q180" t="s">
        <v>51</v>
      </c>
      <c r="R180" s="4">
        <f t="shared" si="2"/>
        <v>0.20790195072776474</v>
      </c>
    </row>
    <row r="181" spans="1:18" x14ac:dyDescent="0.25">
      <c r="A181">
        <v>1003</v>
      </c>
      <c r="B181" s="1">
        <v>45143</v>
      </c>
      <c r="C181" t="s">
        <v>39</v>
      </c>
      <c r="D181" t="s">
        <v>25</v>
      </c>
      <c r="E181" t="s">
        <v>18</v>
      </c>
      <c r="F181" t="s">
        <v>40</v>
      </c>
      <c r="G181" t="s">
        <v>41</v>
      </c>
      <c r="H181" t="s">
        <v>42</v>
      </c>
      <c r="I181" t="s">
        <v>43</v>
      </c>
      <c r="J181">
        <v>2</v>
      </c>
      <c r="K181" s="3">
        <v>50.6</v>
      </c>
      <c r="L181" s="2">
        <v>29.34</v>
      </c>
      <c r="M181" s="2">
        <f>Table1[[#This Row],[UnitPrice]]*Table1[[#This Row],[Quantity]]</f>
        <v>101.2</v>
      </c>
      <c r="N181" s="2">
        <f>Table1[[#This Row],[CostPrice]]*Table1[[#This Row],[Quantity]]</f>
        <v>58.68</v>
      </c>
      <c r="O181" s="2">
        <v>33.409999999999997</v>
      </c>
      <c r="P181" s="4">
        <v>0.09</v>
      </c>
      <c r="Q181" t="s">
        <v>44</v>
      </c>
      <c r="R181" s="4">
        <f t="shared" si="2"/>
        <v>0.3301383399209486</v>
      </c>
    </row>
    <row r="182" spans="1:18" x14ac:dyDescent="0.25">
      <c r="A182">
        <v>1141</v>
      </c>
      <c r="B182" s="1">
        <v>45174</v>
      </c>
      <c r="C182" t="s">
        <v>159</v>
      </c>
      <c r="D182" t="s">
        <v>25</v>
      </c>
      <c r="E182" t="s">
        <v>53</v>
      </c>
      <c r="F182" t="s">
        <v>27</v>
      </c>
      <c r="G182" t="s">
        <v>41</v>
      </c>
      <c r="H182" t="s">
        <v>63</v>
      </c>
      <c r="I182" t="s">
        <v>117</v>
      </c>
      <c r="J182">
        <v>3</v>
      </c>
      <c r="K182" s="3">
        <v>878.57</v>
      </c>
      <c r="L182" s="2">
        <v>679.22</v>
      </c>
      <c r="M182" s="2">
        <f>Table1[[#This Row],[UnitPrice]]*Table1[[#This Row],[Quantity]]</f>
        <v>2635.71</v>
      </c>
      <c r="N182" s="2">
        <f>Table1[[#This Row],[CostPrice]]*Table1[[#This Row],[Quantity]]</f>
        <v>2037.66</v>
      </c>
      <c r="O182" s="2">
        <v>97.27</v>
      </c>
      <c r="P182" s="4">
        <v>0.19</v>
      </c>
      <c r="Q182" t="s">
        <v>92</v>
      </c>
      <c r="R182" s="4">
        <f t="shared" si="2"/>
        <v>3.6904667053659163E-2</v>
      </c>
    </row>
    <row r="183" spans="1:18" x14ac:dyDescent="0.25">
      <c r="A183">
        <v>1926</v>
      </c>
      <c r="B183" s="1">
        <v>45204</v>
      </c>
      <c r="C183" t="s">
        <v>52</v>
      </c>
      <c r="D183" t="s">
        <v>32</v>
      </c>
      <c r="E183" t="s">
        <v>33</v>
      </c>
      <c r="F183" t="s">
        <v>19</v>
      </c>
      <c r="G183" t="s">
        <v>20</v>
      </c>
      <c r="H183" t="s">
        <v>21</v>
      </c>
      <c r="I183" t="s">
        <v>79</v>
      </c>
      <c r="J183">
        <v>7</v>
      </c>
      <c r="K183" s="3">
        <v>357.6</v>
      </c>
      <c r="L183" s="2">
        <v>229.15</v>
      </c>
      <c r="M183" s="2">
        <f>Table1[[#This Row],[UnitPrice]]*Table1[[#This Row],[Quantity]]</f>
        <v>2503.2000000000003</v>
      </c>
      <c r="N183" s="2">
        <f>Table1[[#This Row],[CostPrice]]*Table1[[#This Row],[Quantity]]</f>
        <v>1604.05</v>
      </c>
      <c r="O183" s="2">
        <v>473.61</v>
      </c>
      <c r="P183" s="4">
        <v>0.17</v>
      </c>
      <c r="Q183" t="s">
        <v>30</v>
      </c>
      <c r="R183" s="4">
        <f t="shared" si="2"/>
        <v>0.1892018216682646</v>
      </c>
    </row>
    <row r="184" spans="1:18" x14ac:dyDescent="0.25">
      <c r="A184">
        <v>1142</v>
      </c>
      <c r="B184" s="1">
        <v>45059</v>
      </c>
      <c r="C184" t="s">
        <v>187</v>
      </c>
      <c r="D184" t="s">
        <v>25</v>
      </c>
      <c r="E184" t="s">
        <v>33</v>
      </c>
      <c r="F184" t="s">
        <v>19</v>
      </c>
      <c r="G184" t="s">
        <v>35</v>
      </c>
      <c r="H184" t="s">
        <v>36</v>
      </c>
      <c r="I184" t="s">
        <v>87</v>
      </c>
      <c r="J184">
        <v>6</v>
      </c>
      <c r="K184" s="3">
        <v>935.06</v>
      </c>
      <c r="L184" s="2">
        <v>541.32000000000005</v>
      </c>
      <c r="M184" s="2">
        <f>Table1[[#This Row],[UnitPrice]]*Table1[[#This Row],[Quantity]]</f>
        <v>5610.36</v>
      </c>
      <c r="N184" s="2">
        <f>Table1[[#This Row],[CostPrice]]*Table1[[#This Row],[Quantity]]</f>
        <v>3247.92</v>
      </c>
      <c r="O184" s="2">
        <v>791.54</v>
      </c>
      <c r="P184" s="4">
        <v>0.28000000000000003</v>
      </c>
      <c r="Q184" t="s">
        <v>38</v>
      </c>
      <c r="R184" s="4">
        <f t="shared" si="2"/>
        <v>0.14108542054342324</v>
      </c>
    </row>
    <row r="185" spans="1:18" x14ac:dyDescent="0.25">
      <c r="A185">
        <v>1228</v>
      </c>
      <c r="B185" s="1">
        <v>45060</v>
      </c>
      <c r="C185" t="s">
        <v>222</v>
      </c>
      <c r="D185" t="s">
        <v>32</v>
      </c>
      <c r="E185" t="s">
        <v>18</v>
      </c>
      <c r="F185" t="s">
        <v>34</v>
      </c>
      <c r="G185" t="s">
        <v>20</v>
      </c>
      <c r="H185" t="s">
        <v>21</v>
      </c>
      <c r="I185" t="s">
        <v>79</v>
      </c>
      <c r="J185">
        <v>1</v>
      </c>
      <c r="K185" s="3">
        <v>128.62</v>
      </c>
      <c r="L185" s="2">
        <v>102.92</v>
      </c>
      <c r="M185" s="2">
        <f>Table1[[#This Row],[UnitPrice]]*Table1[[#This Row],[Quantity]]</f>
        <v>128.62</v>
      </c>
      <c r="N185" s="2">
        <f>Table1[[#This Row],[CostPrice]]*Table1[[#This Row],[Quantity]]</f>
        <v>102.92</v>
      </c>
      <c r="O185" s="2">
        <v>8.98</v>
      </c>
      <c r="P185" s="4">
        <v>0.13</v>
      </c>
      <c r="Q185" t="s">
        <v>51</v>
      </c>
      <c r="R185" s="4">
        <f t="shared" si="2"/>
        <v>6.9818068729591037E-2</v>
      </c>
    </row>
    <row r="186" spans="1:18" x14ac:dyDescent="0.25">
      <c r="A186">
        <v>1263</v>
      </c>
      <c r="B186" s="1">
        <v>45060</v>
      </c>
      <c r="C186" t="s">
        <v>123</v>
      </c>
      <c r="D186" t="s">
        <v>25</v>
      </c>
      <c r="E186" t="s">
        <v>18</v>
      </c>
      <c r="F186" t="s">
        <v>34</v>
      </c>
      <c r="G186" t="s">
        <v>20</v>
      </c>
      <c r="H186" t="s">
        <v>21</v>
      </c>
      <c r="I186" t="s">
        <v>132</v>
      </c>
      <c r="J186">
        <v>2</v>
      </c>
      <c r="K186" s="3">
        <v>847.25</v>
      </c>
      <c r="L186" s="2">
        <v>678.85</v>
      </c>
      <c r="M186" s="2">
        <f>Table1[[#This Row],[UnitPrice]]*Table1[[#This Row],[Quantity]]</f>
        <v>1694.5</v>
      </c>
      <c r="N186" s="2">
        <f>Table1[[#This Row],[CostPrice]]*Table1[[#This Row],[Quantity]]</f>
        <v>1357.7</v>
      </c>
      <c r="O186" s="2">
        <v>-154.6</v>
      </c>
      <c r="P186" s="4">
        <v>0.28999999999999998</v>
      </c>
      <c r="Q186" t="s">
        <v>85</v>
      </c>
      <c r="R186" s="4">
        <f t="shared" si="2"/>
        <v>-9.1236352906462079E-2</v>
      </c>
    </row>
    <row r="187" spans="1:18" x14ac:dyDescent="0.25">
      <c r="A187">
        <v>1429</v>
      </c>
      <c r="B187" s="1">
        <v>45061</v>
      </c>
      <c r="C187" t="s">
        <v>91</v>
      </c>
      <c r="D187" t="s">
        <v>25</v>
      </c>
      <c r="E187" t="s">
        <v>26</v>
      </c>
      <c r="F187" t="s">
        <v>19</v>
      </c>
      <c r="G187" t="s">
        <v>35</v>
      </c>
      <c r="H187" t="s">
        <v>70</v>
      </c>
      <c r="I187" t="s">
        <v>84</v>
      </c>
      <c r="J187">
        <v>9</v>
      </c>
      <c r="K187" s="3">
        <v>910.01</v>
      </c>
      <c r="L187" s="2">
        <v>591.98</v>
      </c>
      <c r="M187" s="2">
        <f>Table1[[#This Row],[UnitPrice]]*Table1[[#This Row],[Quantity]]</f>
        <v>8190.09</v>
      </c>
      <c r="N187" s="2">
        <f>Table1[[#This Row],[CostPrice]]*Table1[[#This Row],[Quantity]]</f>
        <v>5327.82</v>
      </c>
      <c r="O187" s="2">
        <v>650.95000000000005</v>
      </c>
      <c r="P187" s="4">
        <v>0.27</v>
      </c>
      <c r="Q187" t="s">
        <v>92</v>
      </c>
      <c r="R187" s="4">
        <f t="shared" si="2"/>
        <v>7.9480201072271495E-2</v>
      </c>
    </row>
    <row r="188" spans="1:18" x14ac:dyDescent="0.25">
      <c r="A188">
        <v>1462</v>
      </c>
      <c r="B188" s="1">
        <v>45061</v>
      </c>
      <c r="C188" t="s">
        <v>152</v>
      </c>
      <c r="D188" t="s">
        <v>17</v>
      </c>
      <c r="E188" t="s">
        <v>53</v>
      </c>
      <c r="F188" t="s">
        <v>34</v>
      </c>
      <c r="G188" t="s">
        <v>35</v>
      </c>
      <c r="H188" t="s">
        <v>49</v>
      </c>
      <c r="I188" t="s">
        <v>59</v>
      </c>
      <c r="J188">
        <v>8</v>
      </c>
      <c r="K188" s="3">
        <v>473.19</v>
      </c>
      <c r="L188" s="2">
        <v>393.51</v>
      </c>
      <c r="M188" s="2">
        <f>Table1[[#This Row],[UnitPrice]]*Table1[[#This Row],[Quantity]]</f>
        <v>3785.52</v>
      </c>
      <c r="N188" s="2">
        <f>Table1[[#This Row],[CostPrice]]*Table1[[#This Row],[Quantity]]</f>
        <v>3148.08</v>
      </c>
      <c r="O188" s="2">
        <v>486.02</v>
      </c>
      <c r="P188" s="4">
        <v>0.04</v>
      </c>
      <c r="Q188" t="s">
        <v>125</v>
      </c>
      <c r="R188" s="4">
        <f t="shared" si="2"/>
        <v>0.12838923054164289</v>
      </c>
    </row>
    <row r="189" spans="1:18" x14ac:dyDescent="0.25">
      <c r="A189">
        <v>1598</v>
      </c>
      <c r="B189" s="1">
        <v>45061</v>
      </c>
      <c r="C189" t="s">
        <v>159</v>
      </c>
      <c r="D189" t="s">
        <v>25</v>
      </c>
      <c r="E189" t="s">
        <v>18</v>
      </c>
      <c r="F189" t="s">
        <v>19</v>
      </c>
      <c r="G189" t="s">
        <v>35</v>
      </c>
      <c r="H189" t="s">
        <v>49</v>
      </c>
      <c r="I189" t="s">
        <v>50</v>
      </c>
      <c r="J189">
        <v>8</v>
      </c>
      <c r="K189" s="3">
        <v>272.14</v>
      </c>
      <c r="L189" s="2">
        <v>193.25</v>
      </c>
      <c r="M189" s="2">
        <f>Table1[[#This Row],[UnitPrice]]*Table1[[#This Row],[Quantity]]</f>
        <v>2177.12</v>
      </c>
      <c r="N189" s="2">
        <f>Table1[[#This Row],[CostPrice]]*Table1[[#This Row],[Quantity]]</f>
        <v>1546</v>
      </c>
      <c r="O189" s="2">
        <v>565.80999999999995</v>
      </c>
      <c r="P189" s="4">
        <v>0.03</v>
      </c>
      <c r="Q189" t="s">
        <v>75</v>
      </c>
      <c r="R189" s="4">
        <f t="shared" si="2"/>
        <v>0.25988921143529065</v>
      </c>
    </row>
    <row r="190" spans="1:18" x14ac:dyDescent="0.25">
      <c r="A190">
        <v>1514</v>
      </c>
      <c r="B190" s="1">
        <v>45062</v>
      </c>
      <c r="C190" t="s">
        <v>281</v>
      </c>
      <c r="D190" t="s">
        <v>25</v>
      </c>
      <c r="E190" t="s">
        <v>33</v>
      </c>
      <c r="F190" t="s">
        <v>34</v>
      </c>
      <c r="G190" t="s">
        <v>35</v>
      </c>
      <c r="H190" t="s">
        <v>70</v>
      </c>
      <c r="I190" t="s">
        <v>71</v>
      </c>
      <c r="J190">
        <v>3</v>
      </c>
      <c r="K190" s="3">
        <v>704.79</v>
      </c>
      <c r="L190" s="2">
        <v>564.02</v>
      </c>
      <c r="M190" s="2">
        <f>Table1[[#This Row],[UnitPrice]]*Table1[[#This Row],[Quantity]]</f>
        <v>2114.37</v>
      </c>
      <c r="N190" s="2">
        <f>Table1[[#This Row],[CostPrice]]*Table1[[#This Row],[Quantity]]</f>
        <v>1692.06</v>
      </c>
      <c r="O190" s="2">
        <v>-42.85</v>
      </c>
      <c r="P190" s="4">
        <v>0.22</v>
      </c>
      <c r="Q190" t="s">
        <v>51</v>
      </c>
      <c r="R190" s="4">
        <f t="shared" si="2"/>
        <v>-2.0266083987192405E-2</v>
      </c>
    </row>
    <row r="191" spans="1:18" x14ac:dyDescent="0.25">
      <c r="A191">
        <v>1176</v>
      </c>
      <c r="B191" s="1">
        <v>45063</v>
      </c>
      <c r="C191" t="s">
        <v>89</v>
      </c>
      <c r="D191" t="s">
        <v>32</v>
      </c>
      <c r="E191" t="s">
        <v>33</v>
      </c>
      <c r="F191" t="s">
        <v>19</v>
      </c>
      <c r="G191" t="s">
        <v>41</v>
      </c>
      <c r="H191" t="s">
        <v>46</v>
      </c>
      <c r="I191" t="s">
        <v>102</v>
      </c>
      <c r="J191">
        <v>3</v>
      </c>
      <c r="K191" s="3">
        <v>729.22</v>
      </c>
      <c r="L191" s="2">
        <v>421.45</v>
      </c>
      <c r="M191" s="2">
        <f>Table1[[#This Row],[UnitPrice]]*Table1[[#This Row],[Quantity]]</f>
        <v>2187.66</v>
      </c>
      <c r="N191" s="2">
        <f>Table1[[#This Row],[CostPrice]]*Table1[[#This Row],[Quantity]]</f>
        <v>1264.3499999999999</v>
      </c>
      <c r="O191" s="2">
        <v>923.31</v>
      </c>
      <c r="P191" s="4">
        <v>0</v>
      </c>
      <c r="Q191" t="s">
        <v>51</v>
      </c>
      <c r="R191" s="4">
        <f t="shared" si="2"/>
        <v>0.42205370121499686</v>
      </c>
    </row>
    <row r="192" spans="1:18" x14ac:dyDescent="0.25">
      <c r="A192">
        <v>1322</v>
      </c>
      <c r="B192" s="1">
        <v>45063</v>
      </c>
      <c r="C192" t="s">
        <v>206</v>
      </c>
      <c r="D192" t="s">
        <v>17</v>
      </c>
      <c r="E192" t="s">
        <v>18</v>
      </c>
      <c r="F192" t="s">
        <v>40</v>
      </c>
      <c r="G192" t="s">
        <v>41</v>
      </c>
      <c r="H192" t="s">
        <v>63</v>
      </c>
      <c r="I192" t="s">
        <v>64</v>
      </c>
      <c r="J192">
        <v>4</v>
      </c>
      <c r="K192" s="3">
        <v>204.88</v>
      </c>
      <c r="L192" s="2">
        <v>147.19999999999999</v>
      </c>
      <c r="M192" s="2">
        <f>Table1[[#This Row],[UnitPrice]]*Table1[[#This Row],[Quantity]]</f>
        <v>819.52</v>
      </c>
      <c r="N192" s="2">
        <f>Table1[[#This Row],[CostPrice]]*Table1[[#This Row],[Quantity]]</f>
        <v>588.79999999999995</v>
      </c>
      <c r="O192" s="2">
        <v>156.96</v>
      </c>
      <c r="P192" s="4">
        <v>0.09</v>
      </c>
      <c r="Q192" t="s">
        <v>85</v>
      </c>
      <c r="R192" s="4">
        <f t="shared" si="2"/>
        <v>0.19152674736431083</v>
      </c>
    </row>
    <row r="193" spans="1:18" x14ac:dyDescent="0.25">
      <c r="A193">
        <v>1354</v>
      </c>
      <c r="B193" s="1">
        <v>45064</v>
      </c>
      <c r="C193" t="s">
        <v>256</v>
      </c>
      <c r="D193" t="s">
        <v>25</v>
      </c>
      <c r="E193" t="s">
        <v>26</v>
      </c>
      <c r="F193" t="s">
        <v>34</v>
      </c>
      <c r="G193" t="s">
        <v>20</v>
      </c>
      <c r="H193" t="s">
        <v>28</v>
      </c>
      <c r="I193" t="s">
        <v>81</v>
      </c>
      <c r="J193">
        <v>9</v>
      </c>
      <c r="K193" s="3">
        <v>958.45</v>
      </c>
      <c r="L193" s="2">
        <v>680.28</v>
      </c>
      <c r="M193" s="2">
        <f>Table1[[#This Row],[UnitPrice]]*Table1[[#This Row],[Quantity]]</f>
        <v>8626.0500000000011</v>
      </c>
      <c r="N193" s="2">
        <f>Table1[[#This Row],[CostPrice]]*Table1[[#This Row],[Quantity]]</f>
        <v>6122.5199999999995</v>
      </c>
      <c r="O193" s="2">
        <v>1037.0999999999999</v>
      </c>
      <c r="P193" s="4">
        <v>0.17</v>
      </c>
      <c r="Q193" t="s">
        <v>51</v>
      </c>
      <c r="R193" s="4">
        <f t="shared" si="2"/>
        <v>0.12022884170622704</v>
      </c>
    </row>
    <row r="194" spans="1:18" x14ac:dyDescent="0.25">
      <c r="A194">
        <v>1138</v>
      </c>
      <c r="B194" s="1">
        <v>45065</v>
      </c>
      <c r="C194" t="s">
        <v>45</v>
      </c>
      <c r="D194" t="s">
        <v>32</v>
      </c>
      <c r="E194" t="s">
        <v>26</v>
      </c>
      <c r="F194" t="s">
        <v>27</v>
      </c>
      <c r="G194" t="s">
        <v>20</v>
      </c>
      <c r="H194" t="s">
        <v>113</v>
      </c>
      <c r="I194" t="s">
        <v>153</v>
      </c>
      <c r="J194">
        <v>6</v>
      </c>
      <c r="K194" s="3">
        <v>710.99</v>
      </c>
      <c r="L194" s="2">
        <v>492.36</v>
      </c>
      <c r="M194" s="2">
        <f>Table1[[#This Row],[UnitPrice]]*Table1[[#This Row],[Quantity]]</f>
        <v>4265.9400000000005</v>
      </c>
      <c r="N194" s="2">
        <f>Table1[[#This Row],[CostPrice]]*Table1[[#This Row],[Quantity]]</f>
        <v>2954.16</v>
      </c>
      <c r="O194" s="2">
        <v>927.85</v>
      </c>
      <c r="P194" s="4">
        <v>0.09</v>
      </c>
      <c r="Q194" t="s">
        <v>30</v>
      </c>
      <c r="R194" s="4">
        <f t="shared" ref="R194:R257" si="3">O194/M194</f>
        <v>0.21750188704013651</v>
      </c>
    </row>
    <row r="195" spans="1:18" x14ac:dyDescent="0.25">
      <c r="A195">
        <v>1393</v>
      </c>
      <c r="B195" s="1">
        <v>45066</v>
      </c>
      <c r="C195" t="s">
        <v>116</v>
      </c>
      <c r="D195" t="s">
        <v>17</v>
      </c>
      <c r="E195" t="s">
        <v>53</v>
      </c>
      <c r="F195" t="s">
        <v>27</v>
      </c>
      <c r="G195" t="s">
        <v>35</v>
      </c>
      <c r="H195" t="s">
        <v>70</v>
      </c>
      <c r="I195" t="s">
        <v>84</v>
      </c>
      <c r="J195">
        <v>8</v>
      </c>
      <c r="K195" s="3">
        <v>191.85</v>
      </c>
      <c r="L195" s="2">
        <v>97.23</v>
      </c>
      <c r="M195" s="2">
        <f>Table1[[#This Row],[UnitPrice]]*Table1[[#This Row],[Quantity]]</f>
        <v>1534.8</v>
      </c>
      <c r="N195" s="2">
        <f>Table1[[#This Row],[CostPrice]]*Table1[[#This Row],[Quantity]]</f>
        <v>777.84</v>
      </c>
      <c r="O195" s="2">
        <v>741.61</v>
      </c>
      <c r="P195" s="4">
        <v>0.01</v>
      </c>
      <c r="Q195" t="s">
        <v>38</v>
      </c>
      <c r="R195" s="4">
        <f t="shared" si="3"/>
        <v>0.48319650768829819</v>
      </c>
    </row>
    <row r="196" spans="1:18" x14ac:dyDescent="0.25">
      <c r="A196">
        <v>1758</v>
      </c>
      <c r="B196" s="1">
        <v>45066</v>
      </c>
      <c r="C196" t="s">
        <v>188</v>
      </c>
      <c r="D196" t="s">
        <v>17</v>
      </c>
      <c r="E196" t="s">
        <v>33</v>
      </c>
      <c r="F196" t="s">
        <v>27</v>
      </c>
      <c r="G196" t="s">
        <v>20</v>
      </c>
      <c r="H196" t="s">
        <v>113</v>
      </c>
      <c r="I196" t="s">
        <v>114</v>
      </c>
      <c r="J196">
        <v>1</v>
      </c>
      <c r="K196" s="3">
        <v>715.59</v>
      </c>
      <c r="L196" s="2">
        <v>533.76</v>
      </c>
      <c r="M196" s="2">
        <f>Table1[[#This Row],[UnitPrice]]*Table1[[#This Row],[Quantity]]</f>
        <v>715.59</v>
      </c>
      <c r="N196" s="2">
        <f>Table1[[#This Row],[CostPrice]]*Table1[[#This Row],[Quantity]]</f>
        <v>533.76</v>
      </c>
      <c r="O196" s="2">
        <v>24.4</v>
      </c>
      <c r="P196" s="4">
        <v>0.22</v>
      </c>
      <c r="Q196" t="s">
        <v>23</v>
      </c>
      <c r="R196" s="4">
        <f t="shared" si="3"/>
        <v>3.4097737531267901E-2</v>
      </c>
    </row>
    <row r="197" spans="1:18" x14ac:dyDescent="0.25">
      <c r="A197">
        <v>1296</v>
      </c>
      <c r="B197" s="1">
        <v>45067</v>
      </c>
      <c r="C197" t="s">
        <v>208</v>
      </c>
      <c r="D197" t="s">
        <v>32</v>
      </c>
      <c r="E197" t="s">
        <v>53</v>
      </c>
      <c r="F197" t="s">
        <v>19</v>
      </c>
      <c r="G197" t="s">
        <v>35</v>
      </c>
      <c r="H197" t="s">
        <v>70</v>
      </c>
      <c r="I197" t="s">
        <v>98</v>
      </c>
      <c r="J197">
        <v>2</v>
      </c>
      <c r="K197" s="3">
        <v>490.14</v>
      </c>
      <c r="L197" s="2">
        <v>353.32</v>
      </c>
      <c r="M197" s="2">
        <f>Table1[[#This Row],[UnitPrice]]*Table1[[#This Row],[Quantity]]</f>
        <v>980.28</v>
      </c>
      <c r="N197" s="2">
        <f>Table1[[#This Row],[CostPrice]]*Table1[[#This Row],[Quantity]]</f>
        <v>706.64</v>
      </c>
      <c r="O197" s="2">
        <v>224.63</v>
      </c>
      <c r="P197" s="4">
        <v>0.05</v>
      </c>
      <c r="Q197" t="s">
        <v>51</v>
      </c>
      <c r="R197" s="4">
        <f t="shared" si="3"/>
        <v>0.22914881462439304</v>
      </c>
    </row>
    <row r="198" spans="1:18" x14ac:dyDescent="0.25">
      <c r="A198">
        <v>1663</v>
      </c>
      <c r="B198" s="1">
        <v>45067</v>
      </c>
      <c r="C198" t="s">
        <v>200</v>
      </c>
      <c r="D198" t="s">
        <v>25</v>
      </c>
      <c r="E198" t="s">
        <v>26</v>
      </c>
      <c r="F198" t="s">
        <v>40</v>
      </c>
      <c r="G198" t="s">
        <v>41</v>
      </c>
      <c r="H198" t="s">
        <v>46</v>
      </c>
      <c r="I198" t="s">
        <v>102</v>
      </c>
      <c r="J198">
        <v>6</v>
      </c>
      <c r="K198" s="3">
        <v>314.63</v>
      </c>
      <c r="L198" s="2">
        <v>254.8</v>
      </c>
      <c r="M198" s="2">
        <f>Table1[[#This Row],[UnitPrice]]*Table1[[#This Row],[Quantity]]</f>
        <v>1887.78</v>
      </c>
      <c r="N198" s="2">
        <f>Table1[[#This Row],[CostPrice]]*Table1[[#This Row],[Quantity]]</f>
        <v>1528.8000000000002</v>
      </c>
      <c r="O198" s="2">
        <v>-75.209999999999994</v>
      </c>
      <c r="P198" s="4">
        <v>0.23</v>
      </c>
      <c r="Q198" t="s">
        <v>92</v>
      </c>
      <c r="R198" s="4">
        <f t="shared" si="3"/>
        <v>-3.9840447509773384E-2</v>
      </c>
    </row>
    <row r="199" spans="1:18" x14ac:dyDescent="0.25">
      <c r="A199">
        <v>1363</v>
      </c>
      <c r="B199" s="1">
        <v>45068</v>
      </c>
      <c r="C199" t="s">
        <v>142</v>
      </c>
      <c r="D199" t="s">
        <v>17</v>
      </c>
      <c r="E199" t="s">
        <v>33</v>
      </c>
      <c r="F199" t="s">
        <v>19</v>
      </c>
      <c r="G199" t="s">
        <v>35</v>
      </c>
      <c r="H199" t="s">
        <v>70</v>
      </c>
      <c r="I199" t="s">
        <v>98</v>
      </c>
      <c r="J199">
        <v>2</v>
      </c>
      <c r="K199" s="3">
        <v>218.39</v>
      </c>
      <c r="L199" s="2">
        <v>139.81</v>
      </c>
      <c r="M199" s="2">
        <f>Table1[[#This Row],[UnitPrice]]*Table1[[#This Row],[Quantity]]</f>
        <v>436.78</v>
      </c>
      <c r="N199" s="2">
        <f>Table1[[#This Row],[CostPrice]]*Table1[[#This Row],[Quantity]]</f>
        <v>279.62</v>
      </c>
      <c r="O199" s="2">
        <v>113.48</v>
      </c>
      <c r="P199" s="4">
        <v>0.1</v>
      </c>
      <c r="Q199" t="s">
        <v>38</v>
      </c>
      <c r="R199" s="4">
        <f t="shared" si="3"/>
        <v>0.25981043088053485</v>
      </c>
    </row>
    <row r="200" spans="1:18" x14ac:dyDescent="0.25">
      <c r="A200">
        <v>1223</v>
      </c>
      <c r="B200" s="1">
        <v>45069</v>
      </c>
      <c r="C200" t="s">
        <v>105</v>
      </c>
      <c r="D200" t="s">
        <v>25</v>
      </c>
      <c r="E200" t="s">
        <v>33</v>
      </c>
      <c r="F200" t="s">
        <v>40</v>
      </c>
      <c r="G200" t="s">
        <v>41</v>
      </c>
      <c r="H200" t="s">
        <v>46</v>
      </c>
      <c r="I200" t="s">
        <v>102</v>
      </c>
      <c r="J200">
        <v>9</v>
      </c>
      <c r="K200" s="3">
        <v>172.54</v>
      </c>
      <c r="L200" s="2">
        <v>145.38999999999999</v>
      </c>
      <c r="M200" s="2">
        <f>Table1[[#This Row],[UnitPrice]]*Table1[[#This Row],[Quantity]]</f>
        <v>1552.86</v>
      </c>
      <c r="N200" s="2">
        <f>Table1[[#This Row],[CostPrice]]*Table1[[#This Row],[Quantity]]</f>
        <v>1308.5099999999998</v>
      </c>
      <c r="O200" s="2">
        <v>104.59</v>
      </c>
      <c r="P200" s="4">
        <v>0.09</v>
      </c>
      <c r="Q200" t="s">
        <v>125</v>
      </c>
      <c r="R200" s="4">
        <f t="shared" si="3"/>
        <v>6.7353141944541048E-2</v>
      </c>
    </row>
    <row r="201" spans="1:18" x14ac:dyDescent="0.25">
      <c r="A201">
        <v>1542</v>
      </c>
      <c r="B201" s="1">
        <v>45069</v>
      </c>
      <c r="C201" t="s">
        <v>111</v>
      </c>
      <c r="D201" t="s">
        <v>17</v>
      </c>
      <c r="E201" t="s">
        <v>18</v>
      </c>
      <c r="F201" t="s">
        <v>19</v>
      </c>
      <c r="G201" t="s">
        <v>41</v>
      </c>
      <c r="H201" t="s">
        <v>46</v>
      </c>
      <c r="I201" t="s">
        <v>47</v>
      </c>
      <c r="J201">
        <v>2</v>
      </c>
      <c r="K201" s="3">
        <v>226.25</v>
      </c>
      <c r="L201" s="2">
        <v>180.97</v>
      </c>
      <c r="M201" s="2">
        <f>Table1[[#This Row],[UnitPrice]]*Table1[[#This Row],[Quantity]]</f>
        <v>452.5</v>
      </c>
      <c r="N201" s="2">
        <f>Table1[[#This Row],[CostPrice]]*Table1[[#This Row],[Quantity]]</f>
        <v>361.94</v>
      </c>
      <c r="O201" s="2">
        <v>72.459999999999994</v>
      </c>
      <c r="P201" s="4">
        <v>0.04</v>
      </c>
      <c r="Q201" t="s">
        <v>23</v>
      </c>
      <c r="R201" s="4">
        <f t="shared" si="3"/>
        <v>0.16013259668508287</v>
      </c>
    </row>
    <row r="202" spans="1:18" x14ac:dyDescent="0.25">
      <c r="A202">
        <v>1898</v>
      </c>
      <c r="B202" s="1">
        <v>45069</v>
      </c>
      <c r="C202" t="s">
        <v>229</v>
      </c>
      <c r="D202" t="s">
        <v>17</v>
      </c>
      <c r="E202" t="s">
        <v>18</v>
      </c>
      <c r="F202" t="s">
        <v>34</v>
      </c>
      <c r="G202" t="s">
        <v>20</v>
      </c>
      <c r="H202" t="s">
        <v>28</v>
      </c>
      <c r="I202" t="s">
        <v>90</v>
      </c>
      <c r="J202">
        <v>10</v>
      </c>
      <c r="K202" s="3">
        <v>904.8</v>
      </c>
      <c r="L202" s="2">
        <v>675.05</v>
      </c>
      <c r="M202" s="2">
        <f>Table1[[#This Row],[UnitPrice]]*Table1[[#This Row],[Quantity]]</f>
        <v>9048</v>
      </c>
      <c r="N202" s="2">
        <f>Table1[[#This Row],[CostPrice]]*Table1[[#This Row],[Quantity]]</f>
        <v>6750.5</v>
      </c>
      <c r="O202" s="2">
        <v>216.46</v>
      </c>
      <c r="P202" s="4">
        <v>0.23</v>
      </c>
      <c r="Q202" t="s">
        <v>51</v>
      </c>
      <c r="R202" s="4">
        <f t="shared" si="3"/>
        <v>2.3923519009725908E-2</v>
      </c>
    </row>
    <row r="203" spans="1:18" x14ac:dyDescent="0.25">
      <c r="A203">
        <v>1254</v>
      </c>
      <c r="B203" s="1">
        <v>45070</v>
      </c>
      <c r="C203" t="s">
        <v>16</v>
      </c>
      <c r="D203" t="s">
        <v>25</v>
      </c>
      <c r="E203" t="s">
        <v>26</v>
      </c>
      <c r="F203" t="s">
        <v>19</v>
      </c>
      <c r="G203" t="s">
        <v>20</v>
      </c>
      <c r="H203" t="s">
        <v>28</v>
      </c>
      <c r="I203" t="s">
        <v>29</v>
      </c>
      <c r="J203">
        <v>2</v>
      </c>
      <c r="K203" s="3">
        <v>584.41</v>
      </c>
      <c r="L203" s="2">
        <v>345.15</v>
      </c>
      <c r="M203" s="2">
        <f>Table1[[#This Row],[UnitPrice]]*Table1[[#This Row],[Quantity]]</f>
        <v>1168.82</v>
      </c>
      <c r="N203" s="2">
        <f>Table1[[#This Row],[CostPrice]]*Table1[[#This Row],[Quantity]]</f>
        <v>690.3</v>
      </c>
      <c r="O203" s="2">
        <v>198</v>
      </c>
      <c r="P203" s="4">
        <v>0.24</v>
      </c>
      <c r="Q203" t="s">
        <v>51</v>
      </c>
      <c r="R203" s="4">
        <f t="shared" si="3"/>
        <v>0.16940161872657894</v>
      </c>
    </row>
    <row r="204" spans="1:18" x14ac:dyDescent="0.25">
      <c r="A204">
        <v>1695</v>
      </c>
      <c r="B204" s="1">
        <v>45070</v>
      </c>
      <c r="C204" t="s">
        <v>220</v>
      </c>
      <c r="D204" t="s">
        <v>32</v>
      </c>
      <c r="E204" t="s">
        <v>26</v>
      </c>
      <c r="F204" t="s">
        <v>19</v>
      </c>
      <c r="G204" t="s">
        <v>20</v>
      </c>
      <c r="H204" t="s">
        <v>113</v>
      </c>
      <c r="I204" t="s">
        <v>114</v>
      </c>
      <c r="J204">
        <v>3</v>
      </c>
      <c r="K204" s="3">
        <v>297.67</v>
      </c>
      <c r="L204" s="2">
        <v>204.54</v>
      </c>
      <c r="M204" s="2">
        <f>Table1[[#This Row],[UnitPrice]]*Table1[[#This Row],[Quantity]]</f>
        <v>893.01</v>
      </c>
      <c r="N204" s="2">
        <f>Table1[[#This Row],[CostPrice]]*Table1[[#This Row],[Quantity]]</f>
        <v>613.62</v>
      </c>
      <c r="O204" s="2">
        <v>172.23</v>
      </c>
      <c r="P204" s="4">
        <v>0.12</v>
      </c>
      <c r="Q204" t="s">
        <v>44</v>
      </c>
      <c r="R204" s="4">
        <f t="shared" si="3"/>
        <v>0.19286458158363287</v>
      </c>
    </row>
    <row r="205" spans="1:18" x14ac:dyDescent="0.25">
      <c r="A205">
        <v>1084</v>
      </c>
      <c r="B205" s="1">
        <v>45071</v>
      </c>
      <c r="C205" t="s">
        <v>105</v>
      </c>
      <c r="D205" t="s">
        <v>17</v>
      </c>
      <c r="E205" t="s">
        <v>53</v>
      </c>
      <c r="F205" t="s">
        <v>40</v>
      </c>
      <c r="G205" t="s">
        <v>20</v>
      </c>
      <c r="H205" t="s">
        <v>28</v>
      </c>
      <c r="I205" t="s">
        <v>90</v>
      </c>
      <c r="J205">
        <v>5</v>
      </c>
      <c r="K205" s="3">
        <v>538.89</v>
      </c>
      <c r="L205" s="2">
        <v>355.22</v>
      </c>
      <c r="M205" s="2">
        <f>Table1[[#This Row],[UnitPrice]]*Table1[[#This Row],[Quantity]]</f>
        <v>2694.45</v>
      </c>
      <c r="N205" s="2">
        <f>Table1[[#This Row],[CostPrice]]*Table1[[#This Row],[Quantity]]</f>
        <v>1776.1000000000001</v>
      </c>
      <c r="O205" s="2">
        <v>379.46</v>
      </c>
      <c r="P205" s="4">
        <v>0.2</v>
      </c>
      <c r="Q205" t="s">
        <v>30</v>
      </c>
      <c r="R205" s="4">
        <f t="shared" si="3"/>
        <v>0.14083022509231941</v>
      </c>
    </row>
    <row r="206" spans="1:18" x14ac:dyDescent="0.25">
      <c r="A206">
        <v>1007</v>
      </c>
      <c r="B206" s="1">
        <v>45073</v>
      </c>
      <c r="C206" t="s">
        <v>56</v>
      </c>
      <c r="D206" t="s">
        <v>25</v>
      </c>
      <c r="E206" t="s">
        <v>18</v>
      </c>
      <c r="F206" t="s">
        <v>27</v>
      </c>
      <c r="G206" t="s">
        <v>41</v>
      </c>
      <c r="H206" t="s">
        <v>46</v>
      </c>
      <c r="I206" t="s">
        <v>57</v>
      </c>
      <c r="J206">
        <v>4</v>
      </c>
      <c r="K206" s="3">
        <v>997.34</v>
      </c>
      <c r="L206" s="2">
        <v>546.96</v>
      </c>
      <c r="M206" s="2">
        <f>Table1[[#This Row],[UnitPrice]]*Table1[[#This Row],[Quantity]]</f>
        <v>3989.36</v>
      </c>
      <c r="N206" s="2">
        <f>Table1[[#This Row],[CostPrice]]*Table1[[#This Row],[Quantity]]</f>
        <v>2187.84</v>
      </c>
      <c r="O206" s="2">
        <v>1203.1199999999999</v>
      </c>
      <c r="P206" s="4">
        <v>0.15</v>
      </c>
      <c r="Q206" t="s">
        <v>51</v>
      </c>
      <c r="R206" s="4">
        <f t="shared" si="3"/>
        <v>0.30158220867507568</v>
      </c>
    </row>
    <row r="207" spans="1:18" x14ac:dyDescent="0.25">
      <c r="A207">
        <v>1281</v>
      </c>
      <c r="B207" s="1">
        <v>45074</v>
      </c>
      <c r="C207" t="s">
        <v>204</v>
      </c>
      <c r="D207" t="s">
        <v>17</v>
      </c>
      <c r="E207" t="s">
        <v>53</v>
      </c>
      <c r="F207" t="s">
        <v>34</v>
      </c>
      <c r="G207" t="s">
        <v>35</v>
      </c>
      <c r="H207" t="s">
        <v>49</v>
      </c>
      <c r="I207" t="s">
        <v>59</v>
      </c>
      <c r="J207">
        <v>4</v>
      </c>
      <c r="K207" s="3">
        <v>54.04</v>
      </c>
      <c r="L207" s="2">
        <v>36.01</v>
      </c>
      <c r="M207" s="2">
        <f>Table1[[#This Row],[UnitPrice]]*Table1[[#This Row],[Quantity]]</f>
        <v>216.16</v>
      </c>
      <c r="N207" s="2">
        <f>Table1[[#This Row],[CostPrice]]*Table1[[#This Row],[Quantity]]</f>
        <v>144.04</v>
      </c>
      <c r="O207" s="2">
        <v>54.83</v>
      </c>
      <c r="P207" s="4">
        <v>0.08</v>
      </c>
      <c r="Q207" t="s">
        <v>85</v>
      </c>
      <c r="R207" s="4">
        <f t="shared" si="3"/>
        <v>0.25365470022205772</v>
      </c>
    </row>
    <row r="208" spans="1:18" x14ac:dyDescent="0.25">
      <c r="A208">
        <v>1573</v>
      </c>
      <c r="B208" s="1">
        <v>45074</v>
      </c>
      <c r="C208" t="s">
        <v>109</v>
      </c>
      <c r="D208" t="s">
        <v>25</v>
      </c>
      <c r="E208" t="s">
        <v>18</v>
      </c>
      <c r="F208" t="s">
        <v>27</v>
      </c>
      <c r="G208" t="s">
        <v>35</v>
      </c>
      <c r="H208" t="s">
        <v>49</v>
      </c>
      <c r="I208" t="s">
        <v>59</v>
      </c>
      <c r="J208">
        <v>1</v>
      </c>
      <c r="K208" s="3">
        <v>492.91</v>
      </c>
      <c r="L208" s="2">
        <v>311.10000000000002</v>
      </c>
      <c r="M208" s="2">
        <f>Table1[[#This Row],[UnitPrice]]*Table1[[#This Row],[Quantity]]</f>
        <v>492.91</v>
      </c>
      <c r="N208" s="2">
        <f>Table1[[#This Row],[CostPrice]]*Table1[[#This Row],[Quantity]]</f>
        <v>311.10000000000002</v>
      </c>
      <c r="O208" s="2">
        <v>43.8</v>
      </c>
      <c r="P208" s="4">
        <v>0.28000000000000003</v>
      </c>
      <c r="Q208" t="s">
        <v>85</v>
      </c>
      <c r="R208" s="4">
        <f t="shared" si="3"/>
        <v>8.8860035300561954E-2</v>
      </c>
    </row>
    <row r="209" spans="1:18" x14ac:dyDescent="0.25">
      <c r="A209">
        <v>1770</v>
      </c>
      <c r="B209" s="1">
        <v>45076</v>
      </c>
      <c r="C209" t="s">
        <v>280</v>
      </c>
      <c r="D209" t="s">
        <v>17</v>
      </c>
      <c r="E209" t="s">
        <v>26</v>
      </c>
      <c r="F209" t="s">
        <v>34</v>
      </c>
      <c r="G209" t="s">
        <v>20</v>
      </c>
      <c r="H209" t="s">
        <v>28</v>
      </c>
      <c r="I209" t="s">
        <v>61</v>
      </c>
      <c r="J209">
        <v>9</v>
      </c>
      <c r="K209" s="3">
        <v>309.91000000000003</v>
      </c>
      <c r="L209" s="2">
        <v>223.65</v>
      </c>
      <c r="M209" s="2">
        <f>Table1[[#This Row],[UnitPrice]]*Table1[[#This Row],[Quantity]]</f>
        <v>2789.19</v>
      </c>
      <c r="N209" s="2">
        <f>Table1[[#This Row],[CostPrice]]*Table1[[#This Row],[Quantity]]</f>
        <v>2012.8500000000001</v>
      </c>
      <c r="O209" s="2">
        <v>581.1</v>
      </c>
      <c r="P209" s="4">
        <v>7.0000000000000007E-2</v>
      </c>
      <c r="Q209" t="s">
        <v>85</v>
      </c>
      <c r="R209" s="4">
        <f t="shared" si="3"/>
        <v>0.20834005571510009</v>
      </c>
    </row>
    <row r="210" spans="1:18" x14ac:dyDescent="0.25">
      <c r="A210">
        <v>1818</v>
      </c>
      <c r="B210" s="1">
        <v>45076</v>
      </c>
      <c r="C210" t="s">
        <v>244</v>
      </c>
      <c r="D210" t="s">
        <v>32</v>
      </c>
      <c r="E210" t="s">
        <v>33</v>
      </c>
      <c r="F210" t="s">
        <v>27</v>
      </c>
      <c r="G210" t="s">
        <v>20</v>
      </c>
      <c r="H210" t="s">
        <v>28</v>
      </c>
      <c r="I210" t="s">
        <v>61</v>
      </c>
      <c r="J210">
        <v>8</v>
      </c>
      <c r="K210" s="3">
        <v>217.35</v>
      </c>
      <c r="L210" s="2">
        <v>124.76</v>
      </c>
      <c r="M210" s="2">
        <f>Table1[[#This Row],[UnitPrice]]*Table1[[#This Row],[Quantity]]</f>
        <v>1738.8</v>
      </c>
      <c r="N210" s="2">
        <f>Table1[[#This Row],[CostPrice]]*Table1[[#This Row],[Quantity]]</f>
        <v>998.08</v>
      </c>
      <c r="O210" s="2">
        <v>723.33</v>
      </c>
      <c r="P210" s="4">
        <v>0.01</v>
      </c>
      <c r="Q210" t="s">
        <v>75</v>
      </c>
      <c r="R210" s="4">
        <f t="shared" si="3"/>
        <v>0.41599378881987581</v>
      </c>
    </row>
    <row r="211" spans="1:18" x14ac:dyDescent="0.25">
      <c r="A211">
        <v>1122</v>
      </c>
      <c r="B211" s="1">
        <v>45077</v>
      </c>
      <c r="C211" t="s">
        <v>177</v>
      </c>
      <c r="D211" t="s">
        <v>25</v>
      </c>
      <c r="E211" t="s">
        <v>26</v>
      </c>
      <c r="F211" t="s">
        <v>27</v>
      </c>
      <c r="G211" t="s">
        <v>35</v>
      </c>
      <c r="H211" t="s">
        <v>36</v>
      </c>
      <c r="I211" t="s">
        <v>37</v>
      </c>
      <c r="J211">
        <v>1</v>
      </c>
      <c r="K211" s="3">
        <v>399.47</v>
      </c>
      <c r="L211" s="2">
        <v>252.02</v>
      </c>
      <c r="M211" s="2">
        <f>Table1[[#This Row],[UnitPrice]]*Table1[[#This Row],[Quantity]]</f>
        <v>399.47</v>
      </c>
      <c r="N211" s="2">
        <f>Table1[[#This Row],[CostPrice]]*Table1[[#This Row],[Quantity]]</f>
        <v>252.02</v>
      </c>
      <c r="O211" s="2">
        <v>99.51</v>
      </c>
      <c r="P211" s="4">
        <v>0.12</v>
      </c>
      <c r="Q211" t="s">
        <v>44</v>
      </c>
      <c r="R211" s="4">
        <f t="shared" si="3"/>
        <v>0.24910506421007836</v>
      </c>
    </row>
    <row r="212" spans="1:18" x14ac:dyDescent="0.25">
      <c r="A212">
        <v>1857</v>
      </c>
      <c r="B212" s="1">
        <v>45077</v>
      </c>
      <c r="C212" t="s">
        <v>297</v>
      </c>
      <c r="D212" t="s">
        <v>25</v>
      </c>
      <c r="E212" t="s">
        <v>33</v>
      </c>
      <c r="F212" t="s">
        <v>19</v>
      </c>
      <c r="G212" t="s">
        <v>20</v>
      </c>
      <c r="H212" t="s">
        <v>28</v>
      </c>
      <c r="I212" t="s">
        <v>81</v>
      </c>
      <c r="J212">
        <v>5</v>
      </c>
      <c r="K212" s="3">
        <v>33.44</v>
      </c>
      <c r="L212" s="2">
        <v>24.47</v>
      </c>
      <c r="M212" s="2">
        <f>Table1[[#This Row],[UnitPrice]]*Table1[[#This Row],[Quantity]]</f>
        <v>167.2</v>
      </c>
      <c r="N212" s="2">
        <f>Table1[[#This Row],[CostPrice]]*Table1[[#This Row],[Quantity]]</f>
        <v>122.35</v>
      </c>
      <c r="O212" s="2">
        <v>21.44</v>
      </c>
      <c r="P212" s="4">
        <v>0.14000000000000001</v>
      </c>
      <c r="Q212" t="s">
        <v>30</v>
      </c>
      <c r="R212" s="4">
        <f t="shared" si="3"/>
        <v>0.12822966507177036</v>
      </c>
    </row>
    <row r="213" spans="1:18" x14ac:dyDescent="0.25">
      <c r="A213">
        <v>1867</v>
      </c>
      <c r="B213" s="1">
        <v>44932</v>
      </c>
      <c r="C213" t="s">
        <v>147</v>
      </c>
      <c r="D213" t="s">
        <v>25</v>
      </c>
      <c r="E213" t="s">
        <v>26</v>
      </c>
      <c r="F213" t="s">
        <v>40</v>
      </c>
      <c r="G213" t="s">
        <v>35</v>
      </c>
      <c r="H213" t="s">
        <v>36</v>
      </c>
      <c r="I213" t="s">
        <v>87</v>
      </c>
      <c r="J213">
        <v>10</v>
      </c>
      <c r="K213" s="3">
        <v>742.31</v>
      </c>
      <c r="L213" s="2">
        <v>624.02</v>
      </c>
      <c r="M213" s="2">
        <f>Table1[[#This Row],[UnitPrice]]*Table1[[#This Row],[Quantity]]</f>
        <v>7423.0999999999995</v>
      </c>
      <c r="N213" s="2">
        <f>Table1[[#This Row],[CostPrice]]*Table1[[#This Row],[Quantity]]</f>
        <v>6240.2</v>
      </c>
      <c r="O213" s="2">
        <v>366.36</v>
      </c>
      <c r="P213" s="4">
        <v>0.11</v>
      </c>
      <c r="Q213" t="s">
        <v>44</v>
      </c>
      <c r="R213" s="4">
        <f t="shared" si="3"/>
        <v>4.935404345893226E-2</v>
      </c>
    </row>
    <row r="214" spans="1:18" x14ac:dyDescent="0.25">
      <c r="A214">
        <v>1153</v>
      </c>
      <c r="B214" s="1">
        <v>44963</v>
      </c>
      <c r="C214" t="s">
        <v>193</v>
      </c>
      <c r="D214" t="s">
        <v>17</v>
      </c>
      <c r="E214" t="s">
        <v>26</v>
      </c>
      <c r="F214" t="s">
        <v>40</v>
      </c>
      <c r="G214" t="s">
        <v>41</v>
      </c>
      <c r="H214" t="s">
        <v>46</v>
      </c>
      <c r="I214" t="s">
        <v>47</v>
      </c>
      <c r="J214">
        <v>7</v>
      </c>
      <c r="K214" s="3">
        <v>990.66</v>
      </c>
      <c r="L214" s="2">
        <v>751.67</v>
      </c>
      <c r="M214" s="2">
        <f>Table1[[#This Row],[UnitPrice]]*Table1[[#This Row],[Quantity]]</f>
        <v>6934.62</v>
      </c>
      <c r="N214" s="2">
        <f>Table1[[#This Row],[CostPrice]]*Table1[[#This Row],[Quantity]]</f>
        <v>5261.69</v>
      </c>
      <c r="O214" s="2">
        <v>1048.81</v>
      </c>
      <c r="P214" s="4">
        <v>0.09</v>
      </c>
      <c r="Q214" t="s">
        <v>85</v>
      </c>
      <c r="R214" s="4">
        <f t="shared" si="3"/>
        <v>0.15124260593947469</v>
      </c>
    </row>
    <row r="215" spans="1:18" x14ac:dyDescent="0.25">
      <c r="A215">
        <v>1115</v>
      </c>
      <c r="B215" s="1">
        <v>44991</v>
      </c>
      <c r="C215" t="s">
        <v>171</v>
      </c>
      <c r="D215" t="s">
        <v>17</v>
      </c>
      <c r="E215" t="s">
        <v>26</v>
      </c>
      <c r="F215" t="s">
        <v>40</v>
      </c>
      <c r="G215" t="s">
        <v>35</v>
      </c>
      <c r="H215" t="s">
        <v>70</v>
      </c>
      <c r="I215" t="s">
        <v>84</v>
      </c>
      <c r="J215">
        <v>7</v>
      </c>
      <c r="K215" s="3">
        <v>133.31</v>
      </c>
      <c r="L215" s="2">
        <v>99.73</v>
      </c>
      <c r="M215" s="2">
        <f>Table1[[#This Row],[UnitPrice]]*Table1[[#This Row],[Quantity]]</f>
        <v>933.17000000000007</v>
      </c>
      <c r="N215" s="2">
        <f>Table1[[#This Row],[CostPrice]]*Table1[[#This Row],[Quantity]]</f>
        <v>698.11</v>
      </c>
      <c r="O215" s="2">
        <v>207.06</v>
      </c>
      <c r="P215" s="4">
        <v>0.03</v>
      </c>
      <c r="Q215" t="s">
        <v>38</v>
      </c>
      <c r="R215" s="4">
        <f t="shared" si="3"/>
        <v>0.22188883054534542</v>
      </c>
    </row>
    <row r="216" spans="1:18" x14ac:dyDescent="0.25">
      <c r="A216">
        <v>1569</v>
      </c>
      <c r="B216" s="1">
        <v>44991</v>
      </c>
      <c r="C216" t="s">
        <v>178</v>
      </c>
      <c r="D216" t="s">
        <v>25</v>
      </c>
      <c r="E216" t="s">
        <v>18</v>
      </c>
      <c r="F216" t="s">
        <v>27</v>
      </c>
      <c r="G216" t="s">
        <v>35</v>
      </c>
      <c r="H216" t="s">
        <v>70</v>
      </c>
      <c r="I216" t="s">
        <v>71</v>
      </c>
      <c r="J216">
        <v>7</v>
      </c>
      <c r="K216" s="3">
        <v>648.69000000000005</v>
      </c>
      <c r="L216" s="2">
        <v>332.75</v>
      </c>
      <c r="M216" s="2">
        <f>Table1[[#This Row],[UnitPrice]]*Table1[[#This Row],[Quantity]]</f>
        <v>4540.83</v>
      </c>
      <c r="N216" s="2">
        <f>Table1[[#This Row],[CostPrice]]*Table1[[#This Row],[Quantity]]</f>
        <v>2329.25</v>
      </c>
      <c r="O216" s="2">
        <v>1984.54</v>
      </c>
      <c r="P216" s="4">
        <v>0.05</v>
      </c>
      <c r="Q216" t="s">
        <v>92</v>
      </c>
      <c r="R216" s="4">
        <f t="shared" si="3"/>
        <v>0.43704344800399925</v>
      </c>
    </row>
    <row r="217" spans="1:18" x14ac:dyDescent="0.25">
      <c r="A217">
        <v>1521</v>
      </c>
      <c r="B217" s="1">
        <v>45022</v>
      </c>
      <c r="C217" t="s">
        <v>241</v>
      </c>
      <c r="D217" t="s">
        <v>17</v>
      </c>
      <c r="E217" t="s">
        <v>33</v>
      </c>
      <c r="F217" t="s">
        <v>40</v>
      </c>
      <c r="G217" t="s">
        <v>35</v>
      </c>
      <c r="H217" t="s">
        <v>70</v>
      </c>
      <c r="I217" t="s">
        <v>84</v>
      </c>
      <c r="J217">
        <v>3</v>
      </c>
      <c r="K217" s="3">
        <v>476.54</v>
      </c>
      <c r="L217" s="2">
        <v>308.33999999999997</v>
      </c>
      <c r="M217" s="2">
        <f>Table1[[#This Row],[UnitPrice]]*Table1[[#This Row],[Quantity]]</f>
        <v>1429.6200000000001</v>
      </c>
      <c r="N217" s="2">
        <f>Table1[[#This Row],[CostPrice]]*Table1[[#This Row],[Quantity]]</f>
        <v>925.02</v>
      </c>
      <c r="O217" s="2">
        <v>190.08</v>
      </c>
      <c r="P217" s="4">
        <v>0.22</v>
      </c>
      <c r="Q217" t="s">
        <v>51</v>
      </c>
      <c r="R217" s="4">
        <f t="shared" si="3"/>
        <v>0.13295840852814034</v>
      </c>
    </row>
    <row r="218" spans="1:18" x14ac:dyDescent="0.25">
      <c r="A218">
        <v>1620</v>
      </c>
      <c r="B218" s="1">
        <v>45052</v>
      </c>
      <c r="C218" t="s">
        <v>167</v>
      </c>
      <c r="D218" t="s">
        <v>17</v>
      </c>
      <c r="E218" t="s">
        <v>53</v>
      </c>
      <c r="F218" t="s">
        <v>19</v>
      </c>
      <c r="G218" t="s">
        <v>20</v>
      </c>
      <c r="H218" t="s">
        <v>28</v>
      </c>
      <c r="I218" t="s">
        <v>61</v>
      </c>
      <c r="J218">
        <v>7</v>
      </c>
      <c r="K218" s="3">
        <v>898.57</v>
      </c>
      <c r="L218" s="2">
        <v>748.64</v>
      </c>
      <c r="M218" s="2">
        <f>Table1[[#This Row],[UnitPrice]]*Table1[[#This Row],[Quantity]]</f>
        <v>6289.9900000000007</v>
      </c>
      <c r="N218" s="2">
        <f>Table1[[#This Row],[CostPrice]]*Table1[[#This Row],[Quantity]]</f>
        <v>5240.4799999999996</v>
      </c>
      <c r="O218" s="2">
        <v>106.01</v>
      </c>
      <c r="P218" s="4">
        <v>0.15</v>
      </c>
      <c r="Q218" t="s">
        <v>85</v>
      </c>
      <c r="R218" s="4">
        <f t="shared" si="3"/>
        <v>1.6853762883565791E-2</v>
      </c>
    </row>
    <row r="219" spans="1:18" x14ac:dyDescent="0.25">
      <c r="A219">
        <v>1705</v>
      </c>
      <c r="B219" s="1">
        <v>45052</v>
      </c>
      <c r="C219" t="s">
        <v>106</v>
      </c>
      <c r="D219" t="s">
        <v>17</v>
      </c>
      <c r="E219" t="s">
        <v>33</v>
      </c>
      <c r="F219" t="s">
        <v>19</v>
      </c>
      <c r="G219" t="s">
        <v>41</v>
      </c>
      <c r="H219" t="s">
        <v>63</v>
      </c>
      <c r="I219" t="s">
        <v>117</v>
      </c>
      <c r="J219">
        <v>6</v>
      </c>
      <c r="K219" s="3">
        <v>138.6</v>
      </c>
      <c r="L219" s="2">
        <v>84.7</v>
      </c>
      <c r="M219" s="2">
        <f>Table1[[#This Row],[UnitPrice]]*Table1[[#This Row],[Quantity]]</f>
        <v>831.59999999999991</v>
      </c>
      <c r="N219" s="2">
        <f>Table1[[#This Row],[CostPrice]]*Table1[[#This Row],[Quantity]]</f>
        <v>508.20000000000005</v>
      </c>
      <c r="O219" s="2">
        <v>123.82</v>
      </c>
      <c r="P219" s="4">
        <v>0.24</v>
      </c>
      <c r="Q219" t="s">
        <v>51</v>
      </c>
      <c r="R219" s="4">
        <f t="shared" si="3"/>
        <v>0.14889369889369891</v>
      </c>
    </row>
    <row r="220" spans="1:18" x14ac:dyDescent="0.25">
      <c r="A220">
        <v>1109</v>
      </c>
      <c r="B220" s="1">
        <v>45083</v>
      </c>
      <c r="C220" t="s">
        <v>167</v>
      </c>
      <c r="D220" t="s">
        <v>17</v>
      </c>
      <c r="E220" t="s">
        <v>33</v>
      </c>
      <c r="F220" t="s">
        <v>19</v>
      </c>
      <c r="G220" t="s">
        <v>41</v>
      </c>
      <c r="H220" t="s">
        <v>46</v>
      </c>
      <c r="I220" t="s">
        <v>57</v>
      </c>
      <c r="J220">
        <v>10</v>
      </c>
      <c r="K220" s="3">
        <v>761.08</v>
      </c>
      <c r="L220" s="2">
        <v>500.12</v>
      </c>
      <c r="M220" s="2">
        <f>Table1[[#This Row],[UnitPrice]]*Table1[[#This Row],[Quantity]]</f>
        <v>7610.8</v>
      </c>
      <c r="N220" s="2">
        <f>Table1[[#This Row],[CostPrice]]*Table1[[#This Row],[Quantity]]</f>
        <v>5001.2</v>
      </c>
      <c r="O220" s="2">
        <v>478.58</v>
      </c>
      <c r="P220" s="4">
        <v>0.28000000000000003</v>
      </c>
      <c r="Q220" t="s">
        <v>125</v>
      </c>
      <c r="R220" s="4">
        <f t="shared" si="3"/>
        <v>6.2881694434225047E-2</v>
      </c>
    </row>
    <row r="221" spans="1:18" x14ac:dyDescent="0.25">
      <c r="A221">
        <v>1188</v>
      </c>
      <c r="B221" s="1">
        <v>45083</v>
      </c>
      <c r="C221" t="s">
        <v>208</v>
      </c>
      <c r="D221" t="s">
        <v>25</v>
      </c>
      <c r="E221" t="s">
        <v>53</v>
      </c>
      <c r="F221" t="s">
        <v>19</v>
      </c>
      <c r="G221" t="s">
        <v>35</v>
      </c>
      <c r="H221" t="s">
        <v>70</v>
      </c>
      <c r="I221" t="s">
        <v>84</v>
      </c>
      <c r="J221">
        <v>6</v>
      </c>
      <c r="K221" s="3">
        <v>261.04000000000002</v>
      </c>
      <c r="L221" s="2">
        <v>205.58</v>
      </c>
      <c r="M221" s="2">
        <f>Table1[[#This Row],[UnitPrice]]*Table1[[#This Row],[Quantity]]</f>
        <v>1566.2400000000002</v>
      </c>
      <c r="N221" s="2">
        <f>Table1[[#This Row],[CostPrice]]*Table1[[#This Row],[Quantity]]</f>
        <v>1233.48</v>
      </c>
      <c r="O221" s="2">
        <v>-121.45</v>
      </c>
      <c r="P221" s="4">
        <v>0.28999999999999998</v>
      </c>
      <c r="Q221" t="s">
        <v>55</v>
      </c>
      <c r="R221" s="4">
        <f t="shared" si="3"/>
        <v>-7.7542394524466221E-2</v>
      </c>
    </row>
    <row r="222" spans="1:18" x14ac:dyDescent="0.25">
      <c r="A222">
        <v>1417</v>
      </c>
      <c r="B222" s="1">
        <v>45083</v>
      </c>
      <c r="C222" t="s">
        <v>176</v>
      </c>
      <c r="D222" t="s">
        <v>17</v>
      </c>
      <c r="E222" t="s">
        <v>53</v>
      </c>
      <c r="F222" t="s">
        <v>27</v>
      </c>
      <c r="G222" t="s">
        <v>41</v>
      </c>
      <c r="H222" t="s">
        <v>63</v>
      </c>
      <c r="I222" t="s">
        <v>64</v>
      </c>
      <c r="J222">
        <v>2</v>
      </c>
      <c r="K222" s="3">
        <v>225.98</v>
      </c>
      <c r="L222" s="2">
        <v>135.91</v>
      </c>
      <c r="M222" s="2">
        <f>Table1[[#This Row],[UnitPrice]]*Table1[[#This Row],[Quantity]]</f>
        <v>451.96</v>
      </c>
      <c r="N222" s="2">
        <f>Table1[[#This Row],[CostPrice]]*Table1[[#This Row],[Quantity]]</f>
        <v>271.82</v>
      </c>
      <c r="O222" s="2">
        <v>125.9</v>
      </c>
      <c r="P222" s="4">
        <v>0.12</v>
      </c>
      <c r="Q222" t="s">
        <v>92</v>
      </c>
      <c r="R222" s="4">
        <f t="shared" si="3"/>
        <v>0.27856447473227725</v>
      </c>
    </row>
    <row r="223" spans="1:18" x14ac:dyDescent="0.25">
      <c r="A223">
        <v>1144</v>
      </c>
      <c r="B223" s="1">
        <v>45113</v>
      </c>
      <c r="C223" t="s">
        <v>58</v>
      </c>
      <c r="D223" t="s">
        <v>17</v>
      </c>
      <c r="E223" t="s">
        <v>18</v>
      </c>
      <c r="F223" t="s">
        <v>34</v>
      </c>
      <c r="G223" t="s">
        <v>20</v>
      </c>
      <c r="H223" t="s">
        <v>21</v>
      </c>
      <c r="I223" t="s">
        <v>22</v>
      </c>
      <c r="J223">
        <v>10</v>
      </c>
      <c r="K223" s="3">
        <v>268.33</v>
      </c>
      <c r="L223" s="2">
        <v>153.96</v>
      </c>
      <c r="M223" s="2">
        <f>Table1[[#This Row],[UnitPrice]]*Table1[[#This Row],[Quantity]]</f>
        <v>2683.2999999999997</v>
      </c>
      <c r="N223" s="2">
        <f>Table1[[#This Row],[CostPrice]]*Table1[[#This Row],[Quantity]]</f>
        <v>1539.6000000000001</v>
      </c>
      <c r="O223" s="2">
        <v>687.54</v>
      </c>
      <c r="P223" s="4">
        <v>0.17</v>
      </c>
      <c r="Q223" t="s">
        <v>125</v>
      </c>
      <c r="R223" s="4">
        <f t="shared" si="3"/>
        <v>0.256229269928819</v>
      </c>
    </row>
    <row r="224" spans="1:18" x14ac:dyDescent="0.25">
      <c r="A224">
        <v>1405</v>
      </c>
      <c r="B224" s="1">
        <v>45113</v>
      </c>
      <c r="C224" t="s">
        <v>103</v>
      </c>
      <c r="D224" t="s">
        <v>32</v>
      </c>
      <c r="E224" t="s">
        <v>53</v>
      </c>
      <c r="F224" t="s">
        <v>40</v>
      </c>
      <c r="G224" t="s">
        <v>20</v>
      </c>
      <c r="H224" t="s">
        <v>21</v>
      </c>
      <c r="I224" t="s">
        <v>22</v>
      </c>
      <c r="J224">
        <v>1</v>
      </c>
      <c r="K224" s="3">
        <v>836.02</v>
      </c>
      <c r="L224" s="2">
        <v>455.98</v>
      </c>
      <c r="M224" s="2">
        <f>Table1[[#This Row],[UnitPrice]]*Table1[[#This Row],[Quantity]]</f>
        <v>836.02</v>
      </c>
      <c r="N224" s="2">
        <f>Table1[[#This Row],[CostPrice]]*Table1[[#This Row],[Quantity]]</f>
        <v>455.98</v>
      </c>
      <c r="O224" s="2">
        <v>162.66999999999999</v>
      </c>
      <c r="P224" s="4">
        <v>0.26</v>
      </c>
      <c r="Q224" t="s">
        <v>23</v>
      </c>
      <c r="R224" s="4">
        <f t="shared" si="3"/>
        <v>0.19457668476830697</v>
      </c>
    </row>
    <row r="225" spans="1:18" x14ac:dyDescent="0.25">
      <c r="A225">
        <v>1776</v>
      </c>
      <c r="B225" s="1">
        <v>45113</v>
      </c>
      <c r="C225" t="s">
        <v>276</v>
      </c>
      <c r="D225" t="s">
        <v>25</v>
      </c>
      <c r="E225" t="s">
        <v>53</v>
      </c>
      <c r="F225" t="s">
        <v>40</v>
      </c>
      <c r="G225" t="s">
        <v>41</v>
      </c>
      <c r="H225" t="s">
        <v>46</v>
      </c>
      <c r="I225" t="s">
        <v>57</v>
      </c>
      <c r="J225">
        <v>8</v>
      </c>
      <c r="K225" s="3">
        <v>631.72</v>
      </c>
      <c r="L225" s="2">
        <v>341.82</v>
      </c>
      <c r="M225" s="2">
        <f>Table1[[#This Row],[UnitPrice]]*Table1[[#This Row],[Quantity]]</f>
        <v>5053.76</v>
      </c>
      <c r="N225" s="2">
        <f>Table1[[#This Row],[CostPrice]]*Table1[[#This Row],[Quantity]]</f>
        <v>2734.56</v>
      </c>
      <c r="O225" s="2">
        <v>1662.21</v>
      </c>
      <c r="P225" s="4">
        <v>0.13</v>
      </c>
      <c r="Q225" t="s">
        <v>55</v>
      </c>
      <c r="R225" s="4">
        <f t="shared" si="3"/>
        <v>0.32890560691445575</v>
      </c>
    </row>
    <row r="226" spans="1:18" x14ac:dyDescent="0.25">
      <c r="A226">
        <v>1986</v>
      </c>
      <c r="B226" s="1">
        <v>45113</v>
      </c>
      <c r="C226" t="s">
        <v>256</v>
      </c>
      <c r="D226" t="s">
        <v>32</v>
      </c>
      <c r="E226" t="s">
        <v>33</v>
      </c>
      <c r="F226" t="s">
        <v>27</v>
      </c>
      <c r="G226" t="s">
        <v>20</v>
      </c>
      <c r="H226" t="s">
        <v>28</v>
      </c>
      <c r="I226" t="s">
        <v>90</v>
      </c>
      <c r="J226">
        <v>8</v>
      </c>
      <c r="K226" s="3">
        <v>552.08000000000004</v>
      </c>
      <c r="L226" s="2">
        <v>352.18</v>
      </c>
      <c r="M226" s="2">
        <f>Table1[[#This Row],[UnitPrice]]*Table1[[#This Row],[Quantity]]</f>
        <v>4416.6400000000003</v>
      </c>
      <c r="N226" s="2">
        <f>Table1[[#This Row],[CostPrice]]*Table1[[#This Row],[Quantity]]</f>
        <v>2817.44</v>
      </c>
      <c r="O226" s="2">
        <v>1334.2</v>
      </c>
      <c r="P226" s="4">
        <v>0.06</v>
      </c>
      <c r="Q226" t="s">
        <v>55</v>
      </c>
      <c r="R226" s="4">
        <f t="shared" si="3"/>
        <v>0.30208484277640918</v>
      </c>
    </row>
    <row r="227" spans="1:18" x14ac:dyDescent="0.25">
      <c r="A227">
        <v>1789</v>
      </c>
      <c r="B227" s="1">
        <v>45144</v>
      </c>
      <c r="C227" t="s">
        <v>178</v>
      </c>
      <c r="D227" t="s">
        <v>17</v>
      </c>
      <c r="E227" t="s">
        <v>18</v>
      </c>
      <c r="F227" t="s">
        <v>34</v>
      </c>
      <c r="G227" t="s">
        <v>20</v>
      </c>
      <c r="H227" t="s">
        <v>21</v>
      </c>
      <c r="I227" t="s">
        <v>22</v>
      </c>
      <c r="J227">
        <v>9</v>
      </c>
      <c r="K227" s="3">
        <v>300.25</v>
      </c>
      <c r="L227" s="2">
        <v>203.88</v>
      </c>
      <c r="M227" s="2">
        <f>Table1[[#This Row],[UnitPrice]]*Table1[[#This Row],[Quantity]]</f>
        <v>2702.25</v>
      </c>
      <c r="N227" s="2">
        <f>Table1[[#This Row],[CostPrice]]*Table1[[#This Row],[Quantity]]</f>
        <v>1834.92</v>
      </c>
      <c r="O227" s="2">
        <v>191.77</v>
      </c>
      <c r="P227" s="4">
        <v>0.25</v>
      </c>
      <c r="Q227" t="s">
        <v>92</v>
      </c>
      <c r="R227" s="4">
        <f t="shared" si="3"/>
        <v>7.0966786936811924E-2</v>
      </c>
    </row>
    <row r="228" spans="1:18" x14ac:dyDescent="0.25">
      <c r="A228">
        <v>1002</v>
      </c>
      <c r="B228" s="1">
        <v>45175</v>
      </c>
      <c r="C228" t="s">
        <v>31</v>
      </c>
      <c r="D228" t="s">
        <v>32</v>
      </c>
      <c r="E228" t="s">
        <v>33</v>
      </c>
      <c r="F228" t="s">
        <v>34</v>
      </c>
      <c r="G228" t="s">
        <v>35</v>
      </c>
      <c r="H228" t="s">
        <v>36</v>
      </c>
      <c r="I228" t="s">
        <v>37</v>
      </c>
      <c r="J228">
        <v>6</v>
      </c>
      <c r="K228" s="3">
        <v>605.71</v>
      </c>
      <c r="L228" s="2">
        <v>473.96</v>
      </c>
      <c r="M228" s="2">
        <f>Table1[[#This Row],[UnitPrice]]*Table1[[#This Row],[Quantity]]</f>
        <v>3634.26</v>
      </c>
      <c r="N228" s="2">
        <f>Table1[[#This Row],[CostPrice]]*Table1[[#This Row],[Quantity]]</f>
        <v>2843.7599999999998</v>
      </c>
      <c r="O228" s="2">
        <v>-9.0399999999999991</v>
      </c>
      <c r="P228" s="4">
        <v>0.22</v>
      </c>
      <c r="Q228" t="s">
        <v>38</v>
      </c>
      <c r="R228" s="4">
        <f t="shared" si="3"/>
        <v>-2.4874389834519265E-3</v>
      </c>
    </row>
    <row r="229" spans="1:18" x14ac:dyDescent="0.25">
      <c r="A229">
        <v>1767</v>
      </c>
      <c r="B229" s="1">
        <v>45175</v>
      </c>
      <c r="C229" t="s">
        <v>154</v>
      </c>
      <c r="D229" t="s">
        <v>25</v>
      </c>
      <c r="E229" t="s">
        <v>26</v>
      </c>
      <c r="F229" t="s">
        <v>34</v>
      </c>
      <c r="G229" t="s">
        <v>41</v>
      </c>
      <c r="H229" t="s">
        <v>46</v>
      </c>
      <c r="I229" t="s">
        <v>57</v>
      </c>
      <c r="J229">
        <v>10</v>
      </c>
      <c r="K229" s="3">
        <v>738.74</v>
      </c>
      <c r="L229" s="2">
        <v>481.67</v>
      </c>
      <c r="M229" s="2">
        <f>Table1[[#This Row],[UnitPrice]]*Table1[[#This Row],[Quantity]]</f>
        <v>7387.4</v>
      </c>
      <c r="N229" s="2">
        <f>Table1[[#This Row],[CostPrice]]*Table1[[#This Row],[Quantity]]</f>
        <v>4816.7</v>
      </c>
      <c r="O229" s="2">
        <v>1905.83</v>
      </c>
      <c r="P229" s="4">
        <v>0.09</v>
      </c>
      <c r="Q229" t="s">
        <v>55</v>
      </c>
      <c r="R229" s="4">
        <f t="shared" si="3"/>
        <v>0.25798386441779247</v>
      </c>
    </row>
    <row r="230" spans="1:18" x14ac:dyDescent="0.25">
      <c r="A230">
        <v>1676</v>
      </c>
      <c r="B230" s="1">
        <v>45205</v>
      </c>
      <c r="C230" t="s">
        <v>238</v>
      </c>
      <c r="D230" t="s">
        <v>32</v>
      </c>
      <c r="E230" t="s">
        <v>18</v>
      </c>
      <c r="F230" t="s">
        <v>34</v>
      </c>
      <c r="G230" t="s">
        <v>20</v>
      </c>
      <c r="H230" t="s">
        <v>21</v>
      </c>
      <c r="I230" t="s">
        <v>54</v>
      </c>
      <c r="J230">
        <v>8</v>
      </c>
      <c r="K230" s="3">
        <v>521.23</v>
      </c>
      <c r="L230" s="2">
        <v>302.61</v>
      </c>
      <c r="M230" s="2">
        <f>Table1[[#This Row],[UnitPrice]]*Table1[[#This Row],[Quantity]]</f>
        <v>4169.84</v>
      </c>
      <c r="N230" s="2">
        <f>Table1[[#This Row],[CostPrice]]*Table1[[#This Row],[Quantity]]</f>
        <v>2420.88</v>
      </c>
      <c r="O230" s="2">
        <v>1707.26</v>
      </c>
      <c r="P230" s="4">
        <v>0.01</v>
      </c>
      <c r="Q230" t="s">
        <v>38</v>
      </c>
      <c r="R230" s="4">
        <f t="shared" si="3"/>
        <v>0.40943057767204494</v>
      </c>
    </row>
    <row r="231" spans="1:18" x14ac:dyDescent="0.25">
      <c r="A231">
        <v>1139</v>
      </c>
      <c r="B231" s="1">
        <v>45236</v>
      </c>
      <c r="C231" t="s">
        <v>99</v>
      </c>
      <c r="D231" t="s">
        <v>17</v>
      </c>
      <c r="E231" t="s">
        <v>26</v>
      </c>
      <c r="F231" t="s">
        <v>40</v>
      </c>
      <c r="G231" t="s">
        <v>41</v>
      </c>
      <c r="H231" t="s">
        <v>42</v>
      </c>
      <c r="I231" t="s">
        <v>77</v>
      </c>
      <c r="J231">
        <v>4</v>
      </c>
      <c r="K231" s="3">
        <v>793.11</v>
      </c>
      <c r="L231" s="2">
        <v>462.27</v>
      </c>
      <c r="M231" s="2">
        <f>Table1[[#This Row],[UnitPrice]]*Table1[[#This Row],[Quantity]]</f>
        <v>3172.44</v>
      </c>
      <c r="N231" s="2">
        <f>Table1[[#This Row],[CostPrice]]*Table1[[#This Row],[Quantity]]</f>
        <v>1849.08</v>
      </c>
      <c r="O231" s="2">
        <v>847.49</v>
      </c>
      <c r="P231" s="4">
        <v>0.15</v>
      </c>
      <c r="Q231" t="s">
        <v>85</v>
      </c>
      <c r="R231" s="4">
        <f t="shared" si="3"/>
        <v>0.26714138013642497</v>
      </c>
    </row>
    <row r="232" spans="1:18" x14ac:dyDescent="0.25">
      <c r="A232">
        <v>1284</v>
      </c>
      <c r="B232" s="1">
        <v>45266</v>
      </c>
      <c r="C232" t="s">
        <v>168</v>
      </c>
      <c r="D232" t="s">
        <v>17</v>
      </c>
      <c r="E232" t="s">
        <v>53</v>
      </c>
      <c r="F232" t="s">
        <v>19</v>
      </c>
      <c r="G232" t="s">
        <v>41</v>
      </c>
      <c r="H232" t="s">
        <v>63</v>
      </c>
      <c r="I232" t="s">
        <v>141</v>
      </c>
      <c r="J232">
        <v>3</v>
      </c>
      <c r="K232" s="3">
        <v>196.8</v>
      </c>
      <c r="L232" s="2">
        <v>155.77000000000001</v>
      </c>
      <c r="M232" s="2">
        <f>Table1[[#This Row],[UnitPrice]]*Table1[[#This Row],[Quantity]]</f>
        <v>590.40000000000009</v>
      </c>
      <c r="N232" s="2">
        <f>Table1[[#This Row],[CostPrice]]*Table1[[#This Row],[Quantity]]</f>
        <v>467.31000000000006</v>
      </c>
      <c r="O232" s="2">
        <v>-24.51</v>
      </c>
      <c r="P232" s="4">
        <v>0.25</v>
      </c>
      <c r="Q232" t="s">
        <v>23</v>
      </c>
      <c r="R232" s="4">
        <f t="shared" si="3"/>
        <v>-4.151422764227642E-2</v>
      </c>
    </row>
    <row r="233" spans="1:18" x14ac:dyDescent="0.25">
      <c r="A233">
        <v>1213</v>
      </c>
      <c r="B233" s="1">
        <v>45090</v>
      </c>
      <c r="C233" t="s">
        <v>154</v>
      </c>
      <c r="D233" t="s">
        <v>32</v>
      </c>
      <c r="E233" t="s">
        <v>53</v>
      </c>
      <c r="F233" t="s">
        <v>19</v>
      </c>
      <c r="G233" t="s">
        <v>35</v>
      </c>
      <c r="H233" t="s">
        <v>70</v>
      </c>
      <c r="I233" t="s">
        <v>98</v>
      </c>
      <c r="J233">
        <v>3</v>
      </c>
      <c r="K233" s="3">
        <v>642.28</v>
      </c>
      <c r="L233" s="2">
        <v>418.28</v>
      </c>
      <c r="M233" s="2">
        <f>Table1[[#This Row],[UnitPrice]]*Table1[[#This Row],[Quantity]]</f>
        <v>1926.84</v>
      </c>
      <c r="N233" s="2">
        <f>Table1[[#This Row],[CostPrice]]*Table1[[#This Row],[Quantity]]</f>
        <v>1254.8399999999999</v>
      </c>
      <c r="O233" s="2">
        <v>652.73</v>
      </c>
      <c r="P233" s="4">
        <v>0.01</v>
      </c>
      <c r="Q233" t="s">
        <v>125</v>
      </c>
      <c r="R233" s="4">
        <f t="shared" si="3"/>
        <v>0.33875672084864339</v>
      </c>
    </row>
    <row r="234" spans="1:18" x14ac:dyDescent="0.25">
      <c r="A234">
        <v>1506</v>
      </c>
      <c r="B234" s="1">
        <v>45090</v>
      </c>
      <c r="C234" t="s">
        <v>212</v>
      </c>
      <c r="D234" t="s">
        <v>25</v>
      </c>
      <c r="E234" t="s">
        <v>33</v>
      </c>
      <c r="F234" t="s">
        <v>40</v>
      </c>
      <c r="G234" t="s">
        <v>35</v>
      </c>
      <c r="H234" t="s">
        <v>36</v>
      </c>
      <c r="I234" t="s">
        <v>37</v>
      </c>
      <c r="J234">
        <v>5</v>
      </c>
      <c r="K234" s="3">
        <v>337.62</v>
      </c>
      <c r="L234" s="2">
        <v>263.95</v>
      </c>
      <c r="M234" s="2">
        <f>Table1[[#This Row],[UnitPrice]]*Table1[[#This Row],[Quantity]]</f>
        <v>1688.1</v>
      </c>
      <c r="N234" s="2">
        <f>Table1[[#This Row],[CostPrice]]*Table1[[#This Row],[Quantity]]</f>
        <v>1319.75</v>
      </c>
      <c r="O234" s="2">
        <v>-19.91</v>
      </c>
      <c r="P234" s="4">
        <v>0.23</v>
      </c>
      <c r="Q234" t="s">
        <v>51</v>
      </c>
      <c r="R234" s="4">
        <f t="shared" si="3"/>
        <v>-1.1794324980747587E-2</v>
      </c>
    </row>
    <row r="235" spans="1:18" x14ac:dyDescent="0.25">
      <c r="A235">
        <v>1325</v>
      </c>
      <c r="B235" s="1">
        <v>45091</v>
      </c>
      <c r="C235" t="s">
        <v>101</v>
      </c>
      <c r="D235" t="s">
        <v>32</v>
      </c>
      <c r="E235" t="s">
        <v>26</v>
      </c>
      <c r="F235" t="s">
        <v>34</v>
      </c>
      <c r="G235" t="s">
        <v>41</v>
      </c>
      <c r="H235" t="s">
        <v>46</v>
      </c>
      <c r="I235" t="s">
        <v>47</v>
      </c>
      <c r="J235">
        <v>9</v>
      </c>
      <c r="K235" s="3">
        <v>37.14</v>
      </c>
      <c r="L235" s="2">
        <v>29.15</v>
      </c>
      <c r="M235" s="2">
        <f>Table1[[#This Row],[UnitPrice]]*Table1[[#This Row],[Quantity]]</f>
        <v>334.26</v>
      </c>
      <c r="N235" s="2">
        <f>Table1[[#This Row],[CostPrice]]*Table1[[#This Row],[Quantity]]</f>
        <v>262.34999999999997</v>
      </c>
      <c r="O235" s="2">
        <v>61.88</v>
      </c>
      <c r="P235" s="4">
        <v>0.03</v>
      </c>
      <c r="Q235" t="s">
        <v>38</v>
      </c>
      <c r="R235" s="4">
        <f t="shared" si="3"/>
        <v>0.18512535152276671</v>
      </c>
    </row>
    <row r="236" spans="1:18" x14ac:dyDescent="0.25">
      <c r="A236">
        <v>1329</v>
      </c>
      <c r="B236" s="1">
        <v>45091</v>
      </c>
      <c r="C236" t="s">
        <v>222</v>
      </c>
      <c r="D236" t="s">
        <v>32</v>
      </c>
      <c r="E236" t="s">
        <v>33</v>
      </c>
      <c r="F236" t="s">
        <v>40</v>
      </c>
      <c r="G236" t="s">
        <v>35</v>
      </c>
      <c r="H236" t="s">
        <v>70</v>
      </c>
      <c r="I236" t="s">
        <v>98</v>
      </c>
      <c r="J236">
        <v>1</v>
      </c>
      <c r="K236" s="3">
        <v>157.93</v>
      </c>
      <c r="L236" s="2">
        <v>96.8</v>
      </c>
      <c r="M236" s="2">
        <f>Table1[[#This Row],[UnitPrice]]*Table1[[#This Row],[Quantity]]</f>
        <v>157.93</v>
      </c>
      <c r="N236" s="2">
        <f>Table1[[#This Row],[CostPrice]]*Table1[[#This Row],[Quantity]]</f>
        <v>96.8</v>
      </c>
      <c r="O236" s="2">
        <v>57.97</v>
      </c>
      <c r="P236" s="4">
        <v>0.02</v>
      </c>
      <c r="Q236" t="s">
        <v>125</v>
      </c>
      <c r="R236" s="4">
        <f t="shared" si="3"/>
        <v>0.36706135629709363</v>
      </c>
    </row>
    <row r="237" spans="1:18" x14ac:dyDescent="0.25">
      <c r="A237">
        <v>1341</v>
      </c>
      <c r="B237" s="1">
        <v>45091</v>
      </c>
      <c r="C237" t="s">
        <v>115</v>
      </c>
      <c r="D237" t="s">
        <v>17</v>
      </c>
      <c r="E237" t="s">
        <v>18</v>
      </c>
      <c r="F237" t="s">
        <v>19</v>
      </c>
      <c r="G237" t="s">
        <v>20</v>
      </c>
      <c r="H237" t="s">
        <v>21</v>
      </c>
      <c r="I237" t="s">
        <v>22</v>
      </c>
      <c r="J237">
        <v>9</v>
      </c>
      <c r="K237" s="3">
        <v>463.96</v>
      </c>
      <c r="L237" s="2">
        <v>321.24</v>
      </c>
      <c r="M237" s="2">
        <f>Table1[[#This Row],[UnitPrice]]*Table1[[#This Row],[Quantity]]</f>
        <v>4175.6399999999994</v>
      </c>
      <c r="N237" s="2">
        <f>Table1[[#This Row],[CostPrice]]*Table1[[#This Row],[Quantity]]</f>
        <v>2891.16</v>
      </c>
      <c r="O237" s="2">
        <v>908.67</v>
      </c>
      <c r="P237" s="4">
        <v>0.09</v>
      </c>
      <c r="Q237" t="s">
        <v>44</v>
      </c>
      <c r="R237" s="4">
        <f t="shared" si="3"/>
        <v>0.21761215047274193</v>
      </c>
    </row>
    <row r="238" spans="1:18" x14ac:dyDescent="0.25">
      <c r="A238">
        <v>1441</v>
      </c>
      <c r="B238" s="1">
        <v>45093</v>
      </c>
      <c r="C238" t="s">
        <v>270</v>
      </c>
      <c r="D238" t="s">
        <v>25</v>
      </c>
      <c r="E238" t="s">
        <v>33</v>
      </c>
      <c r="F238" t="s">
        <v>27</v>
      </c>
      <c r="G238" t="s">
        <v>35</v>
      </c>
      <c r="H238" t="s">
        <v>49</v>
      </c>
      <c r="I238" t="s">
        <v>59</v>
      </c>
      <c r="J238">
        <v>8</v>
      </c>
      <c r="K238" s="3">
        <v>292.33999999999997</v>
      </c>
      <c r="L238" s="2">
        <v>164.66</v>
      </c>
      <c r="M238" s="2">
        <f>Table1[[#This Row],[UnitPrice]]*Table1[[#This Row],[Quantity]]</f>
        <v>2338.7199999999998</v>
      </c>
      <c r="N238" s="2">
        <f>Table1[[#This Row],[CostPrice]]*Table1[[#This Row],[Quantity]]</f>
        <v>1317.28</v>
      </c>
      <c r="O238" s="2">
        <v>389.99</v>
      </c>
      <c r="P238" s="4">
        <v>0.27</v>
      </c>
      <c r="Q238" t="s">
        <v>23</v>
      </c>
      <c r="R238" s="4">
        <f t="shared" si="3"/>
        <v>0.16675360881165768</v>
      </c>
    </row>
    <row r="239" spans="1:18" x14ac:dyDescent="0.25">
      <c r="A239">
        <v>1597</v>
      </c>
      <c r="B239" s="1">
        <v>45093</v>
      </c>
      <c r="C239" t="s">
        <v>170</v>
      </c>
      <c r="D239" t="s">
        <v>32</v>
      </c>
      <c r="E239" t="s">
        <v>18</v>
      </c>
      <c r="F239" t="s">
        <v>19</v>
      </c>
      <c r="G239" t="s">
        <v>20</v>
      </c>
      <c r="H239" t="s">
        <v>28</v>
      </c>
      <c r="I239" t="s">
        <v>61</v>
      </c>
      <c r="J239">
        <v>7</v>
      </c>
      <c r="K239" s="3">
        <v>737.21</v>
      </c>
      <c r="L239" s="2">
        <v>606.42999999999995</v>
      </c>
      <c r="M239" s="2">
        <f>Table1[[#This Row],[UnitPrice]]*Table1[[#This Row],[Quantity]]</f>
        <v>5160.47</v>
      </c>
      <c r="N239" s="2">
        <f>Table1[[#This Row],[CostPrice]]*Table1[[#This Row],[Quantity]]</f>
        <v>4245.0099999999993</v>
      </c>
      <c r="O239" s="2">
        <v>-477.87</v>
      </c>
      <c r="P239" s="4">
        <v>0.27</v>
      </c>
      <c r="Q239" t="s">
        <v>125</v>
      </c>
      <c r="R239" s="4">
        <f t="shared" si="3"/>
        <v>-9.2602030435212299E-2</v>
      </c>
    </row>
    <row r="240" spans="1:18" x14ac:dyDescent="0.25">
      <c r="A240">
        <v>1631</v>
      </c>
      <c r="B240" s="1">
        <v>45093</v>
      </c>
      <c r="C240" t="s">
        <v>285</v>
      </c>
      <c r="D240" t="s">
        <v>25</v>
      </c>
      <c r="E240" t="s">
        <v>53</v>
      </c>
      <c r="F240" t="s">
        <v>27</v>
      </c>
      <c r="G240" t="s">
        <v>20</v>
      </c>
      <c r="H240" t="s">
        <v>113</v>
      </c>
      <c r="I240" t="s">
        <v>161</v>
      </c>
      <c r="J240">
        <v>9</v>
      </c>
      <c r="K240" s="3">
        <v>122.47</v>
      </c>
      <c r="L240" s="2">
        <v>70.349999999999994</v>
      </c>
      <c r="M240" s="2">
        <f>Table1[[#This Row],[UnitPrice]]*Table1[[#This Row],[Quantity]]</f>
        <v>1102.23</v>
      </c>
      <c r="N240" s="2">
        <f>Table1[[#This Row],[CostPrice]]*Table1[[#This Row],[Quantity]]</f>
        <v>633.15</v>
      </c>
      <c r="O240" s="2">
        <v>314.77</v>
      </c>
      <c r="P240" s="4">
        <v>0.14000000000000001</v>
      </c>
      <c r="Q240" t="s">
        <v>92</v>
      </c>
      <c r="R240" s="4">
        <f t="shared" si="3"/>
        <v>0.28557560581729763</v>
      </c>
    </row>
    <row r="241" spans="1:18" x14ac:dyDescent="0.25">
      <c r="A241">
        <v>1048</v>
      </c>
      <c r="B241" s="1">
        <v>45094</v>
      </c>
      <c r="C241" t="s">
        <v>116</v>
      </c>
      <c r="D241" t="s">
        <v>17</v>
      </c>
      <c r="E241" t="s">
        <v>33</v>
      </c>
      <c r="F241" t="s">
        <v>40</v>
      </c>
      <c r="G241" t="s">
        <v>41</v>
      </c>
      <c r="H241" t="s">
        <v>63</v>
      </c>
      <c r="I241" t="s">
        <v>117</v>
      </c>
      <c r="J241">
        <v>7</v>
      </c>
      <c r="K241" s="3">
        <v>941.76</v>
      </c>
      <c r="L241" s="2">
        <v>536.25</v>
      </c>
      <c r="M241" s="2">
        <f>Table1[[#This Row],[UnitPrice]]*Table1[[#This Row],[Quantity]]</f>
        <v>6592.32</v>
      </c>
      <c r="N241" s="2">
        <f>Table1[[#This Row],[CostPrice]]*Table1[[#This Row],[Quantity]]</f>
        <v>3753.75</v>
      </c>
      <c r="O241" s="2">
        <v>1651.95</v>
      </c>
      <c r="P241" s="4">
        <v>0.18</v>
      </c>
      <c r="Q241" t="s">
        <v>23</v>
      </c>
      <c r="R241" s="4">
        <f t="shared" si="3"/>
        <v>0.25058704674530363</v>
      </c>
    </row>
    <row r="242" spans="1:18" x14ac:dyDescent="0.25">
      <c r="A242">
        <v>1590</v>
      </c>
      <c r="B242" s="1">
        <v>45095</v>
      </c>
      <c r="C242" t="s">
        <v>123</v>
      </c>
      <c r="D242" t="s">
        <v>32</v>
      </c>
      <c r="E242" t="s">
        <v>26</v>
      </c>
      <c r="F242" t="s">
        <v>27</v>
      </c>
      <c r="G242" t="s">
        <v>20</v>
      </c>
      <c r="H242" t="s">
        <v>21</v>
      </c>
      <c r="I242" t="s">
        <v>132</v>
      </c>
      <c r="J242">
        <v>1</v>
      </c>
      <c r="K242" s="3">
        <v>233.71</v>
      </c>
      <c r="L242" s="2">
        <v>119.79</v>
      </c>
      <c r="M242" s="2">
        <f>Table1[[#This Row],[UnitPrice]]*Table1[[#This Row],[Quantity]]</f>
        <v>233.71</v>
      </c>
      <c r="N242" s="2">
        <f>Table1[[#This Row],[CostPrice]]*Table1[[#This Row],[Quantity]]</f>
        <v>119.79</v>
      </c>
      <c r="O242" s="2">
        <v>95.22</v>
      </c>
      <c r="P242" s="4">
        <v>0.08</v>
      </c>
      <c r="Q242" t="s">
        <v>55</v>
      </c>
      <c r="R242" s="4">
        <f t="shared" si="3"/>
        <v>0.40742800907107096</v>
      </c>
    </row>
    <row r="243" spans="1:18" x14ac:dyDescent="0.25">
      <c r="A243">
        <v>1044</v>
      </c>
      <c r="B243" s="1">
        <v>45096</v>
      </c>
      <c r="C243" t="s">
        <v>111</v>
      </c>
      <c r="D243" t="s">
        <v>25</v>
      </c>
      <c r="E243" t="s">
        <v>33</v>
      </c>
      <c r="F243" t="s">
        <v>27</v>
      </c>
      <c r="G243" t="s">
        <v>41</v>
      </c>
      <c r="H243" t="s">
        <v>63</v>
      </c>
      <c r="I243" t="s">
        <v>64</v>
      </c>
      <c r="J243">
        <v>1</v>
      </c>
      <c r="K243" s="3">
        <v>88.53</v>
      </c>
      <c r="L243" s="2">
        <v>57.55</v>
      </c>
      <c r="M243" s="2">
        <f>Table1[[#This Row],[UnitPrice]]*Table1[[#This Row],[Quantity]]</f>
        <v>88.53</v>
      </c>
      <c r="N243" s="2">
        <f>Table1[[#This Row],[CostPrice]]*Table1[[#This Row],[Quantity]]</f>
        <v>57.55</v>
      </c>
      <c r="O243" s="2">
        <v>7.96</v>
      </c>
      <c r="P243" s="4">
        <v>0.26</v>
      </c>
      <c r="Q243" t="s">
        <v>92</v>
      </c>
      <c r="R243" s="4">
        <f t="shared" si="3"/>
        <v>8.9913023833728678E-2</v>
      </c>
    </row>
    <row r="244" spans="1:18" x14ac:dyDescent="0.25">
      <c r="A244">
        <v>1018</v>
      </c>
      <c r="B244" s="1">
        <v>45097</v>
      </c>
      <c r="C244" t="s">
        <v>78</v>
      </c>
      <c r="D244" t="s">
        <v>32</v>
      </c>
      <c r="E244" t="s">
        <v>26</v>
      </c>
      <c r="F244" t="s">
        <v>27</v>
      </c>
      <c r="G244" t="s">
        <v>20</v>
      </c>
      <c r="H244" t="s">
        <v>21</v>
      </c>
      <c r="I244" t="s">
        <v>79</v>
      </c>
      <c r="J244">
        <v>1</v>
      </c>
      <c r="K244" s="3">
        <v>985.38</v>
      </c>
      <c r="L244" s="2">
        <v>584.15</v>
      </c>
      <c r="M244" s="2">
        <f>Table1[[#This Row],[UnitPrice]]*Table1[[#This Row],[Quantity]]</f>
        <v>985.38</v>
      </c>
      <c r="N244" s="2">
        <f>Table1[[#This Row],[CostPrice]]*Table1[[#This Row],[Quantity]]</f>
        <v>584.15</v>
      </c>
      <c r="O244" s="2">
        <v>164.74</v>
      </c>
      <c r="P244" s="4">
        <v>0.24</v>
      </c>
      <c r="Q244" t="s">
        <v>55</v>
      </c>
      <c r="R244" s="4">
        <f t="shared" si="3"/>
        <v>0.16718423349367759</v>
      </c>
    </row>
    <row r="245" spans="1:18" x14ac:dyDescent="0.25">
      <c r="A245">
        <v>1209</v>
      </c>
      <c r="B245" s="1">
        <v>45097</v>
      </c>
      <c r="C245" t="s">
        <v>155</v>
      </c>
      <c r="D245" t="s">
        <v>25</v>
      </c>
      <c r="E245" t="s">
        <v>53</v>
      </c>
      <c r="F245" t="s">
        <v>40</v>
      </c>
      <c r="G245" t="s">
        <v>35</v>
      </c>
      <c r="H245" t="s">
        <v>36</v>
      </c>
      <c r="I245" t="s">
        <v>87</v>
      </c>
      <c r="J245">
        <v>2</v>
      </c>
      <c r="K245" s="3">
        <v>262.44</v>
      </c>
      <c r="L245" s="2">
        <v>178.13</v>
      </c>
      <c r="M245" s="2">
        <f>Table1[[#This Row],[UnitPrice]]*Table1[[#This Row],[Quantity]]</f>
        <v>524.88</v>
      </c>
      <c r="N245" s="2">
        <f>Table1[[#This Row],[CostPrice]]*Table1[[#This Row],[Quantity]]</f>
        <v>356.26</v>
      </c>
      <c r="O245" s="2">
        <v>84.64</v>
      </c>
      <c r="P245" s="4">
        <v>0.16</v>
      </c>
      <c r="Q245" t="s">
        <v>125</v>
      </c>
      <c r="R245" s="4">
        <f t="shared" si="3"/>
        <v>0.16125590611187318</v>
      </c>
    </row>
    <row r="246" spans="1:18" x14ac:dyDescent="0.25">
      <c r="A246">
        <v>1241</v>
      </c>
      <c r="B246" s="1">
        <v>45097</v>
      </c>
      <c r="C246" t="s">
        <v>214</v>
      </c>
      <c r="D246" t="s">
        <v>17</v>
      </c>
      <c r="E246" t="s">
        <v>18</v>
      </c>
      <c r="F246" t="s">
        <v>34</v>
      </c>
      <c r="G246" t="s">
        <v>20</v>
      </c>
      <c r="H246" t="s">
        <v>28</v>
      </c>
      <c r="I246" t="s">
        <v>61</v>
      </c>
      <c r="J246">
        <v>5</v>
      </c>
      <c r="K246" s="3">
        <v>526.23</v>
      </c>
      <c r="L246" s="2">
        <v>311.55</v>
      </c>
      <c r="M246" s="2">
        <f>Table1[[#This Row],[UnitPrice]]*Table1[[#This Row],[Quantity]]</f>
        <v>2631.15</v>
      </c>
      <c r="N246" s="2">
        <f>Table1[[#This Row],[CostPrice]]*Table1[[#This Row],[Quantity]]</f>
        <v>1557.75</v>
      </c>
      <c r="O246" s="2">
        <v>310.37</v>
      </c>
      <c r="P246" s="4">
        <v>0.28999999999999998</v>
      </c>
      <c r="Q246" t="s">
        <v>44</v>
      </c>
      <c r="R246" s="4">
        <f t="shared" si="3"/>
        <v>0.11795982745187465</v>
      </c>
    </row>
    <row r="247" spans="1:18" x14ac:dyDescent="0.25">
      <c r="A247">
        <v>1563</v>
      </c>
      <c r="B247" s="1">
        <v>45097</v>
      </c>
      <c r="C247" t="s">
        <v>103</v>
      </c>
      <c r="D247" t="s">
        <v>32</v>
      </c>
      <c r="E247" t="s">
        <v>53</v>
      </c>
      <c r="F247" t="s">
        <v>19</v>
      </c>
      <c r="G247" t="s">
        <v>35</v>
      </c>
      <c r="H247" t="s">
        <v>70</v>
      </c>
      <c r="I247" t="s">
        <v>98</v>
      </c>
      <c r="J247">
        <v>9</v>
      </c>
      <c r="K247" s="3">
        <v>218.01</v>
      </c>
      <c r="L247" s="2">
        <v>129.24</v>
      </c>
      <c r="M247" s="2">
        <f>Table1[[#This Row],[UnitPrice]]*Table1[[#This Row],[Quantity]]</f>
        <v>1962.09</v>
      </c>
      <c r="N247" s="2">
        <f>Table1[[#This Row],[CostPrice]]*Table1[[#This Row],[Quantity]]</f>
        <v>1163.1600000000001</v>
      </c>
      <c r="O247" s="2">
        <v>622.34</v>
      </c>
      <c r="P247" s="4">
        <v>0.09</v>
      </c>
      <c r="Q247" t="s">
        <v>125</v>
      </c>
      <c r="R247" s="4">
        <f t="shared" si="3"/>
        <v>0.31718218838075729</v>
      </c>
    </row>
    <row r="248" spans="1:18" x14ac:dyDescent="0.25">
      <c r="A248">
        <v>1399</v>
      </c>
      <c r="B248" s="1">
        <v>45098</v>
      </c>
      <c r="C248" t="s">
        <v>263</v>
      </c>
      <c r="D248" t="s">
        <v>17</v>
      </c>
      <c r="E248" t="s">
        <v>33</v>
      </c>
      <c r="F248" t="s">
        <v>27</v>
      </c>
      <c r="G248" t="s">
        <v>20</v>
      </c>
      <c r="H248" t="s">
        <v>21</v>
      </c>
      <c r="I248" t="s">
        <v>22</v>
      </c>
      <c r="J248">
        <v>10</v>
      </c>
      <c r="K248" s="3">
        <v>784.56</v>
      </c>
      <c r="L248" s="2">
        <v>522.79</v>
      </c>
      <c r="M248" s="2">
        <f>Table1[[#This Row],[UnitPrice]]*Table1[[#This Row],[Quantity]]</f>
        <v>7845.5999999999995</v>
      </c>
      <c r="N248" s="2">
        <f>Table1[[#This Row],[CostPrice]]*Table1[[#This Row],[Quantity]]</f>
        <v>5227.8999999999996</v>
      </c>
      <c r="O248" s="2">
        <v>1205.49</v>
      </c>
      <c r="P248" s="4">
        <v>0.18</v>
      </c>
      <c r="Q248" t="s">
        <v>85</v>
      </c>
      <c r="R248" s="4">
        <f t="shared" si="3"/>
        <v>0.15365172835729582</v>
      </c>
    </row>
    <row r="249" spans="1:18" x14ac:dyDescent="0.25">
      <c r="A249">
        <v>1108</v>
      </c>
      <c r="B249" s="1">
        <v>45099</v>
      </c>
      <c r="C249" t="s">
        <v>166</v>
      </c>
      <c r="D249" t="s">
        <v>17</v>
      </c>
      <c r="E249" t="s">
        <v>33</v>
      </c>
      <c r="F249" t="s">
        <v>19</v>
      </c>
      <c r="G249" t="s">
        <v>35</v>
      </c>
      <c r="H249" t="s">
        <v>49</v>
      </c>
      <c r="I249" t="s">
        <v>59</v>
      </c>
      <c r="J249">
        <v>3</v>
      </c>
      <c r="K249" s="3">
        <v>240.09</v>
      </c>
      <c r="L249" s="2">
        <v>132.35</v>
      </c>
      <c r="M249" s="2">
        <f>Table1[[#This Row],[UnitPrice]]*Table1[[#This Row],[Quantity]]</f>
        <v>720.27</v>
      </c>
      <c r="N249" s="2">
        <f>Table1[[#This Row],[CostPrice]]*Table1[[#This Row],[Quantity]]</f>
        <v>397.04999999999995</v>
      </c>
      <c r="O249" s="2">
        <v>280</v>
      </c>
      <c r="P249" s="4">
        <v>0.06</v>
      </c>
      <c r="Q249" t="s">
        <v>125</v>
      </c>
      <c r="R249" s="4">
        <f t="shared" si="3"/>
        <v>0.38874311022255542</v>
      </c>
    </row>
    <row r="250" spans="1:18" x14ac:dyDescent="0.25">
      <c r="A250">
        <v>1078</v>
      </c>
      <c r="B250" s="1">
        <v>45101</v>
      </c>
      <c r="C250" t="s">
        <v>145</v>
      </c>
      <c r="D250" t="s">
        <v>17</v>
      </c>
      <c r="E250" t="s">
        <v>53</v>
      </c>
      <c r="F250" t="s">
        <v>19</v>
      </c>
      <c r="G250" t="s">
        <v>35</v>
      </c>
      <c r="H250" t="s">
        <v>70</v>
      </c>
      <c r="I250" t="s">
        <v>98</v>
      </c>
      <c r="J250">
        <v>4</v>
      </c>
      <c r="K250" s="3">
        <v>463.84</v>
      </c>
      <c r="L250" s="2">
        <v>273.14999999999998</v>
      </c>
      <c r="M250" s="2">
        <f>Table1[[#This Row],[UnitPrice]]*Table1[[#This Row],[Quantity]]</f>
        <v>1855.36</v>
      </c>
      <c r="N250" s="2">
        <f>Table1[[#This Row],[CostPrice]]*Table1[[#This Row],[Quantity]]</f>
        <v>1092.5999999999999</v>
      </c>
      <c r="O250" s="2">
        <v>614.33000000000004</v>
      </c>
      <c r="P250" s="4">
        <v>0.08</v>
      </c>
      <c r="Q250" t="s">
        <v>51</v>
      </c>
      <c r="R250" s="4">
        <f t="shared" si="3"/>
        <v>0.33111094342876857</v>
      </c>
    </row>
    <row r="251" spans="1:18" x14ac:dyDescent="0.25">
      <c r="A251">
        <v>1863</v>
      </c>
      <c r="B251" s="1">
        <v>45101</v>
      </c>
      <c r="C251" t="s">
        <v>159</v>
      </c>
      <c r="D251" t="s">
        <v>25</v>
      </c>
      <c r="E251" t="s">
        <v>26</v>
      </c>
      <c r="F251" t="s">
        <v>19</v>
      </c>
      <c r="G251" t="s">
        <v>35</v>
      </c>
      <c r="H251" t="s">
        <v>49</v>
      </c>
      <c r="I251" t="s">
        <v>66</v>
      </c>
      <c r="J251">
        <v>1</v>
      </c>
      <c r="K251" s="3">
        <v>667.7</v>
      </c>
      <c r="L251" s="2">
        <v>433.85</v>
      </c>
      <c r="M251" s="2">
        <f>Table1[[#This Row],[UnitPrice]]*Table1[[#This Row],[Quantity]]</f>
        <v>667.7</v>
      </c>
      <c r="N251" s="2">
        <f>Table1[[#This Row],[CostPrice]]*Table1[[#This Row],[Quantity]]</f>
        <v>433.85</v>
      </c>
      <c r="O251" s="2">
        <v>227.17</v>
      </c>
      <c r="P251" s="4">
        <v>0.01</v>
      </c>
      <c r="Q251" t="s">
        <v>30</v>
      </c>
      <c r="R251" s="4">
        <f t="shared" si="3"/>
        <v>0.34022764714692222</v>
      </c>
    </row>
    <row r="252" spans="1:18" x14ac:dyDescent="0.25">
      <c r="A252">
        <v>1883</v>
      </c>
      <c r="B252" s="1">
        <v>45101</v>
      </c>
      <c r="C252" t="s">
        <v>164</v>
      </c>
      <c r="D252" t="s">
        <v>17</v>
      </c>
      <c r="E252" t="s">
        <v>26</v>
      </c>
      <c r="F252" t="s">
        <v>27</v>
      </c>
      <c r="G252" t="s">
        <v>35</v>
      </c>
      <c r="H252" t="s">
        <v>49</v>
      </c>
      <c r="I252" t="s">
        <v>50</v>
      </c>
      <c r="J252">
        <v>2</v>
      </c>
      <c r="K252" s="3">
        <v>959.3</v>
      </c>
      <c r="L252" s="2">
        <v>645.16999999999996</v>
      </c>
      <c r="M252" s="2">
        <f>Table1[[#This Row],[UnitPrice]]*Table1[[#This Row],[Quantity]]</f>
        <v>1918.6</v>
      </c>
      <c r="N252" s="2">
        <f>Table1[[#This Row],[CostPrice]]*Table1[[#This Row],[Quantity]]</f>
        <v>1290.3399999999999</v>
      </c>
      <c r="O252" s="2">
        <v>244.54</v>
      </c>
      <c r="P252" s="4">
        <v>0.2</v>
      </c>
      <c r="Q252" t="s">
        <v>75</v>
      </c>
      <c r="R252" s="4">
        <f t="shared" si="3"/>
        <v>0.12745752110914207</v>
      </c>
    </row>
    <row r="253" spans="1:18" x14ac:dyDescent="0.25">
      <c r="A253">
        <v>1746</v>
      </c>
      <c r="B253" s="1">
        <v>45102</v>
      </c>
      <c r="C253" t="s">
        <v>156</v>
      </c>
      <c r="D253" t="s">
        <v>25</v>
      </c>
      <c r="E253" t="s">
        <v>26</v>
      </c>
      <c r="F253" t="s">
        <v>40</v>
      </c>
      <c r="G253" t="s">
        <v>20</v>
      </c>
      <c r="H253" t="s">
        <v>113</v>
      </c>
      <c r="I253" t="s">
        <v>153</v>
      </c>
      <c r="J253">
        <v>9</v>
      </c>
      <c r="K253" s="3">
        <v>447.7</v>
      </c>
      <c r="L253" s="2">
        <v>314.27</v>
      </c>
      <c r="M253" s="2">
        <f>Table1[[#This Row],[UnitPrice]]*Table1[[#This Row],[Quantity]]</f>
        <v>4029.2999999999997</v>
      </c>
      <c r="N253" s="2">
        <f>Table1[[#This Row],[CostPrice]]*Table1[[#This Row],[Quantity]]</f>
        <v>2828.43</v>
      </c>
      <c r="O253" s="2">
        <v>354.72</v>
      </c>
      <c r="P253" s="4">
        <v>0.21</v>
      </c>
      <c r="Q253" t="s">
        <v>38</v>
      </c>
      <c r="R253" s="4">
        <f t="shared" si="3"/>
        <v>8.8035142580597137E-2</v>
      </c>
    </row>
    <row r="254" spans="1:18" x14ac:dyDescent="0.25">
      <c r="A254">
        <v>1083</v>
      </c>
      <c r="B254" s="1">
        <v>45106</v>
      </c>
      <c r="C254" t="s">
        <v>149</v>
      </c>
      <c r="D254" t="s">
        <v>17</v>
      </c>
      <c r="E254" t="s">
        <v>18</v>
      </c>
      <c r="F254" t="s">
        <v>40</v>
      </c>
      <c r="G254" t="s">
        <v>20</v>
      </c>
      <c r="H254" t="s">
        <v>28</v>
      </c>
      <c r="I254" t="s">
        <v>61</v>
      </c>
      <c r="J254">
        <v>5</v>
      </c>
      <c r="K254" s="3">
        <v>747.83</v>
      </c>
      <c r="L254" s="2">
        <v>462.57</v>
      </c>
      <c r="M254" s="2">
        <f>Table1[[#This Row],[UnitPrice]]*Table1[[#This Row],[Quantity]]</f>
        <v>3739.15</v>
      </c>
      <c r="N254" s="2">
        <f>Table1[[#This Row],[CostPrice]]*Table1[[#This Row],[Quantity]]</f>
        <v>2312.85</v>
      </c>
      <c r="O254" s="2">
        <v>1314.13</v>
      </c>
      <c r="P254" s="4">
        <v>0.03</v>
      </c>
      <c r="Q254" t="s">
        <v>44</v>
      </c>
      <c r="R254" s="4">
        <f t="shared" si="3"/>
        <v>0.35145153310244309</v>
      </c>
    </row>
    <row r="255" spans="1:18" x14ac:dyDescent="0.25">
      <c r="A255">
        <v>1181</v>
      </c>
      <c r="B255" s="1">
        <v>45106</v>
      </c>
      <c r="C255" t="s">
        <v>74</v>
      </c>
      <c r="D255" t="s">
        <v>32</v>
      </c>
      <c r="E255" t="s">
        <v>53</v>
      </c>
      <c r="F255" t="s">
        <v>34</v>
      </c>
      <c r="G255" t="s">
        <v>35</v>
      </c>
      <c r="H255" t="s">
        <v>70</v>
      </c>
      <c r="I255" t="s">
        <v>84</v>
      </c>
      <c r="J255">
        <v>7</v>
      </c>
      <c r="K255" s="3">
        <v>786.88</v>
      </c>
      <c r="L255" s="2">
        <v>481.22</v>
      </c>
      <c r="M255" s="2">
        <f>Table1[[#This Row],[UnitPrice]]*Table1[[#This Row],[Quantity]]</f>
        <v>5508.16</v>
      </c>
      <c r="N255" s="2">
        <f>Table1[[#This Row],[CostPrice]]*Table1[[#This Row],[Quantity]]</f>
        <v>3368.54</v>
      </c>
      <c r="O255" s="2">
        <v>1478.64</v>
      </c>
      <c r="P255" s="4">
        <v>0.12</v>
      </c>
      <c r="Q255" t="s">
        <v>92</v>
      </c>
      <c r="R255" s="4">
        <f t="shared" si="3"/>
        <v>0.26844536106431188</v>
      </c>
    </row>
    <row r="256" spans="1:18" x14ac:dyDescent="0.25">
      <c r="A256">
        <v>1366</v>
      </c>
      <c r="B256" s="1">
        <v>45106</v>
      </c>
      <c r="C256" t="s">
        <v>136</v>
      </c>
      <c r="D256" t="s">
        <v>32</v>
      </c>
      <c r="E256" t="s">
        <v>33</v>
      </c>
      <c r="F256" t="s">
        <v>19</v>
      </c>
      <c r="G256" t="s">
        <v>41</v>
      </c>
      <c r="H256" t="s">
        <v>63</v>
      </c>
      <c r="I256" t="s">
        <v>117</v>
      </c>
      <c r="J256">
        <v>4</v>
      </c>
      <c r="K256" s="3">
        <v>38.44</v>
      </c>
      <c r="L256" s="2">
        <v>27.29</v>
      </c>
      <c r="M256" s="2">
        <f>Table1[[#This Row],[UnitPrice]]*Table1[[#This Row],[Quantity]]</f>
        <v>153.76</v>
      </c>
      <c r="N256" s="2">
        <f>Table1[[#This Row],[CostPrice]]*Table1[[#This Row],[Quantity]]</f>
        <v>109.16</v>
      </c>
      <c r="O256" s="2">
        <v>21.54</v>
      </c>
      <c r="P256" s="4">
        <v>0.15</v>
      </c>
      <c r="Q256" t="s">
        <v>23</v>
      </c>
      <c r="R256" s="4">
        <f t="shared" si="3"/>
        <v>0.14008844953173777</v>
      </c>
    </row>
    <row r="257" spans="1:18" x14ac:dyDescent="0.25">
      <c r="A257">
        <v>1997</v>
      </c>
      <c r="B257" s="1">
        <v>45106</v>
      </c>
      <c r="C257" t="s">
        <v>166</v>
      </c>
      <c r="D257" t="s">
        <v>25</v>
      </c>
      <c r="E257" t="s">
        <v>26</v>
      </c>
      <c r="F257" t="s">
        <v>19</v>
      </c>
      <c r="G257" t="s">
        <v>41</v>
      </c>
      <c r="H257" t="s">
        <v>46</v>
      </c>
      <c r="I257" t="s">
        <v>57</v>
      </c>
      <c r="J257">
        <v>5</v>
      </c>
      <c r="K257" s="3">
        <v>348.66</v>
      </c>
      <c r="L257" s="2">
        <v>230.22</v>
      </c>
      <c r="M257" s="2">
        <f>Table1[[#This Row],[UnitPrice]]*Table1[[#This Row],[Quantity]]</f>
        <v>1743.3000000000002</v>
      </c>
      <c r="N257" s="2">
        <f>Table1[[#This Row],[CostPrice]]*Table1[[#This Row],[Quantity]]</f>
        <v>1151.0999999999999</v>
      </c>
      <c r="O257" s="2">
        <v>260.97000000000003</v>
      </c>
      <c r="P257" s="4">
        <v>0.19</v>
      </c>
      <c r="Q257" t="s">
        <v>38</v>
      </c>
      <c r="R257" s="4">
        <f t="shared" si="3"/>
        <v>0.14969884701428327</v>
      </c>
    </row>
    <row r="258" spans="1:18" x14ac:dyDescent="0.25">
      <c r="A258">
        <v>1380</v>
      </c>
      <c r="B258" s="1">
        <v>45107</v>
      </c>
      <c r="C258" t="s">
        <v>78</v>
      </c>
      <c r="D258" t="s">
        <v>25</v>
      </c>
      <c r="E258" t="s">
        <v>18</v>
      </c>
      <c r="F258" t="s">
        <v>27</v>
      </c>
      <c r="G258" t="s">
        <v>35</v>
      </c>
      <c r="H258" t="s">
        <v>49</v>
      </c>
      <c r="I258" t="s">
        <v>59</v>
      </c>
      <c r="J258">
        <v>10</v>
      </c>
      <c r="K258" s="3">
        <v>52.47</v>
      </c>
      <c r="L258" s="2">
        <v>28.05</v>
      </c>
      <c r="M258" s="2">
        <f>Table1[[#This Row],[UnitPrice]]*Table1[[#This Row],[Quantity]]</f>
        <v>524.70000000000005</v>
      </c>
      <c r="N258" s="2">
        <f>Table1[[#This Row],[CostPrice]]*Table1[[#This Row],[Quantity]]</f>
        <v>280.5</v>
      </c>
      <c r="O258" s="2">
        <v>217.97</v>
      </c>
      <c r="P258" s="4">
        <v>0.05</v>
      </c>
      <c r="Q258" t="s">
        <v>23</v>
      </c>
      <c r="R258" s="4">
        <f t="shared" ref="R258:R321" si="4">O258/M258</f>
        <v>0.41541833428625879</v>
      </c>
    </row>
    <row r="259" spans="1:18" x14ac:dyDescent="0.25">
      <c r="A259">
        <v>1566</v>
      </c>
      <c r="B259" s="1">
        <v>45023</v>
      </c>
      <c r="C259" t="s">
        <v>227</v>
      </c>
      <c r="D259" t="s">
        <v>17</v>
      </c>
      <c r="E259" t="s">
        <v>26</v>
      </c>
      <c r="F259" t="s">
        <v>27</v>
      </c>
      <c r="G259" t="s">
        <v>20</v>
      </c>
      <c r="H259" t="s">
        <v>113</v>
      </c>
      <c r="I259" t="s">
        <v>161</v>
      </c>
      <c r="J259">
        <v>8</v>
      </c>
      <c r="K259" s="3">
        <v>271.60000000000002</v>
      </c>
      <c r="L259" s="2">
        <v>196.44</v>
      </c>
      <c r="M259" s="2">
        <f>Table1[[#This Row],[UnitPrice]]*Table1[[#This Row],[Quantity]]</f>
        <v>2172.8000000000002</v>
      </c>
      <c r="N259" s="2">
        <f>Table1[[#This Row],[CostPrice]]*Table1[[#This Row],[Quantity]]</f>
        <v>1571.52</v>
      </c>
      <c r="O259" s="2">
        <v>79.81</v>
      </c>
      <c r="P259" s="4">
        <v>0.24</v>
      </c>
      <c r="Q259" t="s">
        <v>75</v>
      </c>
      <c r="R259" s="4">
        <f t="shared" si="4"/>
        <v>3.6731406480117822E-2</v>
      </c>
    </row>
    <row r="260" spans="1:18" x14ac:dyDescent="0.25">
      <c r="A260">
        <v>1838</v>
      </c>
      <c r="B260" s="1">
        <v>45023</v>
      </c>
      <c r="C260" t="s">
        <v>296</v>
      </c>
      <c r="D260" t="s">
        <v>25</v>
      </c>
      <c r="E260" t="s">
        <v>33</v>
      </c>
      <c r="F260" t="s">
        <v>34</v>
      </c>
      <c r="G260" t="s">
        <v>35</v>
      </c>
      <c r="H260" t="s">
        <v>49</v>
      </c>
      <c r="I260" t="s">
        <v>50</v>
      </c>
      <c r="J260">
        <v>10</v>
      </c>
      <c r="K260" s="3">
        <v>601.99</v>
      </c>
      <c r="L260" s="2">
        <v>302.05</v>
      </c>
      <c r="M260" s="2">
        <f>Table1[[#This Row],[UnitPrice]]*Table1[[#This Row],[Quantity]]</f>
        <v>6019.9</v>
      </c>
      <c r="N260" s="2">
        <f>Table1[[#This Row],[CostPrice]]*Table1[[#This Row],[Quantity]]</f>
        <v>3020.5</v>
      </c>
      <c r="O260" s="2">
        <v>2036.22</v>
      </c>
      <c r="P260" s="4">
        <v>0.16</v>
      </c>
      <c r="Q260" t="s">
        <v>30</v>
      </c>
      <c r="R260" s="4">
        <f t="shared" si="4"/>
        <v>0.33824814365687139</v>
      </c>
    </row>
    <row r="261" spans="1:18" x14ac:dyDescent="0.25">
      <c r="A261">
        <v>1356</v>
      </c>
      <c r="B261" s="1">
        <v>45084</v>
      </c>
      <c r="C261" t="s">
        <v>129</v>
      </c>
      <c r="D261" t="s">
        <v>17</v>
      </c>
      <c r="E261" t="s">
        <v>18</v>
      </c>
      <c r="F261" t="s">
        <v>19</v>
      </c>
      <c r="G261" t="s">
        <v>41</v>
      </c>
      <c r="H261" t="s">
        <v>63</v>
      </c>
      <c r="I261" t="s">
        <v>117</v>
      </c>
      <c r="J261">
        <v>8</v>
      </c>
      <c r="K261" s="3">
        <v>598.54999999999995</v>
      </c>
      <c r="L261" s="2">
        <v>313.7</v>
      </c>
      <c r="M261" s="2">
        <f>Table1[[#This Row],[UnitPrice]]*Table1[[#This Row],[Quantity]]</f>
        <v>4788.3999999999996</v>
      </c>
      <c r="N261" s="2">
        <f>Table1[[#This Row],[CostPrice]]*Table1[[#This Row],[Quantity]]</f>
        <v>2509.6</v>
      </c>
      <c r="O261" s="2">
        <v>1752.08</v>
      </c>
      <c r="P261" s="4">
        <v>0.11</v>
      </c>
      <c r="Q261" t="s">
        <v>92</v>
      </c>
      <c r="R261" s="4">
        <f t="shared" si="4"/>
        <v>0.36590092724083201</v>
      </c>
    </row>
    <row r="262" spans="1:18" x14ac:dyDescent="0.25">
      <c r="A262">
        <v>1017</v>
      </c>
      <c r="B262" s="1">
        <v>45114</v>
      </c>
      <c r="C262" t="s">
        <v>76</v>
      </c>
      <c r="D262" t="s">
        <v>25</v>
      </c>
      <c r="E262" t="s">
        <v>33</v>
      </c>
      <c r="F262" t="s">
        <v>27</v>
      </c>
      <c r="G262" t="s">
        <v>41</v>
      </c>
      <c r="H262" t="s">
        <v>42</v>
      </c>
      <c r="I262" t="s">
        <v>77</v>
      </c>
      <c r="J262">
        <v>9</v>
      </c>
      <c r="K262" s="3">
        <v>836.85</v>
      </c>
      <c r="L262" s="2">
        <v>702.24</v>
      </c>
      <c r="M262" s="2">
        <f>Table1[[#This Row],[UnitPrice]]*Table1[[#This Row],[Quantity]]</f>
        <v>7531.6500000000005</v>
      </c>
      <c r="N262" s="2">
        <f>Table1[[#This Row],[CostPrice]]*Table1[[#This Row],[Quantity]]</f>
        <v>6320.16</v>
      </c>
      <c r="O262" s="2">
        <v>-897.37</v>
      </c>
      <c r="P262" s="4">
        <v>0.28000000000000003</v>
      </c>
      <c r="Q262" t="s">
        <v>23</v>
      </c>
      <c r="R262" s="4">
        <f t="shared" si="4"/>
        <v>-0.11914653495581977</v>
      </c>
    </row>
    <row r="263" spans="1:18" x14ac:dyDescent="0.25">
      <c r="A263">
        <v>1604</v>
      </c>
      <c r="B263" s="1">
        <v>45176</v>
      </c>
      <c r="C263" t="s">
        <v>283</v>
      </c>
      <c r="D263" t="s">
        <v>17</v>
      </c>
      <c r="E263" t="s">
        <v>18</v>
      </c>
      <c r="F263" t="s">
        <v>34</v>
      </c>
      <c r="G263" t="s">
        <v>35</v>
      </c>
      <c r="H263" t="s">
        <v>70</v>
      </c>
      <c r="I263" t="s">
        <v>98</v>
      </c>
      <c r="J263">
        <v>1</v>
      </c>
      <c r="K263" s="3">
        <v>397.96</v>
      </c>
      <c r="L263" s="2">
        <v>200.83</v>
      </c>
      <c r="M263" s="2">
        <f>Table1[[#This Row],[UnitPrice]]*Table1[[#This Row],[Quantity]]</f>
        <v>397.96</v>
      </c>
      <c r="N263" s="2">
        <f>Table1[[#This Row],[CostPrice]]*Table1[[#This Row],[Quantity]]</f>
        <v>200.83</v>
      </c>
      <c r="O263" s="2">
        <v>117.54</v>
      </c>
      <c r="P263" s="4">
        <v>0.2</v>
      </c>
      <c r="Q263" t="s">
        <v>55</v>
      </c>
      <c r="R263" s="4">
        <f t="shared" si="4"/>
        <v>0.29535631721781086</v>
      </c>
    </row>
    <row r="264" spans="1:18" x14ac:dyDescent="0.25">
      <c r="A264">
        <v>1199</v>
      </c>
      <c r="B264" s="1">
        <v>45206</v>
      </c>
      <c r="C264" t="s">
        <v>155</v>
      </c>
      <c r="D264" t="s">
        <v>17</v>
      </c>
      <c r="E264" t="s">
        <v>53</v>
      </c>
      <c r="F264" t="s">
        <v>34</v>
      </c>
      <c r="G264" t="s">
        <v>41</v>
      </c>
      <c r="H264" t="s">
        <v>46</v>
      </c>
      <c r="I264" t="s">
        <v>47</v>
      </c>
      <c r="J264">
        <v>2</v>
      </c>
      <c r="K264" s="3">
        <v>86.63</v>
      </c>
      <c r="L264" s="2">
        <v>47.99</v>
      </c>
      <c r="M264" s="2">
        <f>Table1[[#This Row],[UnitPrice]]*Table1[[#This Row],[Quantity]]</f>
        <v>173.26</v>
      </c>
      <c r="N264" s="2">
        <f>Table1[[#This Row],[CostPrice]]*Table1[[#This Row],[Quantity]]</f>
        <v>95.98</v>
      </c>
      <c r="O264" s="2">
        <v>40.9</v>
      </c>
      <c r="P264" s="4">
        <v>0.21</v>
      </c>
      <c r="Q264" t="s">
        <v>92</v>
      </c>
      <c r="R264" s="4">
        <f t="shared" si="4"/>
        <v>0.23606141059679095</v>
      </c>
    </row>
    <row r="265" spans="1:18" x14ac:dyDescent="0.25">
      <c r="A265">
        <v>1520</v>
      </c>
      <c r="B265" s="1">
        <v>45267</v>
      </c>
      <c r="C265" t="s">
        <v>197</v>
      </c>
      <c r="D265" t="s">
        <v>32</v>
      </c>
      <c r="E265" t="s">
        <v>33</v>
      </c>
      <c r="F265" t="s">
        <v>34</v>
      </c>
      <c r="G265" t="s">
        <v>35</v>
      </c>
      <c r="H265" t="s">
        <v>36</v>
      </c>
      <c r="I265" t="s">
        <v>37</v>
      </c>
      <c r="J265">
        <v>2</v>
      </c>
      <c r="K265" s="3">
        <v>113.82</v>
      </c>
      <c r="L265" s="2">
        <v>67.900000000000006</v>
      </c>
      <c r="M265" s="2">
        <f>Table1[[#This Row],[UnitPrice]]*Table1[[#This Row],[Quantity]]</f>
        <v>227.64</v>
      </c>
      <c r="N265" s="2">
        <f>Table1[[#This Row],[CostPrice]]*Table1[[#This Row],[Quantity]]</f>
        <v>135.80000000000001</v>
      </c>
      <c r="O265" s="2">
        <v>44.04</v>
      </c>
      <c r="P265" s="4">
        <v>0.21</v>
      </c>
      <c r="Q265" t="s">
        <v>55</v>
      </c>
      <c r="R265" s="4">
        <f t="shared" si="4"/>
        <v>0.19346336320506063</v>
      </c>
    </row>
    <row r="266" spans="1:18" x14ac:dyDescent="0.25">
      <c r="A266">
        <v>1855</v>
      </c>
      <c r="B266" s="1">
        <v>45267</v>
      </c>
      <c r="C266" t="s">
        <v>135</v>
      </c>
      <c r="D266" t="s">
        <v>32</v>
      </c>
      <c r="E266" t="s">
        <v>26</v>
      </c>
      <c r="F266" t="s">
        <v>40</v>
      </c>
      <c r="G266" t="s">
        <v>35</v>
      </c>
      <c r="H266" t="s">
        <v>70</v>
      </c>
      <c r="I266" t="s">
        <v>71</v>
      </c>
      <c r="J266">
        <v>3</v>
      </c>
      <c r="K266" s="3">
        <v>848.57</v>
      </c>
      <c r="L266" s="2">
        <v>455.67</v>
      </c>
      <c r="M266" s="2">
        <f>Table1[[#This Row],[UnitPrice]]*Table1[[#This Row],[Quantity]]</f>
        <v>2545.71</v>
      </c>
      <c r="N266" s="2">
        <f>Table1[[#This Row],[CostPrice]]*Table1[[#This Row],[Quantity]]</f>
        <v>1367.01</v>
      </c>
      <c r="O266" s="2">
        <v>1076.8699999999999</v>
      </c>
      <c r="P266" s="4">
        <v>0.04</v>
      </c>
      <c r="Q266" t="s">
        <v>85</v>
      </c>
      <c r="R266" s="4">
        <f t="shared" si="4"/>
        <v>0.42301361899037987</v>
      </c>
    </row>
    <row r="267" spans="1:18" x14ac:dyDescent="0.25">
      <c r="A267">
        <v>1977</v>
      </c>
      <c r="B267" s="1">
        <v>45267</v>
      </c>
      <c r="C267" t="s">
        <v>144</v>
      </c>
      <c r="D267" t="s">
        <v>25</v>
      </c>
      <c r="E267" t="s">
        <v>26</v>
      </c>
      <c r="F267" t="s">
        <v>40</v>
      </c>
      <c r="G267" t="s">
        <v>35</v>
      </c>
      <c r="H267" t="s">
        <v>70</v>
      </c>
      <c r="I267" t="s">
        <v>71</v>
      </c>
      <c r="J267">
        <v>5</v>
      </c>
      <c r="K267" s="3">
        <v>96.95</v>
      </c>
      <c r="L267" s="2">
        <v>60.53</v>
      </c>
      <c r="M267" s="2">
        <f>Table1[[#This Row],[UnitPrice]]*Table1[[#This Row],[Quantity]]</f>
        <v>484.75</v>
      </c>
      <c r="N267" s="2">
        <f>Table1[[#This Row],[CostPrice]]*Table1[[#This Row],[Quantity]]</f>
        <v>302.64999999999998</v>
      </c>
      <c r="O267" s="2">
        <v>128.78</v>
      </c>
      <c r="P267" s="4">
        <v>0.11</v>
      </c>
      <c r="Q267" t="s">
        <v>38</v>
      </c>
      <c r="R267" s="4">
        <f t="shared" si="4"/>
        <v>0.26566271273852504</v>
      </c>
    </row>
    <row r="268" spans="1:18" x14ac:dyDescent="0.25">
      <c r="A268">
        <v>1437</v>
      </c>
      <c r="B268" s="1">
        <v>45121</v>
      </c>
      <c r="C268" t="s">
        <v>76</v>
      </c>
      <c r="D268" t="s">
        <v>32</v>
      </c>
      <c r="E268" t="s">
        <v>18</v>
      </c>
      <c r="F268" t="s">
        <v>40</v>
      </c>
      <c r="G268" t="s">
        <v>35</v>
      </c>
      <c r="H268" t="s">
        <v>36</v>
      </c>
      <c r="I268" t="s">
        <v>37</v>
      </c>
      <c r="J268">
        <v>5</v>
      </c>
      <c r="K268" s="3">
        <v>615.07000000000005</v>
      </c>
      <c r="L268" s="2">
        <v>319.27999999999997</v>
      </c>
      <c r="M268" s="2">
        <f>Table1[[#This Row],[UnitPrice]]*Table1[[#This Row],[Quantity]]</f>
        <v>3075.3500000000004</v>
      </c>
      <c r="N268" s="2">
        <f>Table1[[#This Row],[CostPrice]]*Table1[[#This Row],[Quantity]]</f>
        <v>1596.3999999999999</v>
      </c>
      <c r="O268" s="2">
        <v>986.89</v>
      </c>
      <c r="P268" s="4">
        <v>0.16</v>
      </c>
      <c r="Q268" t="s">
        <v>92</v>
      </c>
      <c r="R268" s="4">
        <f t="shared" si="4"/>
        <v>0.320903311818167</v>
      </c>
    </row>
    <row r="269" spans="1:18" x14ac:dyDescent="0.25">
      <c r="A269">
        <v>1056</v>
      </c>
      <c r="B269" s="1">
        <v>45123</v>
      </c>
      <c r="C269" t="s">
        <v>69</v>
      </c>
      <c r="D269" t="s">
        <v>32</v>
      </c>
      <c r="E269" t="s">
        <v>18</v>
      </c>
      <c r="F269" t="s">
        <v>40</v>
      </c>
      <c r="G269" t="s">
        <v>20</v>
      </c>
      <c r="H269" t="s">
        <v>21</v>
      </c>
      <c r="I269" t="s">
        <v>54</v>
      </c>
      <c r="J269">
        <v>4</v>
      </c>
      <c r="K269" s="3">
        <v>364.08</v>
      </c>
      <c r="L269" s="2">
        <v>220.56</v>
      </c>
      <c r="M269" s="2">
        <f>Table1[[#This Row],[UnitPrice]]*Table1[[#This Row],[Quantity]]</f>
        <v>1456.32</v>
      </c>
      <c r="N269" s="2">
        <f>Table1[[#This Row],[CostPrice]]*Table1[[#This Row],[Quantity]]</f>
        <v>882.24</v>
      </c>
      <c r="O269" s="2">
        <v>268.25</v>
      </c>
      <c r="P269" s="4">
        <v>0.21</v>
      </c>
      <c r="Q269" t="s">
        <v>92</v>
      </c>
      <c r="R269" s="4">
        <f t="shared" si="4"/>
        <v>0.18419715447154472</v>
      </c>
    </row>
    <row r="270" spans="1:18" x14ac:dyDescent="0.25">
      <c r="A270">
        <v>1841</v>
      </c>
      <c r="B270" s="1">
        <v>45124</v>
      </c>
      <c r="C270" t="s">
        <v>56</v>
      </c>
      <c r="D270" t="s">
        <v>25</v>
      </c>
      <c r="E270" t="s">
        <v>18</v>
      </c>
      <c r="F270" t="s">
        <v>27</v>
      </c>
      <c r="G270" t="s">
        <v>20</v>
      </c>
      <c r="H270" t="s">
        <v>113</v>
      </c>
      <c r="I270" t="s">
        <v>161</v>
      </c>
      <c r="J270">
        <v>5</v>
      </c>
      <c r="K270" s="3">
        <v>169.82</v>
      </c>
      <c r="L270" s="2">
        <v>97.14</v>
      </c>
      <c r="M270" s="2">
        <f>Table1[[#This Row],[UnitPrice]]*Table1[[#This Row],[Quantity]]</f>
        <v>849.09999999999991</v>
      </c>
      <c r="N270" s="2">
        <f>Table1[[#This Row],[CostPrice]]*Table1[[#This Row],[Quantity]]</f>
        <v>485.7</v>
      </c>
      <c r="O270" s="2">
        <v>176.6</v>
      </c>
      <c r="P270" s="4">
        <v>0.22</v>
      </c>
      <c r="Q270" t="s">
        <v>75</v>
      </c>
      <c r="R270" s="4">
        <f t="shared" si="4"/>
        <v>0.20798492521493347</v>
      </c>
    </row>
    <row r="271" spans="1:18" x14ac:dyDescent="0.25">
      <c r="A271">
        <v>1653</v>
      </c>
      <c r="B271" s="1">
        <v>45125</v>
      </c>
      <c r="C271" t="s">
        <v>175</v>
      </c>
      <c r="D271" t="s">
        <v>17</v>
      </c>
      <c r="E271" t="s">
        <v>26</v>
      </c>
      <c r="F271" t="s">
        <v>34</v>
      </c>
      <c r="G271" t="s">
        <v>41</v>
      </c>
      <c r="H271" t="s">
        <v>42</v>
      </c>
      <c r="I271" t="s">
        <v>43</v>
      </c>
      <c r="J271">
        <v>2</v>
      </c>
      <c r="K271" s="3">
        <v>131.79</v>
      </c>
      <c r="L271" s="2">
        <v>108.96</v>
      </c>
      <c r="M271" s="2">
        <f>Table1[[#This Row],[UnitPrice]]*Table1[[#This Row],[Quantity]]</f>
        <v>263.58</v>
      </c>
      <c r="N271" s="2">
        <f>Table1[[#This Row],[CostPrice]]*Table1[[#This Row],[Quantity]]</f>
        <v>217.92</v>
      </c>
      <c r="O271" s="2">
        <v>-22.87</v>
      </c>
      <c r="P271" s="4">
        <v>0.26</v>
      </c>
      <c r="Q271" t="s">
        <v>38</v>
      </c>
      <c r="R271" s="4">
        <f t="shared" si="4"/>
        <v>-8.6766826011078241E-2</v>
      </c>
    </row>
    <row r="272" spans="1:18" x14ac:dyDescent="0.25">
      <c r="A272">
        <v>1868</v>
      </c>
      <c r="B272" s="1">
        <v>45125</v>
      </c>
      <c r="C272" t="s">
        <v>39</v>
      </c>
      <c r="D272" t="s">
        <v>17</v>
      </c>
      <c r="E272" t="s">
        <v>33</v>
      </c>
      <c r="F272" t="s">
        <v>40</v>
      </c>
      <c r="G272" t="s">
        <v>41</v>
      </c>
      <c r="H272" t="s">
        <v>63</v>
      </c>
      <c r="I272" t="s">
        <v>64</v>
      </c>
      <c r="J272">
        <v>8</v>
      </c>
      <c r="K272" s="3">
        <v>987.4</v>
      </c>
      <c r="L272" s="2">
        <v>796.47</v>
      </c>
      <c r="M272" s="2">
        <f>Table1[[#This Row],[UnitPrice]]*Table1[[#This Row],[Quantity]]</f>
        <v>7899.2</v>
      </c>
      <c r="N272" s="2">
        <f>Table1[[#This Row],[CostPrice]]*Table1[[#This Row],[Quantity]]</f>
        <v>6371.76</v>
      </c>
      <c r="O272" s="2">
        <v>1132.48</v>
      </c>
      <c r="P272" s="4">
        <v>0.05</v>
      </c>
      <c r="Q272" t="s">
        <v>85</v>
      </c>
      <c r="R272" s="4">
        <f t="shared" si="4"/>
        <v>0.14336641685233947</v>
      </c>
    </row>
    <row r="273" spans="1:18" x14ac:dyDescent="0.25">
      <c r="A273">
        <v>1933</v>
      </c>
      <c r="B273" s="1">
        <v>45126</v>
      </c>
      <c r="C273" t="s">
        <v>120</v>
      </c>
      <c r="D273" t="s">
        <v>25</v>
      </c>
      <c r="E273" t="s">
        <v>18</v>
      </c>
      <c r="F273" t="s">
        <v>19</v>
      </c>
      <c r="G273" t="s">
        <v>35</v>
      </c>
      <c r="H273" t="s">
        <v>70</v>
      </c>
      <c r="I273" t="s">
        <v>71</v>
      </c>
      <c r="J273">
        <v>8</v>
      </c>
      <c r="K273" s="3">
        <v>523.29</v>
      </c>
      <c r="L273" s="2">
        <v>413.85</v>
      </c>
      <c r="M273" s="2">
        <f>Table1[[#This Row],[UnitPrice]]*Table1[[#This Row],[Quantity]]</f>
        <v>4186.32</v>
      </c>
      <c r="N273" s="2">
        <f>Table1[[#This Row],[CostPrice]]*Table1[[#This Row],[Quantity]]</f>
        <v>3310.8</v>
      </c>
      <c r="O273" s="2">
        <v>498.75</v>
      </c>
      <c r="P273" s="4">
        <v>0.09</v>
      </c>
      <c r="Q273" t="s">
        <v>44</v>
      </c>
      <c r="R273" s="4">
        <f t="shared" si="4"/>
        <v>0.11913804964742304</v>
      </c>
    </row>
    <row r="274" spans="1:18" x14ac:dyDescent="0.25">
      <c r="A274">
        <v>1529</v>
      </c>
      <c r="B274" s="1">
        <v>45127</v>
      </c>
      <c r="C274" t="s">
        <v>273</v>
      </c>
      <c r="D274" t="s">
        <v>17</v>
      </c>
      <c r="E274" t="s">
        <v>53</v>
      </c>
      <c r="F274" t="s">
        <v>34</v>
      </c>
      <c r="G274" t="s">
        <v>41</v>
      </c>
      <c r="H274" t="s">
        <v>46</v>
      </c>
      <c r="I274" t="s">
        <v>47</v>
      </c>
      <c r="J274">
        <v>8</v>
      </c>
      <c r="K274" s="3">
        <v>321.17</v>
      </c>
      <c r="L274" s="2">
        <v>228.6</v>
      </c>
      <c r="M274" s="2">
        <f>Table1[[#This Row],[UnitPrice]]*Table1[[#This Row],[Quantity]]</f>
        <v>2569.36</v>
      </c>
      <c r="N274" s="2">
        <f>Table1[[#This Row],[CostPrice]]*Table1[[#This Row],[Quantity]]</f>
        <v>1828.8</v>
      </c>
      <c r="O274" s="2">
        <v>21.14</v>
      </c>
      <c r="P274" s="4">
        <v>0.28000000000000003</v>
      </c>
      <c r="Q274" t="s">
        <v>85</v>
      </c>
      <c r="R274" s="4">
        <f t="shared" si="4"/>
        <v>8.2277298626895409E-3</v>
      </c>
    </row>
    <row r="275" spans="1:18" x14ac:dyDescent="0.25">
      <c r="A275">
        <v>1214</v>
      </c>
      <c r="B275" s="1">
        <v>45129</v>
      </c>
      <c r="C275" t="s">
        <v>184</v>
      </c>
      <c r="D275" t="s">
        <v>32</v>
      </c>
      <c r="E275" t="s">
        <v>53</v>
      </c>
      <c r="F275" t="s">
        <v>34</v>
      </c>
      <c r="G275" t="s">
        <v>41</v>
      </c>
      <c r="H275" t="s">
        <v>42</v>
      </c>
      <c r="I275" t="s">
        <v>77</v>
      </c>
      <c r="J275">
        <v>5</v>
      </c>
      <c r="K275" s="3">
        <v>753.56</v>
      </c>
      <c r="L275" s="2">
        <v>590.08000000000004</v>
      </c>
      <c r="M275" s="2">
        <f>Table1[[#This Row],[UnitPrice]]*Table1[[#This Row],[Quantity]]</f>
        <v>3767.7999999999997</v>
      </c>
      <c r="N275" s="2">
        <f>Table1[[#This Row],[CostPrice]]*Table1[[#This Row],[Quantity]]</f>
        <v>2950.4</v>
      </c>
      <c r="O275" s="2">
        <v>742.04</v>
      </c>
      <c r="P275" s="4">
        <v>0.02</v>
      </c>
      <c r="Q275" t="s">
        <v>44</v>
      </c>
      <c r="R275" s="4">
        <f t="shared" si="4"/>
        <v>0.19694251287223313</v>
      </c>
    </row>
    <row r="276" spans="1:18" x14ac:dyDescent="0.25">
      <c r="A276">
        <v>1669</v>
      </c>
      <c r="B276" s="1">
        <v>45129</v>
      </c>
      <c r="C276" t="s">
        <v>56</v>
      </c>
      <c r="D276" t="s">
        <v>25</v>
      </c>
      <c r="E276" t="s">
        <v>18</v>
      </c>
      <c r="F276" t="s">
        <v>19</v>
      </c>
      <c r="G276" t="s">
        <v>35</v>
      </c>
      <c r="H276" t="s">
        <v>70</v>
      </c>
      <c r="I276" t="s">
        <v>98</v>
      </c>
      <c r="J276">
        <v>3</v>
      </c>
      <c r="K276" s="3">
        <v>200.01</v>
      </c>
      <c r="L276" s="2">
        <v>112.33</v>
      </c>
      <c r="M276" s="2">
        <f>Table1[[#This Row],[UnitPrice]]*Table1[[#This Row],[Quantity]]</f>
        <v>600.03</v>
      </c>
      <c r="N276" s="2">
        <f>Table1[[#This Row],[CostPrice]]*Table1[[#This Row],[Quantity]]</f>
        <v>336.99</v>
      </c>
      <c r="O276" s="2">
        <v>215.04</v>
      </c>
      <c r="P276" s="4">
        <v>0.08</v>
      </c>
      <c r="Q276" t="s">
        <v>44</v>
      </c>
      <c r="R276" s="4">
        <f t="shared" si="4"/>
        <v>0.35838208089595519</v>
      </c>
    </row>
    <row r="277" spans="1:18" x14ac:dyDescent="0.25">
      <c r="A277">
        <v>1080</v>
      </c>
      <c r="B277" s="1">
        <v>45130</v>
      </c>
      <c r="C277" t="s">
        <v>147</v>
      </c>
      <c r="D277" t="s">
        <v>32</v>
      </c>
      <c r="E277" t="s">
        <v>33</v>
      </c>
      <c r="F277" t="s">
        <v>19</v>
      </c>
      <c r="G277" t="s">
        <v>35</v>
      </c>
      <c r="H277" t="s">
        <v>70</v>
      </c>
      <c r="I277" t="s">
        <v>71</v>
      </c>
      <c r="J277">
        <v>10</v>
      </c>
      <c r="K277" s="3">
        <v>299.39</v>
      </c>
      <c r="L277" s="2">
        <v>222.97</v>
      </c>
      <c r="M277" s="2">
        <f>Table1[[#This Row],[UnitPrice]]*Table1[[#This Row],[Quantity]]</f>
        <v>2993.8999999999996</v>
      </c>
      <c r="N277" s="2">
        <f>Table1[[#This Row],[CostPrice]]*Table1[[#This Row],[Quantity]]</f>
        <v>2229.6999999999998</v>
      </c>
      <c r="O277" s="2">
        <v>734.26</v>
      </c>
      <c r="P277" s="4">
        <v>0.01</v>
      </c>
      <c r="Q277" t="s">
        <v>75</v>
      </c>
      <c r="R277" s="4">
        <f t="shared" si="4"/>
        <v>0.24525201242526473</v>
      </c>
    </row>
    <row r="278" spans="1:18" x14ac:dyDescent="0.25">
      <c r="A278">
        <v>1397</v>
      </c>
      <c r="B278" s="1">
        <v>45130</v>
      </c>
      <c r="C278" t="s">
        <v>128</v>
      </c>
      <c r="D278" t="s">
        <v>25</v>
      </c>
      <c r="E278" t="s">
        <v>26</v>
      </c>
      <c r="F278" t="s">
        <v>27</v>
      </c>
      <c r="G278" t="s">
        <v>35</v>
      </c>
      <c r="H278" t="s">
        <v>70</v>
      </c>
      <c r="I278" t="s">
        <v>71</v>
      </c>
      <c r="J278">
        <v>6</v>
      </c>
      <c r="K278" s="3">
        <v>162.82</v>
      </c>
      <c r="L278" s="2">
        <v>122.91</v>
      </c>
      <c r="M278" s="2">
        <f>Table1[[#This Row],[UnitPrice]]*Table1[[#This Row],[Quantity]]</f>
        <v>976.92</v>
      </c>
      <c r="N278" s="2">
        <f>Table1[[#This Row],[CostPrice]]*Table1[[#This Row],[Quantity]]</f>
        <v>737.46</v>
      </c>
      <c r="O278" s="2">
        <v>24.54</v>
      </c>
      <c r="P278" s="4">
        <v>0.22</v>
      </c>
      <c r="Q278" t="s">
        <v>38</v>
      </c>
      <c r="R278" s="4">
        <f t="shared" si="4"/>
        <v>2.5119764156737501E-2</v>
      </c>
    </row>
    <row r="279" spans="1:18" x14ac:dyDescent="0.25">
      <c r="A279">
        <v>1581</v>
      </c>
      <c r="B279" s="1">
        <v>45130</v>
      </c>
      <c r="C279" t="s">
        <v>118</v>
      </c>
      <c r="D279" t="s">
        <v>32</v>
      </c>
      <c r="E279" t="s">
        <v>26</v>
      </c>
      <c r="F279" t="s">
        <v>27</v>
      </c>
      <c r="G279" t="s">
        <v>35</v>
      </c>
      <c r="H279" t="s">
        <v>70</v>
      </c>
      <c r="I279" t="s">
        <v>98</v>
      </c>
      <c r="J279">
        <v>1</v>
      </c>
      <c r="K279" s="3">
        <v>948.37</v>
      </c>
      <c r="L279" s="2">
        <v>780.59</v>
      </c>
      <c r="M279" s="2">
        <f>Table1[[#This Row],[UnitPrice]]*Table1[[#This Row],[Quantity]]</f>
        <v>948.37</v>
      </c>
      <c r="N279" s="2">
        <f>Table1[[#This Row],[CostPrice]]*Table1[[#This Row],[Quantity]]</f>
        <v>780.59</v>
      </c>
      <c r="O279" s="2">
        <v>-12.41</v>
      </c>
      <c r="P279" s="4">
        <v>0.19</v>
      </c>
      <c r="Q279" t="s">
        <v>23</v>
      </c>
      <c r="R279" s="4">
        <f t="shared" si="4"/>
        <v>-1.3085610046711726E-2</v>
      </c>
    </row>
    <row r="280" spans="1:18" x14ac:dyDescent="0.25">
      <c r="A280">
        <v>1161</v>
      </c>
      <c r="B280" s="1">
        <v>45133</v>
      </c>
      <c r="C280" t="s">
        <v>194</v>
      </c>
      <c r="D280" t="s">
        <v>32</v>
      </c>
      <c r="E280" t="s">
        <v>18</v>
      </c>
      <c r="F280" t="s">
        <v>19</v>
      </c>
      <c r="G280" t="s">
        <v>20</v>
      </c>
      <c r="H280" t="s">
        <v>113</v>
      </c>
      <c r="I280" t="s">
        <v>161</v>
      </c>
      <c r="J280">
        <v>10</v>
      </c>
      <c r="K280" s="3">
        <v>243.09</v>
      </c>
      <c r="L280" s="2">
        <v>125.86</v>
      </c>
      <c r="M280" s="2">
        <f>Table1[[#This Row],[UnitPrice]]*Table1[[#This Row],[Quantity]]</f>
        <v>2430.9</v>
      </c>
      <c r="N280" s="2">
        <f>Table1[[#This Row],[CostPrice]]*Table1[[#This Row],[Quantity]]</f>
        <v>1258.5999999999999</v>
      </c>
      <c r="O280" s="2">
        <v>515.96</v>
      </c>
      <c r="P280" s="4">
        <v>0.27</v>
      </c>
      <c r="Q280" t="s">
        <v>23</v>
      </c>
      <c r="R280" s="4">
        <f t="shared" si="4"/>
        <v>0.21225060677115473</v>
      </c>
    </row>
    <row r="281" spans="1:18" x14ac:dyDescent="0.25">
      <c r="A281">
        <v>1278</v>
      </c>
      <c r="B281" s="1">
        <v>45133</v>
      </c>
      <c r="C281" t="s">
        <v>237</v>
      </c>
      <c r="D281" t="s">
        <v>25</v>
      </c>
      <c r="E281" t="s">
        <v>18</v>
      </c>
      <c r="F281" t="s">
        <v>40</v>
      </c>
      <c r="G281" t="s">
        <v>41</v>
      </c>
      <c r="H281" t="s">
        <v>42</v>
      </c>
      <c r="I281" t="s">
        <v>77</v>
      </c>
      <c r="J281">
        <v>7</v>
      </c>
      <c r="K281" s="3">
        <v>558.58000000000004</v>
      </c>
      <c r="L281" s="2">
        <v>387.22</v>
      </c>
      <c r="M281" s="2">
        <f>Table1[[#This Row],[UnitPrice]]*Table1[[#This Row],[Quantity]]</f>
        <v>3910.0600000000004</v>
      </c>
      <c r="N281" s="2">
        <f>Table1[[#This Row],[CostPrice]]*Table1[[#This Row],[Quantity]]</f>
        <v>2710.54</v>
      </c>
      <c r="O281" s="2">
        <v>182.9</v>
      </c>
      <c r="P281" s="4">
        <v>0.26</v>
      </c>
      <c r="Q281" t="s">
        <v>38</v>
      </c>
      <c r="R281" s="4">
        <f t="shared" si="4"/>
        <v>4.6776775803951856E-2</v>
      </c>
    </row>
    <row r="282" spans="1:18" x14ac:dyDescent="0.25">
      <c r="A282">
        <v>1642</v>
      </c>
      <c r="B282" s="1">
        <v>45134</v>
      </c>
      <c r="C282" t="s">
        <v>31</v>
      </c>
      <c r="D282" t="s">
        <v>17</v>
      </c>
      <c r="E282" t="s">
        <v>26</v>
      </c>
      <c r="F282" t="s">
        <v>27</v>
      </c>
      <c r="G282" t="s">
        <v>41</v>
      </c>
      <c r="H282" t="s">
        <v>63</v>
      </c>
      <c r="I282" t="s">
        <v>117</v>
      </c>
      <c r="J282">
        <v>2</v>
      </c>
      <c r="K282" s="3">
        <v>272.94</v>
      </c>
      <c r="L282" s="2">
        <v>166.88</v>
      </c>
      <c r="M282" s="2">
        <f>Table1[[#This Row],[UnitPrice]]*Table1[[#This Row],[Quantity]]</f>
        <v>545.88</v>
      </c>
      <c r="N282" s="2">
        <f>Table1[[#This Row],[CostPrice]]*Table1[[#This Row],[Quantity]]</f>
        <v>333.76</v>
      </c>
      <c r="O282" s="2">
        <v>119.32</v>
      </c>
      <c r="P282" s="4">
        <v>0.17</v>
      </c>
      <c r="Q282" t="s">
        <v>44</v>
      </c>
      <c r="R282" s="4">
        <f t="shared" si="4"/>
        <v>0.21858283871913239</v>
      </c>
    </row>
    <row r="283" spans="1:18" x14ac:dyDescent="0.25">
      <c r="A283">
        <v>1187</v>
      </c>
      <c r="B283" s="1">
        <v>45135</v>
      </c>
      <c r="C283" t="s">
        <v>134</v>
      </c>
      <c r="D283" t="s">
        <v>32</v>
      </c>
      <c r="E283" t="s">
        <v>33</v>
      </c>
      <c r="F283" t="s">
        <v>19</v>
      </c>
      <c r="G283" t="s">
        <v>41</v>
      </c>
      <c r="H283" t="s">
        <v>42</v>
      </c>
      <c r="I283" t="s">
        <v>77</v>
      </c>
      <c r="J283">
        <v>5</v>
      </c>
      <c r="K283" s="3">
        <v>555.54999999999995</v>
      </c>
      <c r="L283" s="2">
        <v>391.34</v>
      </c>
      <c r="M283" s="2">
        <f>Table1[[#This Row],[UnitPrice]]*Table1[[#This Row],[Quantity]]</f>
        <v>2777.75</v>
      </c>
      <c r="N283" s="2">
        <f>Table1[[#This Row],[CostPrice]]*Table1[[#This Row],[Quantity]]</f>
        <v>1956.6999999999998</v>
      </c>
      <c r="O283" s="2">
        <v>209.94</v>
      </c>
      <c r="P283" s="4">
        <v>0.22</v>
      </c>
      <c r="Q283" t="s">
        <v>30</v>
      </c>
      <c r="R283" s="4">
        <f t="shared" si="4"/>
        <v>7.5579155791557912E-2</v>
      </c>
    </row>
    <row r="284" spans="1:18" x14ac:dyDescent="0.25">
      <c r="A284">
        <v>1784</v>
      </c>
      <c r="B284" s="1">
        <v>45135</v>
      </c>
      <c r="C284" t="s">
        <v>129</v>
      </c>
      <c r="D284" t="s">
        <v>32</v>
      </c>
      <c r="E284" t="s">
        <v>26</v>
      </c>
      <c r="F284" t="s">
        <v>27</v>
      </c>
      <c r="G284" t="s">
        <v>20</v>
      </c>
      <c r="H284" t="s">
        <v>113</v>
      </c>
      <c r="I284" t="s">
        <v>161</v>
      </c>
      <c r="J284">
        <v>7</v>
      </c>
      <c r="K284" s="3">
        <v>371.8</v>
      </c>
      <c r="L284" s="2">
        <v>303.3</v>
      </c>
      <c r="M284" s="2">
        <f>Table1[[#This Row],[UnitPrice]]*Table1[[#This Row],[Quantity]]</f>
        <v>2602.6</v>
      </c>
      <c r="N284" s="2">
        <f>Table1[[#This Row],[CostPrice]]*Table1[[#This Row],[Quantity]]</f>
        <v>2123.1</v>
      </c>
      <c r="O284" s="2">
        <v>401.42</v>
      </c>
      <c r="P284" s="4">
        <v>0.03</v>
      </c>
      <c r="Q284" t="s">
        <v>92</v>
      </c>
      <c r="R284" s="4">
        <f t="shared" si="4"/>
        <v>0.15423806962268502</v>
      </c>
    </row>
    <row r="285" spans="1:18" x14ac:dyDescent="0.25">
      <c r="A285">
        <v>1708</v>
      </c>
      <c r="B285" s="1">
        <v>45136</v>
      </c>
      <c r="C285" t="s">
        <v>145</v>
      </c>
      <c r="D285" t="s">
        <v>25</v>
      </c>
      <c r="E285" t="s">
        <v>26</v>
      </c>
      <c r="F285" t="s">
        <v>19</v>
      </c>
      <c r="G285" t="s">
        <v>41</v>
      </c>
      <c r="H285" t="s">
        <v>42</v>
      </c>
      <c r="I285" t="s">
        <v>68</v>
      </c>
      <c r="J285">
        <v>8</v>
      </c>
      <c r="K285" s="3">
        <v>314.91000000000003</v>
      </c>
      <c r="L285" s="2">
        <v>237</v>
      </c>
      <c r="M285" s="2">
        <f>Table1[[#This Row],[UnitPrice]]*Table1[[#This Row],[Quantity]]</f>
        <v>2519.2800000000002</v>
      </c>
      <c r="N285" s="2">
        <f>Table1[[#This Row],[CostPrice]]*Table1[[#This Row],[Quantity]]</f>
        <v>1896</v>
      </c>
      <c r="O285" s="2">
        <v>446.93</v>
      </c>
      <c r="P285" s="4">
        <v>7.0000000000000007E-2</v>
      </c>
      <c r="Q285" t="s">
        <v>92</v>
      </c>
      <c r="R285" s="4">
        <f t="shared" si="4"/>
        <v>0.17740386142072337</v>
      </c>
    </row>
    <row r="286" spans="1:18" x14ac:dyDescent="0.25">
      <c r="A286">
        <v>1503</v>
      </c>
      <c r="B286" s="1">
        <v>45138</v>
      </c>
      <c r="C286" t="s">
        <v>58</v>
      </c>
      <c r="D286" t="s">
        <v>32</v>
      </c>
      <c r="E286" t="s">
        <v>53</v>
      </c>
      <c r="F286" t="s">
        <v>27</v>
      </c>
      <c r="G286" t="s">
        <v>20</v>
      </c>
      <c r="H286" t="s">
        <v>21</v>
      </c>
      <c r="I286" t="s">
        <v>22</v>
      </c>
      <c r="J286">
        <v>10</v>
      </c>
      <c r="K286" s="3">
        <v>184.1</v>
      </c>
      <c r="L286" s="2">
        <v>124.26</v>
      </c>
      <c r="M286" s="2">
        <f>Table1[[#This Row],[UnitPrice]]*Table1[[#This Row],[Quantity]]</f>
        <v>1841</v>
      </c>
      <c r="N286" s="2">
        <f>Table1[[#This Row],[CostPrice]]*Table1[[#This Row],[Quantity]]</f>
        <v>1242.6000000000001</v>
      </c>
      <c r="O286" s="2">
        <v>64.510000000000005</v>
      </c>
      <c r="P286" s="4">
        <v>0.28999999999999998</v>
      </c>
      <c r="Q286" t="s">
        <v>30</v>
      </c>
      <c r="R286" s="4">
        <f t="shared" si="4"/>
        <v>3.5040738728951658E-2</v>
      </c>
    </row>
    <row r="287" spans="1:18" x14ac:dyDescent="0.25">
      <c r="A287">
        <v>1979</v>
      </c>
      <c r="B287" s="1">
        <v>44934</v>
      </c>
      <c r="C287" t="s">
        <v>123</v>
      </c>
      <c r="D287" t="s">
        <v>17</v>
      </c>
      <c r="E287" t="s">
        <v>18</v>
      </c>
      <c r="F287" t="s">
        <v>34</v>
      </c>
      <c r="G287" t="s">
        <v>41</v>
      </c>
      <c r="H287" t="s">
        <v>42</v>
      </c>
      <c r="I287" t="s">
        <v>68</v>
      </c>
      <c r="J287">
        <v>4</v>
      </c>
      <c r="K287" s="3">
        <v>470.35</v>
      </c>
      <c r="L287" s="2">
        <v>240.35</v>
      </c>
      <c r="M287" s="2">
        <f>Table1[[#This Row],[UnitPrice]]*Table1[[#This Row],[Quantity]]</f>
        <v>1881.4</v>
      </c>
      <c r="N287" s="2">
        <f>Table1[[#This Row],[CostPrice]]*Table1[[#This Row],[Quantity]]</f>
        <v>961.4</v>
      </c>
      <c r="O287" s="2">
        <v>863.56</v>
      </c>
      <c r="P287" s="4">
        <v>0.03</v>
      </c>
      <c r="Q287" t="s">
        <v>92</v>
      </c>
      <c r="R287" s="4">
        <f t="shared" si="4"/>
        <v>0.45899861805038794</v>
      </c>
    </row>
    <row r="288" spans="1:18" x14ac:dyDescent="0.25">
      <c r="A288">
        <v>1886</v>
      </c>
      <c r="B288" s="1">
        <v>45024</v>
      </c>
      <c r="C288" t="s">
        <v>274</v>
      </c>
      <c r="D288" t="s">
        <v>17</v>
      </c>
      <c r="E288" t="s">
        <v>53</v>
      </c>
      <c r="F288" t="s">
        <v>34</v>
      </c>
      <c r="G288" t="s">
        <v>20</v>
      </c>
      <c r="H288" t="s">
        <v>113</v>
      </c>
      <c r="I288" t="s">
        <v>114</v>
      </c>
      <c r="J288">
        <v>6</v>
      </c>
      <c r="K288" s="3">
        <v>657.65</v>
      </c>
      <c r="L288" s="2">
        <v>458.45</v>
      </c>
      <c r="M288" s="2">
        <f>Table1[[#This Row],[UnitPrice]]*Table1[[#This Row],[Quantity]]</f>
        <v>3945.8999999999996</v>
      </c>
      <c r="N288" s="2">
        <f>Table1[[#This Row],[CostPrice]]*Table1[[#This Row],[Quantity]]</f>
        <v>2750.7</v>
      </c>
      <c r="O288" s="2">
        <v>642.77</v>
      </c>
      <c r="P288" s="4">
        <v>0.14000000000000001</v>
      </c>
      <c r="Q288" t="s">
        <v>92</v>
      </c>
      <c r="R288" s="4">
        <f t="shared" si="4"/>
        <v>0.16289566385362023</v>
      </c>
    </row>
    <row r="289" spans="1:18" x14ac:dyDescent="0.25">
      <c r="A289">
        <v>1023</v>
      </c>
      <c r="B289" s="1">
        <v>45115</v>
      </c>
      <c r="C289" t="s">
        <v>88</v>
      </c>
      <c r="D289" t="s">
        <v>25</v>
      </c>
      <c r="E289" t="s">
        <v>18</v>
      </c>
      <c r="F289" t="s">
        <v>34</v>
      </c>
      <c r="G289" t="s">
        <v>20</v>
      </c>
      <c r="H289" t="s">
        <v>28</v>
      </c>
      <c r="I289" t="s">
        <v>29</v>
      </c>
      <c r="J289">
        <v>3</v>
      </c>
      <c r="K289" s="3">
        <v>440.99</v>
      </c>
      <c r="L289" s="2">
        <v>304.33999999999997</v>
      </c>
      <c r="M289" s="2">
        <f>Table1[[#This Row],[UnitPrice]]*Table1[[#This Row],[Quantity]]</f>
        <v>1322.97</v>
      </c>
      <c r="N289" s="2">
        <f>Table1[[#This Row],[CostPrice]]*Table1[[#This Row],[Quantity]]</f>
        <v>913.02</v>
      </c>
      <c r="O289" s="2">
        <v>290.88</v>
      </c>
      <c r="P289" s="4">
        <v>0.09</v>
      </c>
      <c r="Q289" t="s">
        <v>38</v>
      </c>
      <c r="R289" s="4">
        <f t="shared" si="4"/>
        <v>0.21986893126828272</v>
      </c>
    </row>
    <row r="290" spans="1:18" x14ac:dyDescent="0.25">
      <c r="A290">
        <v>1287</v>
      </c>
      <c r="B290" s="1">
        <v>45146</v>
      </c>
      <c r="C290" t="s">
        <v>241</v>
      </c>
      <c r="D290" t="s">
        <v>17</v>
      </c>
      <c r="E290" t="s">
        <v>26</v>
      </c>
      <c r="F290" t="s">
        <v>19</v>
      </c>
      <c r="G290" t="s">
        <v>35</v>
      </c>
      <c r="H290" t="s">
        <v>70</v>
      </c>
      <c r="I290" t="s">
        <v>71</v>
      </c>
      <c r="J290">
        <v>9</v>
      </c>
      <c r="K290" s="3">
        <v>24.95</v>
      </c>
      <c r="L290" s="2">
        <v>19.29</v>
      </c>
      <c r="M290" s="2">
        <f>Table1[[#This Row],[UnitPrice]]*Table1[[#This Row],[Quantity]]</f>
        <v>224.54999999999998</v>
      </c>
      <c r="N290" s="2">
        <f>Table1[[#This Row],[CostPrice]]*Table1[[#This Row],[Quantity]]</f>
        <v>173.60999999999999</v>
      </c>
      <c r="O290" s="2">
        <v>-0.71</v>
      </c>
      <c r="P290" s="4">
        <v>0.23</v>
      </c>
      <c r="Q290" t="s">
        <v>51</v>
      </c>
      <c r="R290" s="4">
        <f t="shared" si="4"/>
        <v>-3.1618793141839235E-3</v>
      </c>
    </row>
    <row r="291" spans="1:18" x14ac:dyDescent="0.25">
      <c r="A291">
        <v>1413</v>
      </c>
      <c r="B291" s="1">
        <v>45146</v>
      </c>
      <c r="C291" t="s">
        <v>265</v>
      </c>
      <c r="D291" t="s">
        <v>25</v>
      </c>
      <c r="E291" t="s">
        <v>18</v>
      </c>
      <c r="F291" t="s">
        <v>19</v>
      </c>
      <c r="G291" t="s">
        <v>20</v>
      </c>
      <c r="H291" t="s">
        <v>21</v>
      </c>
      <c r="I291" t="s">
        <v>79</v>
      </c>
      <c r="J291">
        <v>6</v>
      </c>
      <c r="K291" s="3">
        <v>160.33000000000001</v>
      </c>
      <c r="L291" s="2">
        <v>95.03</v>
      </c>
      <c r="M291" s="2">
        <f>Table1[[#This Row],[UnitPrice]]*Table1[[#This Row],[Quantity]]</f>
        <v>961.98</v>
      </c>
      <c r="N291" s="2">
        <f>Table1[[#This Row],[CostPrice]]*Table1[[#This Row],[Quantity]]</f>
        <v>570.18000000000006</v>
      </c>
      <c r="O291" s="2">
        <v>132.07</v>
      </c>
      <c r="P291" s="4">
        <v>0.27</v>
      </c>
      <c r="Q291" t="s">
        <v>23</v>
      </c>
      <c r="R291" s="4">
        <f t="shared" si="4"/>
        <v>0.13728975654379508</v>
      </c>
    </row>
    <row r="292" spans="1:18" x14ac:dyDescent="0.25">
      <c r="A292">
        <v>1820</v>
      </c>
      <c r="B292" s="1">
        <v>45146</v>
      </c>
      <c r="C292" t="s">
        <v>212</v>
      </c>
      <c r="D292" t="s">
        <v>32</v>
      </c>
      <c r="E292" t="s">
        <v>26</v>
      </c>
      <c r="F292" t="s">
        <v>34</v>
      </c>
      <c r="G292" t="s">
        <v>20</v>
      </c>
      <c r="H292" t="s">
        <v>28</v>
      </c>
      <c r="I292" t="s">
        <v>29</v>
      </c>
      <c r="J292">
        <v>5</v>
      </c>
      <c r="K292" s="3">
        <v>168.71</v>
      </c>
      <c r="L292" s="2">
        <v>104.98</v>
      </c>
      <c r="M292" s="2">
        <f>Table1[[#This Row],[UnitPrice]]*Table1[[#This Row],[Quantity]]</f>
        <v>843.55000000000007</v>
      </c>
      <c r="N292" s="2">
        <f>Table1[[#This Row],[CostPrice]]*Table1[[#This Row],[Quantity]]</f>
        <v>524.9</v>
      </c>
      <c r="O292" s="2">
        <v>208.99</v>
      </c>
      <c r="P292" s="4">
        <v>0.13</v>
      </c>
      <c r="Q292" t="s">
        <v>55</v>
      </c>
      <c r="R292" s="4">
        <f t="shared" si="4"/>
        <v>0.24775057791476499</v>
      </c>
    </row>
    <row r="293" spans="1:18" x14ac:dyDescent="0.25">
      <c r="A293">
        <v>1096</v>
      </c>
      <c r="B293" s="1">
        <v>45177</v>
      </c>
      <c r="C293" t="s">
        <v>78</v>
      </c>
      <c r="D293" t="s">
        <v>25</v>
      </c>
      <c r="E293" t="s">
        <v>53</v>
      </c>
      <c r="F293" t="s">
        <v>40</v>
      </c>
      <c r="G293" t="s">
        <v>35</v>
      </c>
      <c r="H293" t="s">
        <v>49</v>
      </c>
      <c r="I293" t="s">
        <v>50</v>
      </c>
      <c r="J293">
        <v>2</v>
      </c>
      <c r="K293" s="3">
        <v>315.99</v>
      </c>
      <c r="L293" s="2">
        <v>192.56</v>
      </c>
      <c r="M293" s="2">
        <f>Table1[[#This Row],[UnitPrice]]*Table1[[#This Row],[Quantity]]</f>
        <v>631.98</v>
      </c>
      <c r="N293" s="2">
        <f>Table1[[#This Row],[CostPrice]]*Table1[[#This Row],[Quantity]]</f>
        <v>385.12</v>
      </c>
      <c r="O293" s="2">
        <v>196.3</v>
      </c>
      <c r="P293" s="4">
        <v>0.08</v>
      </c>
      <c r="Q293" t="s">
        <v>92</v>
      </c>
      <c r="R293" s="4">
        <f t="shared" si="4"/>
        <v>0.3106110952878256</v>
      </c>
    </row>
    <row r="294" spans="1:18" x14ac:dyDescent="0.25">
      <c r="A294">
        <v>1319</v>
      </c>
      <c r="B294" s="1">
        <v>45177</v>
      </c>
      <c r="C294" t="s">
        <v>220</v>
      </c>
      <c r="D294" t="s">
        <v>25</v>
      </c>
      <c r="E294" t="s">
        <v>18</v>
      </c>
      <c r="F294" t="s">
        <v>34</v>
      </c>
      <c r="G294" t="s">
        <v>35</v>
      </c>
      <c r="H294" t="s">
        <v>36</v>
      </c>
      <c r="I294" t="s">
        <v>100</v>
      </c>
      <c r="J294">
        <v>10</v>
      </c>
      <c r="K294" s="3">
        <v>127.6</v>
      </c>
      <c r="L294" s="2">
        <v>103.63</v>
      </c>
      <c r="M294" s="2">
        <f>Table1[[#This Row],[UnitPrice]]*Table1[[#This Row],[Quantity]]</f>
        <v>1276</v>
      </c>
      <c r="N294" s="2">
        <f>Table1[[#This Row],[CostPrice]]*Table1[[#This Row],[Quantity]]</f>
        <v>1036.3</v>
      </c>
      <c r="O294" s="2">
        <v>61.06</v>
      </c>
      <c r="P294" s="4">
        <v>0.14000000000000001</v>
      </c>
      <c r="Q294" t="s">
        <v>125</v>
      </c>
      <c r="R294" s="4">
        <f t="shared" si="4"/>
        <v>4.7852664576802512E-2</v>
      </c>
    </row>
    <row r="295" spans="1:18" x14ac:dyDescent="0.25">
      <c r="A295">
        <v>1531</v>
      </c>
      <c r="B295" s="1">
        <v>45177</v>
      </c>
      <c r="C295" t="s">
        <v>250</v>
      </c>
      <c r="D295" t="s">
        <v>32</v>
      </c>
      <c r="E295" t="s">
        <v>53</v>
      </c>
      <c r="F295" t="s">
        <v>27</v>
      </c>
      <c r="G295" t="s">
        <v>35</v>
      </c>
      <c r="H295" t="s">
        <v>36</v>
      </c>
      <c r="I295" t="s">
        <v>100</v>
      </c>
      <c r="J295">
        <v>7</v>
      </c>
      <c r="K295" s="3">
        <v>729.96</v>
      </c>
      <c r="L295" s="2">
        <v>470.8</v>
      </c>
      <c r="M295" s="2">
        <f>Table1[[#This Row],[UnitPrice]]*Table1[[#This Row],[Quantity]]</f>
        <v>5109.72</v>
      </c>
      <c r="N295" s="2">
        <f>Table1[[#This Row],[CostPrice]]*Table1[[#This Row],[Quantity]]</f>
        <v>3295.6</v>
      </c>
      <c r="O295" s="2">
        <v>536.69000000000005</v>
      </c>
      <c r="P295" s="4">
        <v>0.25</v>
      </c>
      <c r="Q295" t="s">
        <v>125</v>
      </c>
      <c r="R295" s="4">
        <f t="shared" si="4"/>
        <v>0.10503315250150694</v>
      </c>
    </row>
    <row r="296" spans="1:18" x14ac:dyDescent="0.25">
      <c r="A296">
        <v>1809</v>
      </c>
      <c r="B296" s="1">
        <v>45177</v>
      </c>
      <c r="C296" t="s">
        <v>202</v>
      </c>
      <c r="D296" t="s">
        <v>17</v>
      </c>
      <c r="E296" t="s">
        <v>26</v>
      </c>
      <c r="F296" t="s">
        <v>19</v>
      </c>
      <c r="G296" t="s">
        <v>41</v>
      </c>
      <c r="H296" t="s">
        <v>63</v>
      </c>
      <c r="I296" t="s">
        <v>64</v>
      </c>
      <c r="J296">
        <v>10</v>
      </c>
      <c r="K296" s="3">
        <v>653.14</v>
      </c>
      <c r="L296" s="2">
        <v>539.22</v>
      </c>
      <c r="M296" s="2">
        <f>Table1[[#This Row],[UnitPrice]]*Table1[[#This Row],[Quantity]]</f>
        <v>6531.4</v>
      </c>
      <c r="N296" s="2">
        <f>Table1[[#This Row],[CostPrice]]*Table1[[#This Row],[Quantity]]</f>
        <v>5392.2000000000007</v>
      </c>
      <c r="O296" s="2">
        <v>486.06</v>
      </c>
      <c r="P296" s="4">
        <v>0.1</v>
      </c>
      <c r="Q296" t="s">
        <v>92</v>
      </c>
      <c r="R296" s="4">
        <f t="shared" si="4"/>
        <v>7.441896071286401E-2</v>
      </c>
    </row>
    <row r="297" spans="1:18" x14ac:dyDescent="0.25">
      <c r="A297">
        <v>1289</v>
      </c>
      <c r="B297" s="1">
        <v>45268</v>
      </c>
      <c r="C297" t="s">
        <v>195</v>
      </c>
      <c r="D297" t="s">
        <v>17</v>
      </c>
      <c r="E297" t="s">
        <v>53</v>
      </c>
      <c r="F297" t="s">
        <v>34</v>
      </c>
      <c r="G297" t="s">
        <v>20</v>
      </c>
      <c r="H297" t="s">
        <v>113</v>
      </c>
      <c r="I297" t="s">
        <v>161</v>
      </c>
      <c r="J297">
        <v>6</v>
      </c>
      <c r="K297" s="3">
        <v>563.65</v>
      </c>
      <c r="L297" s="2">
        <v>398.96</v>
      </c>
      <c r="M297" s="2">
        <f>Table1[[#This Row],[UnitPrice]]*Table1[[#This Row],[Quantity]]</f>
        <v>3381.8999999999996</v>
      </c>
      <c r="N297" s="2">
        <f>Table1[[#This Row],[CostPrice]]*Table1[[#This Row],[Quantity]]</f>
        <v>2393.7599999999998</v>
      </c>
      <c r="O297" s="2">
        <v>717.59</v>
      </c>
      <c r="P297" s="4">
        <v>0.08</v>
      </c>
      <c r="Q297" t="s">
        <v>44</v>
      </c>
      <c r="R297" s="4">
        <f t="shared" si="4"/>
        <v>0.21218545787870727</v>
      </c>
    </row>
    <row r="298" spans="1:18" x14ac:dyDescent="0.25">
      <c r="A298">
        <v>1738</v>
      </c>
      <c r="B298" s="1">
        <v>45268</v>
      </c>
      <c r="C298" t="s">
        <v>292</v>
      </c>
      <c r="D298" t="s">
        <v>25</v>
      </c>
      <c r="E298" t="s">
        <v>33</v>
      </c>
      <c r="F298" t="s">
        <v>40</v>
      </c>
      <c r="G298" t="s">
        <v>41</v>
      </c>
      <c r="H298" t="s">
        <v>63</v>
      </c>
      <c r="I298" t="s">
        <v>141</v>
      </c>
      <c r="J298">
        <v>3</v>
      </c>
      <c r="K298" s="3">
        <v>379.67</v>
      </c>
      <c r="L298" s="2">
        <v>320.42</v>
      </c>
      <c r="M298" s="2">
        <f>Table1[[#This Row],[UnitPrice]]*Table1[[#This Row],[Quantity]]</f>
        <v>1139.01</v>
      </c>
      <c r="N298" s="2">
        <f>Table1[[#This Row],[CostPrice]]*Table1[[#This Row],[Quantity]]</f>
        <v>961.26</v>
      </c>
      <c r="O298" s="2">
        <v>-50.05</v>
      </c>
      <c r="P298" s="4">
        <v>0.2</v>
      </c>
      <c r="Q298" t="s">
        <v>92</v>
      </c>
      <c r="R298" s="4">
        <f t="shared" si="4"/>
        <v>-4.3941668642066355E-2</v>
      </c>
    </row>
    <row r="299" spans="1:18" x14ac:dyDescent="0.25">
      <c r="A299">
        <v>1733</v>
      </c>
      <c r="B299" s="1">
        <v>45151</v>
      </c>
      <c r="C299" t="s">
        <v>201</v>
      </c>
      <c r="D299" t="s">
        <v>32</v>
      </c>
      <c r="E299" t="s">
        <v>26</v>
      </c>
      <c r="F299" t="s">
        <v>40</v>
      </c>
      <c r="G299" t="s">
        <v>20</v>
      </c>
      <c r="H299" t="s">
        <v>113</v>
      </c>
      <c r="I299" t="s">
        <v>161</v>
      </c>
      <c r="J299">
        <v>1</v>
      </c>
      <c r="K299" s="3">
        <v>600.89</v>
      </c>
      <c r="L299" s="2">
        <v>365.41</v>
      </c>
      <c r="M299" s="2">
        <f>Table1[[#This Row],[UnitPrice]]*Table1[[#This Row],[Quantity]]</f>
        <v>600.89</v>
      </c>
      <c r="N299" s="2">
        <f>Table1[[#This Row],[CostPrice]]*Table1[[#This Row],[Quantity]]</f>
        <v>365.41</v>
      </c>
      <c r="O299" s="2">
        <v>55.21</v>
      </c>
      <c r="P299" s="4">
        <v>0.3</v>
      </c>
      <c r="Q299" t="s">
        <v>44</v>
      </c>
      <c r="R299" s="4">
        <f t="shared" si="4"/>
        <v>9.1880377440130473E-2</v>
      </c>
    </row>
    <row r="300" spans="1:18" x14ac:dyDescent="0.25">
      <c r="A300">
        <v>1392</v>
      </c>
      <c r="B300" s="1">
        <v>45152</v>
      </c>
      <c r="C300" t="s">
        <v>116</v>
      </c>
      <c r="D300" t="s">
        <v>32</v>
      </c>
      <c r="E300" t="s">
        <v>26</v>
      </c>
      <c r="F300" t="s">
        <v>40</v>
      </c>
      <c r="G300" t="s">
        <v>35</v>
      </c>
      <c r="H300" t="s">
        <v>70</v>
      </c>
      <c r="I300" t="s">
        <v>84</v>
      </c>
      <c r="J300">
        <v>9</v>
      </c>
      <c r="K300" s="3">
        <v>809.76</v>
      </c>
      <c r="L300" s="2">
        <v>521.9</v>
      </c>
      <c r="M300" s="2">
        <f>Table1[[#This Row],[UnitPrice]]*Table1[[#This Row],[Quantity]]</f>
        <v>7287.84</v>
      </c>
      <c r="N300" s="2">
        <f>Table1[[#This Row],[CostPrice]]*Table1[[#This Row],[Quantity]]</f>
        <v>4697.0999999999995</v>
      </c>
      <c r="O300" s="2">
        <v>695.9</v>
      </c>
      <c r="P300" s="4">
        <v>0.26</v>
      </c>
      <c r="Q300" t="s">
        <v>92</v>
      </c>
      <c r="R300" s="4">
        <f t="shared" si="4"/>
        <v>9.5487826296954917E-2</v>
      </c>
    </row>
    <row r="301" spans="1:18" x14ac:dyDescent="0.25">
      <c r="A301">
        <v>1701</v>
      </c>
      <c r="B301" s="1">
        <v>45152</v>
      </c>
      <c r="C301" t="s">
        <v>279</v>
      </c>
      <c r="D301" t="s">
        <v>32</v>
      </c>
      <c r="E301" t="s">
        <v>18</v>
      </c>
      <c r="F301" t="s">
        <v>34</v>
      </c>
      <c r="G301" t="s">
        <v>20</v>
      </c>
      <c r="H301" t="s">
        <v>21</v>
      </c>
      <c r="I301" t="s">
        <v>79</v>
      </c>
      <c r="J301">
        <v>5</v>
      </c>
      <c r="K301" s="3">
        <v>768.71</v>
      </c>
      <c r="L301" s="2">
        <v>518.77</v>
      </c>
      <c r="M301" s="2">
        <f>Table1[[#This Row],[UnitPrice]]*Table1[[#This Row],[Quantity]]</f>
        <v>3843.55</v>
      </c>
      <c r="N301" s="2">
        <f>Table1[[#This Row],[CostPrice]]*Table1[[#This Row],[Quantity]]</f>
        <v>2593.85</v>
      </c>
      <c r="O301" s="2">
        <v>96.64</v>
      </c>
      <c r="P301" s="4">
        <v>0.3</v>
      </c>
      <c r="Q301" t="s">
        <v>38</v>
      </c>
      <c r="R301" s="4">
        <f t="shared" si="4"/>
        <v>2.5143422096759505E-2</v>
      </c>
    </row>
    <row r="302" spans="1:18" x14ac:dyDescent="0.25">
      <c r="A302">
        <v>1086</v>
      </c>
      <c r="B302" s="1">
        <v>45153</v>
      </c>
      <c r="C302" t="s">
        <v>150</v>
      </c>
      <c r="D302" t="s">
        <v>17</v>
      </c>
      <c r="E302" t="s">
        <v>53</v>
      </c>
      <c r="F302" t="s">
        <v>40</v>
      </c>
      <c r="G302" t="s">
        <v>41</v>
      </c>
      <c r="H302" t="s">
        <v>46</v>
      </c>
      <c r="I302" t="s">
        <v>47</v>
      </c>
      <c r="J302">
        <v>3</v>
      </c>
      <c r="K302" s="3">
        <v>50.12</v>
      </c>
      <c r="L302" s="2">
        <v>25.71</v>
      </c>
      <c r="M302" s="2">
        <f>Table1[[#This Row],[UnitPrice]]*Table1[[#This Row],[Quantity]]</f>
        <v>150.35999999999999</v>
      </c>
      <c r="N302" s="2">
        <f>Table1[[#This Row],[CostPrice]]*Table1[[#This Row],[Quantity]]</f>
        <v>77.13</v>
      </c>
      <c r="O302" s="2">
        <v>28.12</v>
      </c>
      <c r="P302" s="4">
        <v>0.3</v>
      </c>
      <c r="Q302" t="s">
        <v>44</v>
      </c>
      <c r="R302" s="4">
        <f t="shared" si="4"/>
        <v>0.1870178238893323</v>
      </c>
    </row>
    <row r="303" spans="1:18" x14ac:dyDescent="0.25">
      <c r="A303">
        <v>1314</v>
      </c>
      <c r="B303" s="1">
        <v>45155</v>
      </c>
      <c r="C303" t="s">
        <v>247</v>
      </c>
      <c r="D303" t="s">
        <v>32</v>
      </c>
      <c r="E303" t="s">
        <v>53</v>
      </c>
      <c r="F303" t="s">
        <v>19</v>
      </c>
      <c r="G303" t="s">
        <v>20</v>
      </c>
      <c r="H303" t="s">
        <v>28</v>
      </c>
      <c r="I303" t="s">
        <v>61</v>
      </c>
      <c r="J303">
        <v>10</v>
      </c>
      <c r="K303" s="3">
        <v>450.86</v>
      </c>
      <c r="L303" s="2">
        <v>360.6</v>
      </c>
      <c r="M303" s="2">
        <f>Table1[[#This Row],[UnitPrice]]*Table1[[#This Row],[Quantity]]</f>
        <v>4508.6000000000004</v>
      </c>
      <c r="N303" s="2">
        <f>Table1[[#This Row],[CostPrice]]*Table1[[#This Row],[Quantity]]</f>
        <v>3606</v>
      </c>
      <c r="O303" s="2">
        <v>316.48</v>
      </c>
      <c r="P303" s="4">
        <v>0.13</v>
      </c>
      <c r="Q303" t="s">
        <v>44</v>
      </c>
      <c r="R303" s="4">
        <f t="shared" si="4"/>
        <v>7.0194738943352708E-2</v>
      </c>
    </row>
    <row r="304" spans="1:18" x14ac:dyDescent="0.25">
      <c r="A304">
        <v>1326</v>
      </c>
      <c r="B304" s="1">
        <v>45156</v>
      </c>
      <c r="C304" t="s">
        <v>248</v>
      </c>
      <c r="D304" t="s">
        <v>17</v>
      </c>
      <c r="E304" t="s">
        <v>53</v>
      </c>
      <c r="F304" t="s">
        <v>19</v>
      </c>
      <c r="G304" t="s">
        <v>41</v>
      </c>
      <c r="H304" t="s">
        <v>63</v>
      </c>
      <c r="I304" t="s">
        <v>117</v>
      </c>
      <c r="J304">
        <v>1</v>
      </c>
      <c r="K304" s="3">
        <v>926.85</v>
      </c>
      <c r="L304" s="2">
        <v>589.15</v>
      </c>
      <c r="M304" s="2">
        <f>Table1[[#This Row],[UnitPrice]]*Table1[[#This Row],[Quantity]]</f>
        <v>926.85</v>
      </c>
      <c r="N304" s="2">
        <f>Table1[[#This Row],[CostPrice]]*Table1[[#This Row],[Quantity]]</f>
        <v>589.15</v>
      </c>
      <c r="O304" s="2">
        <v>68.91</v>
      </c>
      <c r="P304" s="4">
        <v>0.28999999999999998</v>
      </c>
      <c r="Q304" t="s">
        <v>85</v>
      </c>
      <c r="R304" s="4">
        <f t="shared" si="4"/>
        <v>7.434860009710309E-2</v>
      </c>
    </row>
    <row r="305" spans="1:18" x14ac:dyDescent="0.25">
      <c r="A305">
        <v>1921</v>
      </c>
      <c r="B305" s="1">
        <v>45156</v>
      </c>
      <c r="C305" t="s">
        <v>93</v>
      </c>
      <c r="D305" t="s">
        <v>17</v>
      </c>
      <c r="E305" t="s">
        <v>53</v>
      </c>
      <c r="F305" t="s">
        <v>34</v>
      </c>
      <c r="G305" t="s">
        <v>41</v>
      </c>
      <c r="H305" t="s">
        <v>42</v>
      </c>
      <c r="I305" t="s">
        <v>43</v>
      </c>
      <c r="J305">
        <v>8</v>
      </c>
      <c r="K305" s="3">
        <v>660.9</v>
      </c>
      <c r="L305" s="2">
        <v>450.81</v>
      </c>
      <c r="M305" s="2">
        <f>Table1[[#This Row],[UnitPrice]]*Table1[[#This Row],[Quantity]]</f>
        <v>5287.2</v>
      </c>
      <c r="N305" s="2">
        <f>Table1[[#This Row],[CostPrice]]*Table1[[#This Row],[Quantity]]</f>
        <v>3606.48</v>
      </c>
      <c r="O305" s="2">
        <v>1152</v>
      </c>
      <c r="P305" s="4">
        <v>0.1</v>
      </c>
      <c r="Q305" t="s">
        <v>23</v>
      </c>
      <c r="R305" s="4">
        <f t="shared" si="4"/>
        <v>0.21788470267816615</v>
      </c>
    </row>
    <row r="306" spans="1:18" x14ac:dyDescent="0.25">
      <c r="A306">
        <v>1037</v>
      </c>
      <c r="B306" s="1">
        <v>45157</v>
      </c>
      <c r="C306" t="s">
        <v>105</v>
      </c>
      <c r="D306" t="s">
        <v>25</v>
      </c>
      <c r="E306" t="s">
        <v>33</v>
      </c>
      <c r="F306" t="s">
        <v>34</v>
      </c>
      <c r="G306" t="s">
        <v>20</v>
      </c>
      <c r="H306" t="s">
        <v>28</v>
      </c>
      <c r="I306" t="s">
        <v>90</v>
      </c>
      <c r="J306">
        <v>8</v>
      </c>
      <c r="K306" s="3">
        <v>417.37</v>
      </c>
      <c r="L306" s="2">
        <v>300.68</v>
      </c>
      <c r="M306" s="2">
        <f>Table1[[#This Row],[UnitPrice]]*Table1[[#This Row],[Quantity]]</f>
        <v>3338.96</v>
      </c>
      <c r="N306" s="2">
        <f>Table1[[#This Row],[CostPrice]]*Table1[[#This Row],[Quantity]]</f>
        <v>2405.44</v>
      </c>
      <c r="O306" s="2">
        <v>733.18</v>
      </c>
      <c r="P306" s="4">
        <v>0.06</v>
      </c>
      <c r="Q306" t="s">
        <v>75</v>
      </c>
      <c r="R306" s="4">
        <f t="shared" si="4"/>
        <v>0.21958334331648177</v>
      </c>
    </row>
    <row r="307" spans="1:18" x14ac:dyDescent="0.25">
      <c r="A307">
        <v>1735</v>
      </c>
      <c r="B307" s="1">
        <v>45157</v>
      </c>
      <c r="C307" t="s">
        <v>99</v>
      </c>
      <c r="D307" t="s">
        <v>25</v>
      </c>
      <c r="E307" t="s">
        <v>26</v>
      </c>
      <c r="F307" t="s">
        <v>27</v>
      </c>
      <c r="G307" t="s">
        <v>41</v>
      </c>
      <c r="H307" t="s">
        <v>46</v>
      </c>
      <c r="I307" t="s">
        <v>57</v>
      </c>
      <c r="J307">
        <v>3</v>
      </c>
      <c r="K307" s="3">
        <v>991.11</v>
      </c>
      <c r="L307" s="2">
        <v>685.63</v>
      </c>
      <c r="M307" s="2">
        <f>Table1[[#This Row],[UnitPrice]]*Table1[[#This Row],[Quantity]]</f>
        <v>2973.33</v>
      </c>
      <c r="N307" s="2">
        <f>Table1[[#This Row],[CostPrice]]*Table1[[#This Row],[Quantity]]</f>
        <v>2056.89</v>
      </c>
      <c r="O307" s="2">
        <v>619.11</v>
      </c>
      <c r="P307" s="4">
        <v>0.1</v>
      </c>
      <c r="Q307" t="s">
        <v>55</v>
      </c>
      <c r="R307" s="4">
        <f t="shared" si="4"/>
        <v>0.20822108544964738</v>
      </c>
    </row>
    <row r="308" spans="1:18" x14ac:dyDescent="0.25">
      <c r="A308">
        <v>1742</v>
      </c>
      <c r="B308" s="1">
        <v>45157</v>
      </c>
      <c r="C308" t="s">
        <v>127</v>
      </c>
      <c r="D308" t="s">
        <v>17</v>
      </c>
      <c r="E308" t="s">
        <v>53</v>
      </c>
      <c r="F308" t="s">
        <v>40</v>
      </c>
      <c r="G308" t="s">
        <v>41</v>
      </c>
      <c r="H308" t="s">
        <v>63</v>
      </c>
      <c r="I308" t="s">
        <v>141</v>
      </c>
      <c r="J308">
        <v>10</v>
      </c>
      <c r="K308" s="3">
        <v>185.19</v>
      </c>
      <c r="L308" s="2">
        <v>123.98</v>
      </c>
      <c r="M308" s="2">
        <f>Table1[[#This Row],[UnitPrice]]*Table1[[#This Row],[Quantity]]</f>
        <v>1851.9</v>
      </c>
      <c r="N308" s="2">
        <f>Table1[[#This Row],[CostPrice]]*Table1[[#This Row],[Quantity]]</f>
        <v>1239.8</v>
      </c>
      <c r="O308" s="2">
        <v>260.24</v>
      </c>
      <c r="P308" s="4">
        <v>0.19</v>
      </c>
      <c r="Q308" t="s">
        <v>75</v>
      </c>
      <c r="R308" s="4">
        <f t="shared" si="4"/>
        <v>0.14052594632539553</v>
      </c>
    </row>
    <row r="309" spans="1:18" x14ac:dyDescent="0.25">
      <c r="A309">
        <v>1369</v>
      </c>
      <c r="B309" s="1">
        <v>45158</v>
      </c>
      <c r="C309" t="s">
        <v>72</v>
      </c>
      <c r="D309" t="s">
        <v>32</v>
      </c>
      <c r="E309" t="s">
        <v>53</v>
      </c>
      <c r="F309" t="s">
        <v>34</v>
      </c>
      <c r="G309" t="s">
        <v>35</v>
      </c>
      <c r="H309" t="s">
        <v>36</v>
      </c>
      <c r="I309" t="s">
        <v>37</v>
      </c>
      <c r="J309">
        <v>9</v>
      </c>
      <c r="K309" s="3">
        <v>110.93</v>
      </c>
      <c r="L309" s="2">
        <v>58.28</v>
      </c>
      <c r="M309" s="2">
        <f>Table1[[#This Row],[UnitPrice]]*Table1[[#This Row],[Quantity]]</f>
        <v>998.37000000000012</v>
      </c>
      <c r="N309" s="2">
        <f>Table1[[#This Row],[CostPrice]]*Table1[[#This Row],[Quantity]]</f>
        <v>524.52</v>
      </c>
      <c r="O309" s="2">
        <v>384</v>
      </c>
      <c r="P309" s="4">
        <v>0.09</v>
      </c>
      <c r="Q309" t="s">
        <v>44</v>
      </c>
      <c r="R309" s="4">
        <f t="shared" si="4"/>
        <v>0.38462694191532193</v>
      </c>
    </row>
    <row r="310" spans="1:18" x14ac:dyDescent="0.25">
      <c r="A310">
        <v>1550</v>
      </c>
      <c r="B310" s="1">
        <v>45158</v>
      </c>
      <c r="C310" t="s">
        <v>96</v>
      </c>
      <c r="D310" t="s">
        <v>32</v>
      </c>
      <c r="E310" t="s">
        <v>53</v>
      </c>
      <c r="F310" t="s">
        <v>19</v>
      </c>
      <c r="G310" t="s">
        <v>20</v>
      </c>
      <c r="H310" t="s">
        <v>28</v>
      </c>
      <c r="I310" t="s">
        <v>29</v>
      </c>
      <c r="J310">
        <v>3</v>
      </c>
      <c r="K310" s="3">
        <v>17.72</v>
      </c>
      <c r="L310" s="2">
        <v>13.04</v>
      </c>
      <c r="M310" s="2">
        <f>Table1[[#This Row],[UnitPrice]]*Table1[[#This Row],[Quantity]]</f>
        <v>53.16</v>
      </c>
      <c r="N310" s="2">
        <f>Table1[[#This Row],[CostPrice]]*Table1[[#This Row],[Quantity]]</f>
        <v>39.119999999999997</v>
      </c>
      <c r="O310" s="2">
        <v>3.41</v>
      </c>
      <c r="P310" s="4">
        <v>0.2</v>
      </c>
      <c r="Q310" t="s">
        <v>75</v>
      </c>
      <c r="R310" s="4">
        <f t="shared" si="4"/>
        <v>6.4145974416854781E-2</v>
      </c>
    </row>
    <row r="311" spans="1:18" x14ac:dyDescent="0.25">
      <c r="A311">
        <v>1851</v>
      </c>
      <c r="B311" s="1">
        <v>45158</v>
      </c>
      <c r="C311" t="s">
        <v>145</v>
      </c>
      <c r="D311" t="s">
        <v>25</v>
      </c>
      <c r="E311" t="s">
        <v>18</v>
      </c>
      <c r="F311" t="s">
        <v>34</v>
      </c>
      <c r="G311" t="s">
        <v>41</v>
      </c>
      <c r="H311" t="s">
        <v>42</v>
      </c>
      <c r="I311" t="s">
        <v>68</v>
      </c>
      <c r="J311">
        <v>1</v>
      </c>
      <c r="K311" s="3">
        <v>115.25</v>
      </c>
      <c r="L311" s="2">
        <v>95.83</v>
      </c>
      <c r="M311" s="2">
        <f>Table1[[#This Row],[UnitPrice]]*Table1[[#This Row],[Quantity]]</f>
        <v>115.25</v>
      </c>
      <c r="N311" s="2">
        <f>Table1[[#This Row],[CostPrice]]*Table1[[#This Row],[Quantity]]</f>
        <v>95.83</v>
      </c>
      <c r="O311" s="2">
        <v>17.11</v>
      </c>
      <c r="P311" s="4">
        <v>0.02</v>
      </c>
      <c r="Q311" t="s">
        <v>85</v>
      </c>
      <c r="R311" s="4">
        <f t="shared" si="4"/>
        <v>0.14845986984815618</v>
      </c>
    </row>
    <row r="312" spans="1:18" x14ac:dyDescent="0.25">
      <c r="A312">
        <v>1861</v>
      </c>
      <c r="B312" s="1">
        <v>45158</v>
      </c>
      <c r="C312" t="s">
        <v>269</v>
      </c>
      <c r="D312" t="s">
        <v>17</v>
      </c>
      <c r="E312" t="s">
        <v>53</v>
      </c>
      <c r="F312" t="s">
        <v>27</v>
      </c>
      <c r="G312" t="s">
        <v>35</v>
      </c>
      <c r="H312" t="s">
        <v>36</v>
      </c>
      <c r="I312" t="s">
        <v>87</v>
      </c>
      <c r="J312">
        <v>5</v>
      </c>
      <c r="K312" s="3">
        <v>497.7</v>
      </c>
      <c r="L312" s="2">
        <v>278.64</v>
      </c>
      <c r="M312" s="2">
        <f>Table1[[#This Row],[UnitPrice]]*Table1[[#This Row],[Quantity]]</f>
        <v>2488.5</v>
      </c>
      <c r="N312" s="2">
        <f>Table1[[#This Row],[CostPrice]]*Table1[[#This Row],[Quantity]]</f>
        <v>1393.1999999999998</v>
      </c>
      <c r="O312" s="2">
        <v>945.99</v>
      </c>
      <c r="P312" s="4">
        <v>0.06</v>
      </c>
      <c r="Q312" t="s">
        <v>30</v>
      </c>
      <c r="R312" s="4">
        <f t="shared" si="4"/>
        <v>0.38014466546112113</v>
      </c>
    </row>
    <row r="313" spans="1:18" x14ac:dyDescent="0.25">
      <c r="A313">
        <v>1416</v>
      </c>
      <c r="B313" s="1">
        <v>45159</v>
      </c>
      <c r="C313" t="s">
        <v>248</v>
      </c>
      <c r="D313" t="s">
        <v>17</v>
      </c>
      <c r="E313" t="s">
        <v>33</v>
      </c>
      <c r="F313" t="s">
        <v>27</v>
      </c>
      <c r="G313" t="s">
        <v>20</v>
      </c>
      <c r="H313" t="s">
        <v>28</v>
      </c>
      <c r="I313" t="s">
        <v>90</v>
      </c>
      <c r="J313">
        <v>6</v>
      </c>
      <c r="K313" s="3">
        <v>542.23</v>
      </c>
      <c r="L313" s="2">
        <v>299.5</v>
      </c>
      <c r="M313" s="2">
        <f>Table1[[#This Row],[UnitPrice]]*Table1[[#This Row],[Quantity]]</f>
        <v>3253.38</v>
      </c>
      <c r="N313" s="2">
        <f>Table1[[#This Row],[CostPrice]]*Table1[[#This Row],[Quantity]]</f>
        <v>1797</v>
      </c>
      <c r="O313" s="2">
        <v>968.37</v>
      </c>
      <c r="P313" s="4">
        <v>0.15</v>
      </c>
      <c r="Q313" t="s">
        <v>23</v>
      </c>
      <c r="R313" s="4">
        <f t="shared" si="4"/>
        <v>0.29765044353871972</v>
      </c>
    </row>
    <row r="314" spans="1:18" x14ac:dyDescent="0.25">
      <c r="A314">
        <v>1243</v>
      </c>
      <c r="B314" s="1">
        <v>45160</v>
      </c>
      <c r="C314" t="s">
        <v>226</v>
      </c>
      <c r="D314" t="s">
        <v>25</v>
      </c>
      <c r="E314" t="s">
        <v>33</v>
      </c>
      <c r="F314" t="s">
        <v>34</v>
      </c>
      <c r="G314" t="s">
        <v>20</v>
      </c>
      <c r="H314" t="s">
        <v>21</v>
      </c>
      <c r="I314" t="s">
        <v>79</v>
      </c>
      <c r="J314">
        <v>6</v>
      </c>
      <c r="K314" s="3">
        <v>386.06</v>
      </c>
      <c r="L314" s="2">
        <v>213.31</v>
      </c>
      <c r="M314" s="2">
        <f>Table1[[#This Row],[UnitPrice]]*Table1[[#This Row],[Quantity]]</f>
        <v>2316.36</v>
      </c>
      <c r="N314" s="2">
        <f>Table1[[#This Row],[CostPrice]]*Table1[[#This Row],[Quantity]]</f>
        <v>1279.8600000000001</v>
      </c>
      <c r="O314" s="2">
        <v>387.92</v>
      </c>
      <c r="P314" s="4">
        <v>0.28000000000000003</v>
      </c>
      <c r="Q314" t="s">
        <v>51</v>
      </c>
      <c r="R314" s="4">
        <f t="shared" si="4"/>
        <v>0.16746965065879224</v>
      </c>
    </row>
    <row r="315" spans="1:18" x14ac:dyDescent="0.25">
      <c r="A315">
        <v>1865</v>
      </c>
      <c r="B315" s="1">
        <v>45160</v>
      </c>
      <c r="C315" t="s">
        <v>218</v>
      </c>
      <c r="D315" t="s">
        <v>25</v>
      </c>
      <c r="E315" t="s">
        <v>26</v>
      </c>
      <c r="F315" t="s">
        <v>34</v>
      </c>
      <c r="G315" t="s">
        <v>20</v>
      </c>
      <c r="H315" t="s">
        <v>28</v>
      </c>
      <c r="I315" t="s">
        <v>29</v>
      </c>
      <c r="J315">
        <v>8</v>
      </c>
      <c r="K315" s="3">
        <v>493.21</v>
      </c>
      <c r="L315" s="2">
        <v>307.16000000000003</v>
      </c>
      <c r="M315" s="2">
        <f>Table1[[#This Row],[UnitPrice]]*Table1[[#This Row],[Quantity]]</f>
        <v>3945.68</v>
      </c>
      <c r="N315" s="2">
        <f>Table1[[#This Row],[CostPrice]]*Table1[[#This Row],[Quantity]]</f>
        <v>2457.2800000000002</v>
      </c>
      <c r="O315" s="2">
        <v>857.09</v>
      </c>
      <c r="P315" s="4">
        <v>0.16</v>
      </c>
      <c r="Q315" t="s">
        <v>55</v>
      </c>
      <c r="R315" s="4">
        <f t="shared" si="4"/>
        <v>0.21722237991930415</v>
      </c>
    </row>
    <row r="316" spans="1:18" x14ac:dyDescent="0.25">
      <c r="A316">
        <v>1006</v>
      </c>
      <c r="B316" s="1">
        <v>45161</v>
      </c>
      <c r="C316" t="s">
        <v>52</v>
      </c>
      <c r="D316" t="s">
        <v>32</v>
      </c>
      <c r="E316" t="s">
        <v>53</v>
      </c>
      <c r="F316" t="s">
        <v>40</v>
      </c>
      <c r="G316" t="s">
        <v>20</v>
      </c>
      <c r="H316" t="s">
        <v>21</v>
      </c>
      <c r="I316" t="s">
        <v>54</v>
      </c>
      <c r="J316">
        <v>4</v>
      </c>
      <c r="K316" s="3">
        <v>657.16</v>
      </c>
      <c r="L316" s="2">
        <v>419.58</v>
      </c>
      <c r="M316" s="2">
        <f>Table1[[#This Row],[UnitPrice]]*Table1[[#This Row],[Quantity]]</f>
        <v>2628.64</v>
      </c>
      <c r="N316" s="2">
        <f>Table1[[#This Row],[CostPrice]]*Table1[[#This Row],[Quantity]]</f>
        <v>1678.32</v>
      </c>
      <c r="O316" s="2">
        <v>240.59</v>
      </c>
      <c r="P316" s="4">
        <v>0.27</v>
      </c>
      <c r="Q316" t="s">
        <v>55</v>
      </c>
      <c r="R316" s="4">
        <f t="shared" si="4"/>
        <v>9.1526416702172986E-2</v>
      </c>
    </row>
    <row r="317" spans="1:18" x14ac:dyDescent="0.25">
      <c r="A317">
        <v>1014</v>
      </c>
      <c r="B317" s="1">
        <v>45162</v>
      </c>
      <c r="C317" t="s">
        <v>72</v>
      </c>
      <c r="D317" t="s">
        <v>25</v>
      </c>
      <c r="E317" t="s">
        <v>33</v>
      </c>
      <c r="F317" t="s">
        <v>34</v>
      </c>
      <c r="G317" t="s">
        <v>20</v>
      </c>
      <c r="H317" t="s">
        <v>21</v>
      </c>
      <c r="I317" t="s">
        <v>22</v>
      </c>
      <c r="J317">
        <v>6</v>
      </c>
      <c r="K317" s="3">
        <v>75.5</v>
      </c>
      <c r="L317" s="2">
        <v>44.04</v>
      </c>
      <c r="M317" s="2">
        <f>Table1[[#This Row],[UnitPrice]]*Table1[[#This Row],[Quantity]]</f>
        <v>453</v>
      </c>
      <c r="N317" s="2">
        <f>Table1[[#This Row],[CostPrice]]*Table1[[#This Row],[Quantity]]</f>
        <v>264.24</v>
      </c>
      <c r="O317" s="2">
        <v>98.16</v>
      </c>
      <c r="P317" s="4">
        <v>0.2</v>
      </c>
      <c r="Q317" t="s">
        <v>23</v>
      </c>
      <c r="R317" s="4">
        <f t="shared" si="4"/>
        <v>0.21668874172185429</v>
      </c>
    </row>
    <row r="318" spans="1:18" x14ac:dyDescent="0.25">
      <c r="A318">
        <v>1796</v>
      </c>
      <c r="B318" s="1">
        <v>45162</v>
      </c>
      <c r="C318" t="s">
        <v>225</v>
      </c>
      <c r="D318" t="s">
        <v>17</v>
      </c>
      <c r="E318" t="s">
        <v>53</v>
      </c>
      <c r="F318" t="s">
        <v>19</v>
      </c>
      <c r="G318" t="s">
        <v>41</v>
      </c>
      <c r="H318" t="s">
        <v>42</v>
      </c>
      <c r="I318" t="s">
        <v>77</v>
      </c>
      <c r="J318">
        <v>6</v>
      </c>
      <c r="K318" s="3">
        <v>7.85</v>
      </c>
      <c r="L318" s="2">
        <v>6.66</v>
      </c>
      <c r="M318" s="2">
        <f>Table1[[#This Row],[UnitPrice]]*Table1[[#This Row],[Quantity]]</f>
        <v>47.099999999999994</v>
      </c>
      <c r="N318" s="2">
        <f>Table1[[#This Row],[CostPrice]]*Table1[[#This Row],[Quantity]]</f>
        <v>39.96</v>
      </c>
      <c r="O318" s="2">
        <v>6.67</v>
      </c>
      <c r="P318" s="4">
        <v>0.01</v>
      </c>
      <c r="Q318" t="s">
        <v>38</v>
      </c>
      <c r="R318" s="4">
        <f t="shared" si="4"/>
        <v>0.14161358811040342</v>
      </c>
    </row>
    <row r="319" spans="1:18" x14ac:dyDescent="0.25">
      <c r="A319">
        <v>1425</v>
      </c>
      <c r="B319" s="1">
        <v>45163</v>
      </c>
      <c r="C319" t="s">
        <v>187</v>
      </c>
      <c r="D319" t="s">
        <v>17</v>
      </c>
      <c r="E319" t="s">
        <v>33</v>
      </c>
      <c r="F319" t="s">
        <v>40</v>
      </c>
      <c r="G319" t="s">
        <v>35</v>
      </c>
      <c r="H319" t="s">
        <v>70</v>
      </c>
      <c r="I319" t="s">
        <v>84</v>
      </c>
      <c r="J319">
        <v>2</v>
      </c>
      <c r="K319" s="3">
        <v>190.49</v>
      </c>
      <c r="L319" s="2">
        <v>128.62</v>
      </c>
      <c r="M319" s="2">
        <f>Table1[[#This Row],[UnitPrice]]*Table1[[#This Row],[Quantity]]</f>
        <v>380.98</v>
      </c>
      <c r="N319" s="2">
        <f>Table1[[#This Row],[CostPrice]]*Table1[[#This Row],[Quantity]]</f>
        <v>257.24</v>
      </c>
      <c r="O319" s="2">
        <v>70.400000000000006</v>
      </c>
      <c r="P319" s="4">
        <v>0.14000000000000001</v>
      </c>
      <c r="Q319" t="s">
        <v>51</v>
      </c>
      <c r="R319" s="4">
        <f t="shared" si="4"/>
        <v>0.18478660297128457</v>
      </c>
    </row>
    <row r="320" spans="1:18" x14ac:dyDescent="0.25">
      <c r="A320">
        <v>1198</v>
      </c>
      <c r="B320" s="1">
        <v>45164</v>
      </c>
      <c r="C320" t="s">
        <v>45</v>
      </c>
      <c r="D320" t="s">
        <v>32</v>
      </c>
      <c r="E320" t="s">
        <v>53</v>
      </c>
      <c r="F320" t="s">
        <v>40</v>
      </c>
      <c r="G320" t="s">
        <v>20</v>
      </c>
      <c r="H320" t="s">
        <v>113</v>
      </c>
      <c r="I320" t="s">
        <v>153</v>
      </c>
      <c r="J320">
        <v>8</v>
      </c>
      <c r="K320" s="3">
        <v>493.15</v>
      </c>
      <c r="L320" s="2">
        <v>307.99</v>
      </c>
      <c r="M320" s="2">
        <f>Table1[[#This Row],[UnitPrice]]*Table1[[#This Row],[Quantity]]</f>
        <v>3945.2</v>
      </c>
      <c r="N320" s="2">
        <f>Table1[[#This Row],[CostPrice]]*Table1[[#This Row],[Quantity]]</f>
        <v>2463.92</v>
      </c>
      <c r="O320" s="2">
        <v>376.62</v>
      </c>
      <c r="P320" s="4">
        <v>0.28000000000000003</v>
      </c>
      <c r="Q320" t="s">
        <v>75</v>
      </c>
      <c r="R320" s="4">
        <f t="shared" si="4"/>
        <v>9.5462840920612399E-2</v>
      </c>
    </row>
    <row r="321" spans="1:18" x14ac:dyDescent="0.25">
      <c r="A321">
        <v>1610</v>
      </c>
      <c r="B321" s="1">
        <v>45164</v>
      </c>
      <c r="C321" t="s">
        <v>203</v>
      </c>
      <c r="D321" t="s">
        <v>17</v>
      </c>
      <c r="E321" t="s">
        <v>33</v>
      </c>
      <c r="F321" t="s">
        <v>27</v>
      </c>
      <c r="G321" t="s">
        <v>41</v>
      </c>
      <c r="H321" t="s">
        <v>46</v>
      </c>
      <c r="I321" t="s">
        <v>102</v>
      </c>
      <c r="J321">
        <v>2</v>
      </c>
      <c r="K321" s="3">
        <v>271.51</v>
      </c>
      <c r="L321" s="2">
        <v>197.36</v>
      </c>
      <c r="M321" s="2">
        <f>Table1[[#This Row],[UnitPrice]]*Table1[[#This Row],[Quantity]]</f>
        <v>543.02</v>
      </c>
      <c r="N321" s="2">
        <f>Table1[[#This Row],[CostPrice]]*Table1[[#This Row],[Quantity]]</f>
        <v>394.72</v>
      </c>
      <c r="O321" s="2">
        <v>1.68</v>
      </c>
      <c r="P321" s="4">
        <v>0.27</v>
      </c>
      <c r="Q321" t="s">
        <v>44</v>
      </c>
      <c r="R321" s="4">
        <f t="shared" si="4"/>
        <v>3.0938086994954147E-3</v>
      </c>
    </row>
    <row r="322" spans="1:18" x14ac:dyDescent="0.25">
      <c r="A322">
        <v>1902</v>
      </c>
      <c r="B322" s="1">
        <v>45164</v>
      </c>
      <c r="C322" t="s">
        <v>275</v>
      </c>
      <c r="D322" t="s">
        <v>25</v>
      </c>
      <c r="E322" t="s">
        <v>26</v>
      </c>
      <c r="F322" t="s">
        <v>27</v>
      </c>
      <c r="G322" t="s">
        <v>41</v>
      </c>
      <c r="H322" t="s">
        <v>63</v>
      </c>
      <c r="I322" t="s">
        <v>64</v>
      </c>
      <c r="J322">
        <v>1</v>
      </c>
      <c r="K322" s="3">
        <v>990.98</v>
      </c>
      <c r="L322" s="2">
        <v>500.66</v>
      </c>
      <c r="M322" s="2">
        <f>Table1[[#This Row],[UnitPrice]]*Table1[[#This Row],[Quantity]]</f>
        <v>990.98</v>
      </c>
      <c r="N322" s="2">
        <f>Table1[[#This Row],[CostPrice]]*Table1[[#This Row],[Quantity]]</f>
        <v>500.66</v>
      </c>
      <c r="O322" s="2">
        <v>272.3</v>
      </c>
      <c r="P322" s="4">
        <v>0.22</v>
      </c>
      <c r="Q322" t="s">
        <v>51</v>
      </c>
      <c r="R322" s="4">
        <f t="shared" ref="R322:R385" si="5">O322/M322</f>
        <v>0.27477850208884136</v>
      </c>
    </row>
    <row r="323" spans="1:18" x14ac:dyDescent="0.25">
      <c r="A323">
        <v>1932</v>
      </c>
      <c r="B323" s="1">
        <v>45164</v>
      </c>
      <c r="C323" t="s">
        <v>235</v>
      </c>
      <c r="D323" t="s">
        <v>25</v>
      </c>
      <c r="E323" t="s">
        <v>33</v>
      </c>
      <c r="F323" t="s">
        <v>19</v>
      </c>
      <c r="G323" t="s">
        <v>41</v>
      </c>
      <c r="H323" t="s">
        <v>63</v>
      </c>
      <c r="I323" t="s">
        <v>141</v>
      </c>
      <c r="J323">
        <v>1</v>
      </c>
      <c r="K323" s="3">
        <v>600.4</v>
      </c>
      <c r="L323" s="2">
        <v>308.55</v>
      </c>
      <c r="M323" s="2">
        <f>Table1[[#This Row],[UnitPrice]]*Table1[[#This Row],[Quantity]]</f>
        <v>600.4</v>
      </c>
      <c r="N323" s="2">
        <f>Table1[[#This Row],[CostPrice]]*Table1[[#This Row],[Quantity]]</f>
        <v>308.55</v>
      </c>
      <c r="O323" s="2">
        <v>129.74</v>
      </c>
      <c r="P323" s="4">
        <v>0.27</v>
      </c>
      <c r="Q323" t="s">
        <v>38</v>
      </c>
      <c r="R323" s="4">
        <f t="shared" si="5"/>
        <v>0.21608927381745505</v>
      </c>
    </row>
    <row r="324" spans="1:18" x14ac:dyDescent="0.25">
      <c r="A324">
        <v>1001</v>
      </c>
      <c r="B324" s="1">
        <v>45165</v>
      </c>
      <c r="C324" t="s">
        <v>24</v>
      </c>
      <c r="D324" t="s">
        <v>25</v>
      </c>
      <c r="E324" t="s">
        <v>303</v>
      </c>
      <c r="F324" t="s">
        <v>27</v>
      </c>
      <c r="G324" t="s">
        <v>20</v>
      </c>
      <c r="H324" t="s">
        <v>28</v>
      </c>
      <c r="I324" t="s">
        <v>29</v>
      </c>
      <c r="J324">
        <v>1</v>
      </c>
      <c r="K324" s="3">
        <v>760.01</v>
      </c>
      <c r="L324" s="2">
        <v>422.47</v>
      </c>
      <c r="M324" s="2">
        <f>Table1[[#This Row],[UnitPrice]]*Table1[[#This Row],[Quantity]]</f>
        <v>760.01</v>
      </c>
      <c r="N324" s="2">
        <f>Table1[[#This Row],[CostPrice]]*Table1[[#This Row],[Quantity]]</f>
        <v>422.47</v>
      </c>
      <c r="O324" s="2">
        <v>238.74</v>
      </c>
      <c r="P324" s="4">
        <v>0.13</v>
      </c>
      <c r="Q324" t="s">
        <v>30</v>
      </c>
      <c r="R324" s="4">
        <f t="shared" si="5"/>
        <v>0.31412744569150408</v>
      </c>
    </row>
    <row r="325" spans="1:18" x14ac:dyDescent="0.25">
      <c r="A325">
        <v>1004</v>
      </c>
      <c r="B325" s="1">
        <v>45165</v>
      </c>
      <c r="C325" t="s">
        <v>45</v>
      </c>
      <c r="D325" t="s">
        <v>32</v>
      </c>
      <c r="E325" t="s">
        <v>18</v>
      </c>
      <c r="F325" t="s">
        <v>27</v>
      </c>
      <c r="G325" t="s">
        <v>41</v>
      </c>
      <c r="H325" t="s">
        <v>46</v>
      </c>
      <c r="I325" t="s">
        <v>47</v>
      </c>
      <c r="J325">
        <v>6</v>
      </c>
      <c r="K325" s="3">
        <v>358.49</v>
      </c>
      <c r="L325" s="2">
        <v>263.33</v>
      </c>
      <c r="M325" s="2">
        <f>Table1[[#This Row],[UnitPrice]]*Table1[[#This Row],[Quantity]]</f>
        <v>2150.94</v>
      </c>
      <c r="N325" s="2">
        <f>Table1[[#This Row],[CostPrice]]*Table1[[#This Row],[Quantity]]</f>
        <v>1579.98</v>
      </c>
      <c r="O325" s="2">
        <v>119.26</v>
      </c>
      <c r="P325" s="4">
        <v>0.21</v>
      </c>
      <c r="Q325" t="s">
        <v>44</v>
      </c>
      <c r="R325" s="4">
        <f t="shared" si="5"/>
        <v>5.5445526142058825E-2</v>
      </c>
    </row>
    <row r="326" spans="1:18" x14ac:dyDescent="0.25">
      <c r="A326">
        <v>1414</v>
      </c>
      <c r="B326" s="1">
        <v>45165</v>
      </c>
      <c r="C326" t="s">
        <v>108</v>
      </c>
      <c r="D326" t="s">
        <v>32</v>
      </c>
      <c r="E326" t="s">
        <v>33</v>
      </c>
      <c r="F326" t="s">
        <v>27</v>
      </c>
      <c r="G326" t="s">
        <v>41</v>
      </c>
      <c r="H326" t="s">
        <v>42</v>
      </c>
      <c r="I326" t="s">
        <v>43</v>
      </c>
      <c r="J326">
        <v>2</v>
      </c>
      <c r="K326" s="3">
        <v>724.96</v>
      </c>
      <c r="L326" s="2">
        <v>563.66999999999996</v>
      </c>
      <c r="M326" s="2">
        <f>Table1[[#This Row],[UnitPrice]]*Table1[[#This Row],[Quantity]]</f>
        <v>1449.92</v>
      </c>
      <c r="N326" s="2">
        <f>Table1[[#This Row],[CostPrice]]*Table1[[#This Row],[Quantity]]</f>
        <v>1127.3399999999999</v>
      </c>
      <c r="O326" s="2">
        <v>250.08</v>
      </c>
      <c r="P326" s="4">
        <v>0.05</v>
      </c>
      <c r="Q326" t="s">
        <v>125</v>
      </c>
      <c r="R326" s="4">
        <f t="shared" si="5"/>
        <v>0.17247848157139703</v>
      </c>
    </row>
    <row r="327" spans="1:18" x14ac:dyDescent="0.25">
      <c r="A327">
        <v>1636</v>
      </c>
      <c r="B327" s="1">
        <v>45165</v>
      </c>
      <c r="C327" t="s">
        <v>39</v>
      </c>
      <c r="D327" t="s">
        <v>32</v>
      </c>
      <c r="E327" t="s">
        <v>33</v>
      </c>
      <c r="F327" t="s">
        <v>27</v>
      </c>
      <c r="G327" t="s">
        <v>41</v>
      </c>
      <c r="H327" t="s">
        <v>46</v>
      </c>
      <c r="I327" t="s">
        <v>102</v>
      </c>
      <c r="J327">
        <v>2</v>
      </c>
      <c r="K327" s="3">
        <v>866.62</v>
      </c>
      <c r="L327" s="2">
        <v>647.82000000000005</v>
      </c>
      <c r="M327" s="2">
        <f>Table1[[#This Row],[UnitPrice]]*Table1[[#This Row],[Quantity]]</f>
        <v>1733.24</v>
      </c>
      <c r="N327" s="2">
        <f>Table1[[#This Row],[CostPrice]]*Table1[[#This Row],[Quantity]]</f>
        <v>1295.6400000000001</v>
      </c>
      <c r="O327" s="2">
        <v>142.94999999999999</v>
      </c>
      <c r="P327" s="4">
        <v>0.17</v>
      </c>
      <c r="Q327" t="s">
        <v>30</v>
      </c>
      <c r="R327" s="4">
        <f t="shared" si="5"/>
        <v>8.2475594839722138E-2</v>
      </c>
    </row>
    <row r="328" spans="1:18" x14ac:dyDescent="0.25">
      <c r="A328">
        <v>1483</v>
      </c>
      <c r="B328" s="1">
        <v>45166</v>
      </c>
      <c r="C328" t="s">
        <v>156</v>
      </c>
      <c r="D328" t="s">
        <v>17</v>
      </c>
      <c r="E328" t="s">
        <v>53</v>
      </c>
      <c r="F328" t="s">
        <v>27</v>
      </c>
      <c r="G328" t="s">
        <v>35</v>
      </c>
      <c r="H328" t="s">
        <v>36</v>
      </c>
      <c r="I328" t="s">
        <v>100</v>
      </c>
      <c r="J328">
        <v>7</v>
      </c>
      <c r="K328" s="3">
        <v>16.8</v>
      </c>
      <c r="L328" s="2">
        <v>13.85</v>
      </c>
      <c r="M328" s="2">
        <f>Table1[[#This Row],[UnitPrice]]*Table1[[#This Row],[Quantity]]</f>
        <v>117.60000000000001</v>
      </c>
      <c r="N328" s="2">
        <f>Table1[[#This Row],[CostPrice]]*Table1[[#This Row],[Quantity]]</f>
        <v>96.95</v>
      </c>
      <c r="O328" s="2">
        <v>5.36</v>
      </c>
      <c r="P328" s="4">
        <v>0.13</v>
      </c>
      <c r="Q328" t="s">
        <v>85</v>
      </c>
      <c r="R328" s="4">
        <f t="shared" si="5"/>
        <v>4.5578231292517007E-2</v>
      </c>
    </row>
    <row r="329" spans="1:18" x14ac:dyDescent="0.25">
      <c r="A329">
        <v>1628</v>
      </c>
      <c r="B329" s="1">
        <v>45166</v>
      </c>
      <c r="C329" t="s">
        <v>281</v>
      </c>
      <c r="D329" t="s">
        <v>32</v>
      </c>
      <c r="E329" t="s">
        <v>26</v>
      </c>
      <c r="F329" t="s">
        <v>27</v>
      </c>
      <c r="G329" t="s">
        <v>41</v>
      </c>
      <c r="H329" t="s">
        <v>63</v>
      </c>
      <c r="I329" t="s">
        <v>141</v>
      </c>
      <c r="J329">
        <v>2</v>
      </c>
      <c r="K329" s="3">
        <v>331.21</v>
      </c>
      <c r="L329" s="2">
        <v>233.12</v>
      </c>
      <c r="M329" s="2">
        <f>Table1[[#This Row],[UnitPrice]]*Table1[[#This Row],[Quantity]]</f>
        <v>662.42</v>
      </c>
      <c r="N329" s="2">
        <f>Table1[[#This Row],[CostPrice]]*Table1[[#This Row],[Quantity]]</f>
        <v>466.24</v>
      </c>
      <c r="O329" s="2">
        <v>30.57</v>
      </c>
      <c r="P329" s="4">
        <v>0.25</v>
      </c>
      <c r="Q329" t="s">
        <v>85</v>
      </c>
      <c r="R329" s="4">
        <f t="shared" si="5"/>
        <v>4.6148968932097467E-2</v>
      </c>
    </row>
    <row r="330" spans="1:18" x14ac:dyDescent="0.25">
      <c r="A330">
        <v>1983</v>
      </c>
      <c r="B330" s="1">
        <v>45166</v>
      </c>
      <c r="C330" t="s">
        <v>169</v>
      </c>
      <c r="D330" t="s">
        <v>17</v>
      </c>
      <c r="E330" t="s">
        <v>33</v>
      </c>
      <c r="F330" t="s">
        <v>27</v>
      </c>
      <c r="G330" t="s">
        <v>35</v>
      </c>
      <c r="H330" t="s">
        <v>49</v>
      </c>
      <c r="I330" t="s">
        <v>59</v>
      </c>
      <c r="J330">
        <v>7</v>
      </c>
      <c r="K330" s="3">
        <v>595.11</v>
      </c>
      <c r="L330" s="2">
        <v>331.72</v>
      </c>
      <c r="M330" s="2">
        <f>Table1[[#This Row],[UnitPrice]]*Table1[[#This Row],[Quantity]]</f>
        <v>4165.7700000000004</v>
      </c>
      <c r="N330" s="2">
        <f>Table1[[#This Row],[CostPrice]]*Table1[[#This Row],[Quantity]]</f>
        <v>2322.04</v>
      </c>
      <c r="O330" s="2">
        <v>1635.44</v>
      </c>
      <c r="P330" s="4">
        <v>0.05</v>
      </c>
      <c r="Q330" t="s">
        <v>30</v>
      </c>
      <c r="R330" s="4">
        <f t="shared" si="5"/>
        <v>0.39259008538637513</v>
      </c>
    </row>
    <row r="331" spans="1:18" x14ac:dyDescent="0.25">
      <c r="A331">
        <v>1882</v>
      </c>
      <c r="B331" s="1">
        <v>45167</v>
      </c>
      <c r="C331" t="s">
        <v>142</v>
      </c>
      <c r="D331" t="s">
        <v>17</v>
      </c>
      <c r="E331" t="s">
        <v>18</v>
      </c>
      <c r="F331" t="s">
        <v>27</v>
      </c>
      <c r="G331" t="s">
        <v>41</v>
      </c>
      <c r="H331" t="s">
        <v>63</v>
      </c>
      <c r="I331" t="s">
        <v>141</v>
      </c>
      <c r="J331">
        <v>7</v>
      </c>
      <c r="K331" s="3">
        <v>150.52000000000001</v>
      </c>
      <c r="L331" s="2">
        <v>76.400000000000006</v>
      </c>
      <c r="M331" s="2">
        <f>Table1[[#This Row],[UnitPrice]]*Table1[[#This Row],[Quantity]]</f>
        <v>1053.6400000000001</v>
      </c>
      <c r="N331" s="2">
        <f>Table1[[#This Row],[CostPrice]]*Table1[[#This Row],[Quantity]]</f>
        <v>534.80000000000007</v>
      </c>
      <c r="O331" s="2">
        <v>476.69</v>
      </c>
      <c r="P331" s="4">
        <v>0.04</v>
      </c>
      <c r="Q331" t="s">
        <v>23</v>
      </c>
      <c r="R331" s="4">
        <f t="shared" si="5"/>
        <v>0.45242207964769748</v>
      </c>
    </row>
    <row r="332" spans="1:18" x14ac:dyDescent="0.25">
      <c r="A332">
        <v>1907</v>
      </c>
      <c r="B332" s="1">
        <v>45167</v>
      </c>
      <c r="C332" t="s">
        <v>140</v>
      </c>
      <c r="D332" t="s">
        <v>17</v>
      </c>
      <c r="E332" t="s">
        <v>53</v>
      </c>
      <c r="F332" t="s">
        <v>34</v>
      </c>
      <c r="G332" t="s">
        <v>20</v>
      </c>
      <c r="H332" t="s">
        <v>28</v>
      </c>
      <c r="I332" t="s">
        <v>90</v>
      </c>
      <c r="J332">
        <v>5</v>
      </c>
      <c r="K332" s="3">
        <v>281.58</v>
      </c>
      <c r="L332" s="2">
        <v>178.65</v>
      </c>
      <c r="M332" s="2">
        <f>Table1[[#This Row],[UnitPrice]]*Table1[[#This Row],[Quantity]]</f>
        <v>1407.8999999999999</v>
      </c>
      <c r="N332" s="2">
        <f>Table1[[#This Row],[CostPrice]]*Table1[[#This Row],[Quantity]]</f>
        <v>893.25</v>
      </c>
      <c r="O332" s="2">
        <v>162.66999999999999</v>
      </c>
      <c r="P332" s="4">
        <v>0.25</v>
      </c>
      <c r="Q332" t="s">
        <v>44</v>
      </c>
      <c r="R332" s="4">
        <f t="shared" si="5"/>
        <v>0.11554087648270474</v>
      </c>
    </row>
    <row r="333" spans="1:18" x14ac:dyDescent="0.25">
      <c r="A333">
        <v>1427</v>
      </c>
      <c r="B333" s="1">
        <v>45168</v>
      </c>
      <c r="C333" t="s">
        <v>88</v>
      </c>
      <c r="D333" t="s">
        <v>25</v>
      </c>
      <c r="E333" t="s">
        <v>18</v>
      </c>
      <c r="F333" t="s">
        <v>27</v>
      </c>
      <c r="G333" t="s">
        <v>20</v>
      </c>
      <c r="H333" t="s">
        <v>113</v>
      </c>
      <c r="I333" t="s">
        <v>153</v>
      </c>
      <c r="J333">
        <v>4</v>
      </c>
      <c r="K333" s="3">
        <v>155.94999999999999</v>
      </c>
      <c r="L333" s="2">
        <v>126.95</v>
      </c>
      <c r="M333" s="2">
        <f>Table1[[#This Row],[UnitPrice]]*Table1[[#This Row],[Quantity]]</f>
        <v>623.79999999999995</v>
      </c>
      <c r="N333" s="2">
        <f>Table1[[#This Row],[CostPrice]]*Table1[[#This Row],[Quantity]]</f>
        <v>507.8</v>
      </c>
      <c r="O333" s="2">
        <v>-8.76</v>
      </c>
      <c r="P333" s="4">
        <v>0.2</v>
      </c>
      <c r="Q333" t="s">
        <v>44</v>
      </c>
      <c r="R333" s="4">
        <f t="shared" si="5"/>
        <v>-1.4042962487976917E-2</v>
      </c>
    </row>
    <row r="334" spans="1:18" x14ac:dyDescent="0.25">
      <c r="A334">
        <v>1250</v>
      </c>
      <c r="B334" s="1">
        <v>45169</v>
      </c>
      <c r="C334" t="s">
        <v>231</v>
      </c>
      <c r="D334" t="s">
        <v>32</v>
      </c>
      <c r="E334" t="s">
        <v>53</v>
      </c>
      <c r="F334" t="s">
        <v>40</v>
      </c>
      <c r="G334" t="s">
        <v>35</v>
      </c>
      <c r="H334" t="s">
        <v>49</v>
      </c>
      <c r="I334" t="s">
        <v>50</v>
      </c>
      <c r="J334">
        <v>4</v>
      </c>
      <c r="K334" s="3">
        <v>79.31</v>
      </c>
      <c r="L334" s="2">
        <v>45.28</v>
      </c>
      <c r="M334" s="2">
        <f>Table1[[#This Row],[UnitPrice]]*Table1[[#This Row],[Quantity]]</f>
        <v>317.24</v>
      </c>
      <c r="N334" s="2">
        <f>Table1[[#This Row],[CostPrice]]*Table1[[#This Row],[Quantity]]</f>
        <v>181.12</v>
      </c>
      <c r="O334" s="2">
        <v>63.15</v>
      </c>
      <c r="P334" s="4">
        <v>0.23</v>
      </c>
      <c r="Q334" t="s">
        <v>125</v>
      </c>
      <c r="R334" s="4">
        <f t="shared" si="5"/>
        <v>0.19906064808977431</v>
      </c>
    </row>
    <row r="335" spans="1:18" x14ac:dyDescent="0.25">
      <c r="A335">
        <v>1092</v>
      </c>
      <c r="B335" s="1">
        <v>44935</v>
      </c>
      <c r="C335" t="s">
        <v>65</v>
      </c>
      <c r="D335" t="s">
        <v>25</v>
      </c>
      <c r="E335" t="s">
        <v>26</v>
      </c>
      <c r="F335" t="s">
        <v>40</v>
      </c>
      <c r="G335" t="s">
        <v>20</v>
      </c>
      <c r="H335" t="s">
        <v>21</v>
      </c>
      <c r="I335" t="s">
        <v>79</v>
      </c>
      <c r="J335">
        <v>9</v>
      </c>
      <c r="K335" s="3">
        <v>118.08</v>
      </c>
      <c r="L335" s="2">
        <v>61.67</v>
      </c>
      <c r="M335" s="2">
        <f>Table1[[#This Row],[UnitPrice]]*Table1[[#This Row],[Quantity]]</f>
        <v>1062.72</v>
      </c>
      <c r="N335" s="2">
        <f>Table1[[#This Row],[CostPrice]]*Table1[[#This Row],[Quantity]]</f>
        <v>555.03</v>
      </c>
      <c r="O335" s="2">
        <v>369.54</v>
      </c>
      <c r="P335" s="4">
        <v>0.13</v>
      </c>
      <c r="Q335" t="s">
        <v>85</v>
      </c>
      <c r="R335" s="4">
        <f t="shared" si="5"/>
        <v>0.34773035230352306</v>
      </c>
    </row>
    <row r="336" spans="1:18" x14ac:dyDescent="0.25">
      <c r="A336">
        <v>1022</v>
      </c>
      <c r="B336" s="1">
        <v>44966</v>
      </c>
      <c r="C336" t="s">
        <v>86</v>
      </c>
      <c r="D336" t="s">
        <v>25</v>
      </c>
      <c r="E336" t="s">
        <v>18</v>
      </c>
      <c r="F336" t="s">
        <v>27</v>
      </c>
      <c r="G336" t="s">
        <v>35</v>
      </c>
      <c r="H336" t="s">
        <v>36</v>
      </c>
      <c r="I336" t="s">
        <v>87</v>
      </c>
      <c r="J336">
        <v>8</v>
      </c>
      <c r="K336" s="3">
        <v>623.04999999999995</v>
      </c>
      <c r="L336" s="2">
        <v>434.3</v>
      </c>
      <c r="M336" s="2">
        <f>Table1[[#This Row],[UnitPrice]]*Table1[[#This Row],[Quantity]]</f>
        <v>4984.3999999999996</v>
      </c>
      <c r="N336" s="2">
        <f>Table1[[#This Row],[CostPrice]]*Table1[[#This Row],[Quantity]]</f>
        <v>3474.4</v>
      </c>
      <c r="O336" s="2">
        <v>1360.47</v>
      </c>
      <c r="P336" s="4">
        <v>0.03</v>
      </c>
      <c r="Q336" t="s">
        <v>38</v>
      </c>
      <c r="R336" s="4">
        <f t="shared" si="5"/>
        <v>0.27294559024155368</v>
      </c>
    </row>
    <row r="337" spans="1:18" x14ac:dyDescent="0.25">
      <c r="A337">
        <v>1496</v>
      </c>
      <c r="B337" s="1">
        <v>44966</v>
      </c>
      <c r="C337" t="s">
        <v>119</v>
      </c>
      <c r="D337" t="s">
        <v>25</v>
      </c>
      <c r="E337" t="s">
        <v>18</v>
      </c>
      <c r="F337" t="s">
        <v>27</v>
      </c>
      <c r="G337" t="s">
        <v>41</v>
      </c>
      <c r="H337" t="s">
        <v>46</v>
      </c>
      <c r="I337" t="s">
        <v>47</v>
      </c>
      <c r="J337">
        <v>1</v>
      </c>
      <c r="K337" s="3">
        <v>342.59</v>
      </c>
      <c r="L337" s="2">
        <v>211.79</v>
      </c>
      <c r="M337" s="2">
        <f>Table1[[#This Row],[UnitPrice]]*Table1[[#This Row],[Quantity]]</f>
        <v>342.59</v>
      </c>
      <c r="N337" s="2">
        <f>Table1[[#This Row],[CostPrice]]*Table1[[#This Row],[Quantity]]</f>
        <v>211.79</v>
      </c>
      <c r="O337" s="2">
        <v>55.43</v>
      </c>
      <c r="P337" s="4">
        <v>0.22</v>
      </c>
      <c r="Q337" t="s">
        <v>75</v>
      </c>
      <c r="R337" s="4">
        <f t="shared" si="5"/>
        <v>0.16179690008464931</v>
      </c>
    </row>
    <row r="338" spans="1:18" x14ac:dyDescent="0.25">
      <c r="A338">
        <v>1069</v>
      </c>
      <c r="B338" s="1">
        <v>44994</v>
      </c>
      <c r="C338" t="s">
        <v>137</v>
      </c>
      <c r="D338" t="s">
        <v>32</v>
      </c>
      <c r="E338" t="s">
        <v>33</v>
      </c>
      <c r="F338" t="s">
        <v>27</v>
      </c>
      <c r="G338" t="s">
        <v>20</v>
      </c>
      <c r="H338" t="s">
        <v>21</v>
      </c>
      <c r="I338" t="s">
        <v>22</v>
      </c>
      <c r="J338">
        <v>8</v>
      </c>
      <c r="K338" s="3">
        <v>947.33</v>
      </c>
      <c r="L338" s="2">
        <v>688.42</v>
      </c>
      <c r="M338" s="2">
        <f>Table1[[#This Row],[UnitPrice]]*Table1[[#This Row],[Quantity]]</f>
        <v>7578.64</v>
      </c>
      <c r="N338" s="2">
        <f>Table1[[#This Row],[CostPrice]]*Table1[[#This Row],[Quantity]]</f>
        <v>5507.36</v>
      </c>
      <c r="O338" s="2">
        <v>1692.35</v>
      </c>
      <c r="P338" s="4">
        <v>0.05</v>
      </c>
      <c r="Q338" t="s">
        <v>30</v>
      </c>
      <c r="R338" s="4">
        <f t="shared" si="5"/>
        <v>0.22330523682349337</v>
      </c>
    </row>
    <row r="339" spans="1:18" x14ac:dyDescent="0.25">
      <c r="A339">
        <v>1757</v>
      </c>
      <c r="B339" s="1">
        <v>44994</v>
      </c>
      <c r="C339" t="s">
        <v>109</v>
      </c>
      <c r="D339" t="s">
        <v>17</v>
      </c>
      <c r="E339" t="s">
        <v>33</v>
      </c>
      <c r="F339" t="s">
        <v>34</v>
      </c>
      <c r="G339" t="s">
        <v>41</v>
      </c>
      <c r="H339" t="s">
        <v>46</v>
      </c>
      <c r="I339" t="s">
        <v>102</v>
      </c>
      <c r="J339">
        <v>8</v>
      </c>
      <c r="K339" s="3">
        <v>809.31</v>
      </c>
      <c r="L339" s="2">
        <v>407.68</v>
      </c>
      <c r="M339" s="2">
        <f>Table1[[#This Row],[UnitPrice]]*Table1[[#This Row],[Quantity]]</f>
        <v>6474.48</v>
      </c>
      <c r="N339" s="2">
        <f>Table1[[#This Row],[CostPrice]]*Table1[[#This Row],[Quantity]]</f>
        <v>3261.44</v>
      </c>
      <c r="O339" s="2">
        <v>1400.19</v>
      </c>
      <c r="P339" s="4">
        <v>0.28000000000000003</v>
      </c>
      <c r="Q339" t="s">
        <v>38</v>
      </c>
      <c r="R339" s="4">
        <f t="shared" si="5"/>
        <v>0.2162629276791341</v>
      </c>
    </row>
    <row r="340" spans="1:18" x14ac:dyDescent="0.25">
      <c r="A340">
        <v>1798</v>
      </c>
      <c r="B340" s="1">
        <v>45086</v>
      </c>
      <c r="C340" t="s">
        <v>110</v>
      </c>
      <c r="D340" t="s">
        <v>25</v>
      </c>
      <c r="E340" t="s">
        <v>33</v>
      </c>
      <c r="F340" t="s">
        <v>19</v>
      </c>
      <c r="G340" t="s">
        <v>20</v>
      </c>
      <c r="H340" t="s">
        <v>113</v>
      </c>
      <c r="I340" t="s">
        <v>161</v>
      </c>
      <c r="J340">
        <v>3</v>
      </c>
      <c r="K340" s="3">
        <v>380.57</v>
      </c>
      <c r="L340" s="2">
        <v>193.79</v>
      </c>
      <c r="M340" s="2">
        <f>Table1[[#This Row],[UnitPrice]]*Table1[[#This Row],[Quantity]]</f>
        <v>1141.71</v>
      </c>
      <c r="N340" s="2">
        <f>Table1[[#This Row],[CostPrice]]*Table1[[#This Row],[Quantity]]</f>
        <v>581.37</v>
      </c>
      <c r="O340" s="2">
        <v>229.24</v>
      </c>
      <c r="P340" s="4">
        <v>0.28999999999999998</v>
      </c>
      <c r="Q340" t="s">
        <v>85</v>
      </c>
      <c r="R340" s="4">
        <f t="shared" si="5"/>
        <v>0.20078653948901209</v>
      </c>
    </row>
    <row r="341" spans="1:18" x14ac:dyDescent="0.25">
      <c r="A341">
        <v>1179</v>
      </c>
      <c r="B341" s="1">
        <v>45147</v>
      </c>
      <c r="C341" t="s">
        <v>203</v>
      </c>
      <c r="D341" t="s">
        <v>32</v>
      </c>
      <c r="E341" t="s">
        <v>53</v>
      </c>
      <c r="F341" t="s">
        <v>19</v>
      </c>
      <c r="G341" t="s">
        <v>41</v>
      </c>
      <c r="H341" t="s">
        <v>42</v>
      </c>
      <c r="I341" t="s">
        <v>77</v>
      </c>
      <c r="J341">
        <v>3</v>
      </c>
      <c r="K341" s="3">
        <v>506.38</v>
      </c>
      <c r="L341" s="2">
        <v>304.45999999999998</v>
      </c>
      <c r="M341" s="2">
        <f>Table1[[#This Row],[UnitPrice]]*Table1[[#This Row],[Quantity]]</f>
        <v>1519.1399999999999</v>
      </c>
      <c r="N341" s="2">
        <f>Table1[[#This Row],[CostPrice]]*Table1[[#This Row],[Quantity]]</f>
        <v>913.37999999999988</v>
      </c>
      <c r="O341" s="2">
        <v>241.17</v>
      </c>
      <c r="P341" s="4">
        <v>0.24</v>
      </c>
      <c r="Q341" t="s">
        <v>125</v>
      </c>
      <c r="R341" s="4">
        <f t="shared" si="5"/>
        <v>0.15875429519333306</v>
      </c>
    </row>
    <row r="342" spans="1:18" x14ac:dyDescent="0.25">
      <c r="A342">
        <v>1460</v>
      </c>
      <c r="B342" s="1">
        <v>45147</v>
      </c>
      <c r="C342" t="s">
        <v>145</v>
      </c>
      <c r="D342" t="s">
        <v>32</v>
      </c>
      <c r="E342" t="s">
        <v>18</v>
      </c>
      <c r="F342" t="s">
        <v>27</v>
      </c>
      <c r="G342" t="s">
        <v>20</v>
      </c>
      <c r="H342" t="s">
        <v>21</v>
      </c>
      <c r="I342" t="s">
        <v>22</v>
      </c>
      <c r="J342">
        <v>8</v>
      </c>
      <c r="K342" s="3">
        <v>903.78</v>
      </c>
      <c r="L342" s="2">
        <v>467.85</v>
      </c>
      <c r="M342" s="2">
        <f>Table1[[#This Row],[UnitPrice]]*Table1[[#This Row],[Quantity]]</f>
        <v>7230.24</v>
      </c>
      <c r="N342" s="2">
        <f>Table1[[#This Row],[CostPrice]]*Table1[[#This Row],[Quantity]]</f>
        <v>3742.8</v>
      </c>
      <c r="O342" s="2">
        <v>2619.81</v>
      </c>
      <c r="P342" s="4">
        <v>0.12</v>
      </c>
      <c r="Q342" t="s">
        <v>44</v>
      </c>
      <c r="R342" s="4">
        <f t="shared" si="5"/>
        <v>0.3623406691894045</v>
      </c>
    </row>
    <row r="343" spans="1:18" x14ac:dyDescent="0.25">
      <c r="A343">
        <v>1740</v>
      </c>
      <c r="B343" s="1">
        <v>45147</v>
      </c>
      <c r="C343" t="s">
        <v>273</v>
      </c>
      <c r="D343" t="s">
        <v>25</v>
      </c>
      <c r="E343" t="s">
        <v>53</v>
      </c>
      <c r="F343" t="s">
        <v>27</v>
      </c>
      <c r="G343" t="s">
        <v>35</v>
      </c>
      <c r="H343" t="s">
        <v>70</v>
      </c>
      <c r="I343" t="s">
        <v>84</v>
      </c>
      <c r="J343">
        <v>3</v>
      </c>
      <c r="K343" s="3">
        <v>654.53</v>
      </c>
      <c r="L343" s="2">
        <v>413.26</v>
      </c>
      <c r="M343" s="2">
        <f>Table1[[#This Row],[UnitPrice]]*Table1[[#This Row],[Quantity]]</f>
        <v>1963.59</v>
      </c>
      <c r="N343" s="2">
        <f>Table1[[#This Row],[CostPrice]]*Table1[[#This Row],[Quantity]]</f>
        <v>1239.78</v>
      </c>
      <c r="O343" s="2">
        <v>311.45999999999998</v>
      </c>
      <c r="P343" s="4">
        <v>0.21</v>
      </c>
      <c r="Q343" t="s">
        <v>44</v>
      </c>
      <c r="R343" s="4">
        <f t="shared" si="5"/>
        <v>0.15861763402747009</v>
      </c>
    </row>
    <row r="344" spans="1:18" x14ac:dyDescent="0.25">
      <c r="A344">
        <v>1247</v>
      </c>
      <c r="B344" s="1">
        <v>45178</v>
      </c>
      <c r="C344" t="s">
        <v>228</v>
      </c>
      <c r="D344" t="s">
        <v>32</v>
      </c>
      <c r="E344" t="s">
        <v>33</v>
      </c>
      <c r="F344" t="s">
        <v>19</v>
      </c>
      <c r="G344" t="s">
        <v>41</v>
      </c>
      <c r="H344" t="s">
        <v>46</v>
      </c>
      <c r="I344" t="s">
        <v>102</v>
      </c>
      <c r="J344">
        <v>1</v>
      </c>
      <c r="K344" s="3">
        <v>951.24</v>
      </c>
      <c r="L344" s="2">
        <v>476.11</v>
      </c>
      <c r="M344" s="2">
        <f>Table1[[#This Row],[UnitPrice]]*Table1[[#This Row],[Quantity]]</f>
        <v>951.24</v>
      </c>
      <c r="N344" s="2">
        <f>Table1[[#This Row],[CostPrice]]*Table1[[#This Row],[Quantity]]</f>
        <v>476.11</v>
      </c>
      <c r="O344" s="2">
        <v>284.88</v>
      </c>
      <c r="P344" s="4">
        <v>0.2</v>
      </c>
      <c r="Q344" t="s">
        <v>30</v>
      </c>
      <c r="R344" s="4">
        <f t="shared" si="5"/>
        <v>0.29948278037088433</v>
      </c>
    </row>
    <row r="345" spans="1:18" x14ac:dyDescent="0.25">
      <c r="A345">
        <v>1835</v>
      </c>
      <c r="B345" s="1">
        <v>45178</v>
      </c>
      <c r="C345" t="s">
        <v>97</v>
      </c>
      <c r="D345" t="s">
        <v>32</v>
      </c>
      <c r="E345" t="s">
        <v>18</v>
      </c>
      <c r="F345" t="s">
        <v>34</v>
      </c>
      <c r="G345" t="s">
        <v>35</v>
      </c>
      <c r="H345" t="s">
        <v>36</v>
      </c>
      <c r="I345" t="s">
        <v>87</v>
      </c>
      <c r="J345">
        <v>1</v>
      </c>
      <c r="K345" s="3">
        <v>640.19000000000005</v>
      </c>
      <c r="L345" s="2">
        <v>449.91</v>
      </c>
      <c r="M345" s="2">
        <f>Table1[[#This Row],[UnitPrice]]*Table1[[#This Row],[Quantity]]</f>
        <v>640.19000000000005</v>
      </c>
      <c r="N345" s="2">
        <f>Table1[[#This Row],[CostPrice]]*Table1[[#This Row],[Quantity]]</f>
        <v>449.91</v>
      </c>
      <c r="O345" s="2">
        <v>171.07</v>
      </c>
      <c r="P345" s="4">
        <v>0.03</v>
      </c>
      <c r="Q345" t="s">
        <v>55</v>
      </c>
      <c r="R345" s="4">
        <f t="shared" si="5"/>
        <v>0.26721754479139004</v>
      </c>
    </row>
    <row r="346" spans="1:18" x14ac:dyDescent="0.25">
      <c r="A346">
        <v>1512</v>
      </c>
      <c r="B346" s="1">
        <v>45208</v>
      </c>
      <c r="C346" t="s">
        <v>208</v>
      </c>
      <c r="D346" t="s">
        <v>32</v>
      </c>
      <c r="E346" t="s">
        <v>26</v>
      </c>
      <c r="F346" t="s">
        <v>19</v>
      </c>
      <c r="G346" t="s">
        <v>41</v>
      </c>
      <c r="H346" t="s">
        <v>42</v>
      </c>
      <c r="I346" t="s">
        <v>68</v>
      </c>
      <c r="J346">
        <v>1</v>
      </c>
      <c r="K346" s="3">
        <v>44.86</v>
      </c>
      <c r="L346" s="2">
        <v>29.82</v>
      </c>
      <c r="M346" s="2">
        <f>Table1[[#This Row],[UnitPrice]]*Table1[[#This Row],[Quantity]]</f>
        <v>44.86</v>
      </c>
      <c r="N346" s="2">
        <f>Table1[[#This Row],[CostPrice]]*Table1[[#This Row],[Quantity]]</f>
        <v>29.82</v>
      </c>
      <c r="O346" s="2">
        <v>4.72</v>
      </c>
      <c r="P346" s="4">
        <v>0.23</v>
      </c>
      <c r="Q346" t="s">
        <v>51</v>
      </c>
      <c r="R346" s="4">
        <f t="shared" si="5"/>
        <v>0.10521622826571556</v>
      </c>
    </row>
    <row r="347" spans="1:18" x14ac:dyDescent="0.25">
      <c r="A347">
        <v>1976</v>
      </c>
      <c r="B347" s="1">
        <v>45208</v>
      </c>
      <c r="C347" t="s">
        <v>95</v>
      </c>
      <c r="D347" t="s">
        <v>17</v>
      </c>
      <c r="E347" t="s">
        <v>26</v>
      </c>
      <c r="F347" t="s">
        <v>19</v>
      </c>
      <c r="G347" t="s">
        <v>35</v>
      </c>
      <c r="H347" t="s">
        <v>36</v>
      </c>
      <c r="I347" t="s">
        <v>37</v>
      </c>
      <c r="J347">
        <v>5</v>
      </c>
      <c r="K347" s="3">
        <v>182.11</v>
      </c>
      <c r="L347" s="2">
        <v>100.01</v>
      </c>
      <c r="M347" s="2">
        <f>Table1[[#This Row],[UnitPrice]]*Table1[[#This Row],[Quantity]]</f>
        <v>910.55000000000007</v>
      </c>
      <c r="N347" s="2">
        <f>Table1[[#This Row],[CostPrice]]*Table1[[#This Row],[Quantity]]</f>
        <v>500.05</v>
      </c>
      <c r="O347" s="2">
        <v>328.55</v>
      </c>
      <c r="P347" s="4">
        <v>0.09</v>
      </c>
      <c r="Q347" t="s">
        <v>23</v>
      </c>
      <c r="R347" s="4">
        <f t="shared" si="5"/>
        <v>0.3608258744714733</v>
      </c>
    </row>
    <row r="348" spans="1:18" x14ac:dyDescent="0.25">
      <c r="A348">
        <v>1225</v>
      </c>
      <c r="B348" s="1">
        <v>45239</v>
      </c>
      <c r="C348" t="s">
        <v>221</v>
      </c>
      <c r="D348" t="s">
        <v>17</v>
      </c>
      <c r="E348" t="s">
        <v>53</v>
      </c>
      <c r="F348" t="s">
        <v>27</v>
      </c>
      <c r="G348" t="s">
        <v>20</v>
      </c>
      <c r="H348" t="s">
        <v>113</v>
      </c>
      <c r="I348" t="s">
        <v>161</v>
      </c>
      <c r="J348">
        <v>5</v>
      </c>
      <c r="K348" s="3">
        <v>629.66999999999996</v>
      </c>
      <c r="L348" s="2">
        <v>397.52</v>
      </c>
      <c r="M348" s="2">
        <f>Table1[[#This Row],[UnitPrice]]*Table1[[#This Row],[Quantity]]</f>
        <v>3148.35</v>
      </c>
      <c r="N348" s="2">
        <f>Table1[[#This Row],[CostPrice]]*Table1[[#This Row],[Quantity]]</f>
        <v>1987.6</v>
      </c>
      <c r="O348" s="2">
        <v>1097.78</v>
      </c>
      <c r="P348" s="4">
        <v>0.02</v>
      </c>
      <c r="Q348" t="s">
        <v>44</v>
      </c>
      <c r="R348" s="4">
        <f t="shared" si="5"/>
        <v>0.3486842314228088</v>
      </c>
    </row>
    <row r="349" spans="1:18" x14ac:dyDescent="0.25">
      <c r="A349">
        <v>1148</v>
      </c>
      <c r="B349" s="1">
        <v>45269</v>
      </c>
      <c r="C349" t="s">
        <v>189</v>
      </c>
      <c r="D349" t="s">
        <v>25</v>
      </c>
      <c r="E349" t="s">
        <v>18</v>
      </c>
      <c r="F349" t="s">
        <v>40</v>
      </c>
      <c r="G349" t="s">
        <v>20</v>
      </c>
      <c r="H349" t="s">
        <v>21</v>
      </c>
      <c r="I349" t="s">
        <v>79</v>
      </c>
      <c r="J349">
        <v>9</v>
      </c>
      <c r="K349" s="3">
        <v>469.48</v>
      </c>
      <c r="L349" s="2">
        <v>379.19</v>
      </c>
      <c r="M349" s="2">
        <f>Table1[[#This Row],[UnitPrice]]*Table1[[#This Row],[Quantity]]</f>
        <v>4225.32</v>
      </c>
      <c r="N349" s="2">
        <f>Table1[[#This Row],[CostPrice]]*Table1[[#This Row],[Quantity]]</f>
        <v>3412.71</v>
      </c>
      <c r="O349" s="2">
        <v>178.81</v>
      </c>
      <c r="P349" s="4">
        <v>0.15</v>
      </c>
      <c r="Q349" t="s">
        <v>44</v>
      </c>
      <c r="R349" s="4">
        <f t="shared" si="5"/>
        <v>4.2318688288697663E-2</v>
      </c>
    </row>
    <row r="350" spans="1:18" x14ac:dyDescent="0.25">
      <c r="A350">
        <v>1601</v>
      </c>
      <c r="B350" s="1">
        <v>45269</v>
      </c>
      <c r="C350" t="s">
        <v>96</v>
      </c>
      <c r="D350" t="s">
        <v>32</v>
      </c>
      <c r="E350" t="s">
        <v>33</v>
      </c>
      <c r="F350" t="s">
        <v>34</v>
      </c>
      <c r="G350" t="s">
        <v>20</v>
      </c>
      <c r="H350" t="s">
        <v>113</v>
      </c>
      <c r="I350" t="s">
        <v>114</v>
      </c>
      <c r="J350">
        <v>9</v>
      </c>
      <c r="K350" s="3">
        <v>427.79</v>
      </c>
      <c r="L350" s="2">
        <v>228.04</v>
      </c>
      <c r="M350" s="2">
        <f>Table1[[#This Row],[UnitPrice]]*Table1[[#This Row],[Quantity]]</f>
        <v>3850.11</v>
      </c>
      <c r="N350" s="2">
        <f>Table1[[#This Row],[CostPrice]]*Table1[[#This Row],[Quantity]]</f>
        <v>2052.36</v>
      </c>
      <c r="O350" s="2">
        <v>1027.73</v>
      </c>
      <c r="P350" s="4">
        <v>0.2</v>
      </c>
      <c r="Q350" t="s">
        <v>125</v>
      </c>
      <c r="R350" s="4">
        <f t="shared" si="5"/>
        <v>0.26693523042198791</v>
      </c>
    </row>
    <row r="351" spans="1:18" x14ac:dyDescent="0.25">
      <c r="A351">
        <v>1258</v>
      </c>
      <c r="B351" s="1">
        <v>45182</v>
      </c>
      <c r="C351" t="s">
        <v>172</v>
      </c>
      <c r="D351" t="s">
        <v>17</v>
      </c>
      <c r="E351" t="s">
        <v>33</v>
      </c>
      <c r="F351" t="s">
        <v>27</v>
      </c>
      <c r="G351" t="s">
        <v>41</v>
      </c>
      <c r="H351" t="s">
        <v>46</v>
      </c>
      <c r="I351" t="s">
        <v>57</v>
      </c>
      <c r="J351">
        <v>9</v>
      </c>
      <c r="K351" s="3">
        <v>782.53</v>
      </c>
      <c r="L351" s="2">
        <v>485.49</v>
      </c>
      <c r="M351" s="2">
        <f>Table1[[#This Row],[UnitPrice]]*Table1[[#This Row],[Quantity]]</f>
        <v>7042.7699999999995</v>
      </c>
      <c r="N351" s="2">
        <f>Table1[[#This Row],[CostPrice]]*Table1[[#This Row],[Quantity]]</f>
        <v>4369.41</v>
      </c>
      <c r="O351" s="2">
        <v>1476.09</v>
      </c>
      <c r="P351" s="4">
        <v>0.17</v>
      </c>
      <c r="Q351" t="s">
        <v>85</v>
      </c>
      <c r="R351" s="4">
        <f t="shared" si="5"/>
        <v>0.20958940871276502</v>
      </c>
    </row>
    <row r="352" spans="1:18" x14ac:dyDescent="0.25">
      <c r="A352">
        <v>1698</v>
      </c>
      <c r="B352" s="1">
        <v>45182</v>
      </c>
      <c r="C352" t="s">
        <v>274</v>
      </c>
      <c r="D352" t="s">
        <v>25</v>
      </c>
      <c r="E352" t="s">
        <v>26</v>
      </c>
      <c r="F352" t="s">
        <v>34</v>
      </c>
      <c r="G352" t="s">
        <v>20</v>
      </c>
      <c r="H352" t="s">
        <v>28</v>
      </c>
      <c r="I352" t="s">
        <v>90</v>
      </c>
      <c r="J352">
        <v>1</v>
      </c>
      <c r="K352" s="3">
        <v>340.43</v>
      </c>
      <c r="L352" s="2">
        <v>193.11</v>
      </c>
      <c r="M352" s="2">
        <f>Table1[[#This Row],[UnitPrice]]*Table1[[#This Row],[Quantity]]</f>
        <v>340.43</v>
      </c>
      <c r="N352" s="2">
        <f>Table1[[#This Row],[CostPrice]]*Table1[[#This Row],[Quantity]]</f>
        <v>193.11</v>
      </c>
      <c r="O352" s="2">
        <v>79.23</v>
      </c>
      <c r="P352" s="4">
        <v>0.2</v>
      </c>
      <c r="Q352" t="s">
        <v>23</v>
      </c>
      <c r="R352" s="4">
        <f t="shared" si="5"/>
        <v>0.23273507035220165</v>
      </c>
    </row>
    <row r="353" spans="1:18" x14ac:dyDescent="0.25">
      <c r="A353">
        <v>1121</v>
      </c>
      <c r="B353" s="1">
        <v>45183</v>
      </c>
      <c r="C353" t="s">
        <v>176</v>
      </c>
      <c r="D353" t="s">
        <v>32</v>
      </c>
      <c r="E353" t="s">
        <v>18</v>
      </c>
      <c r="F353" t="s">
        <v>34</v>
      </c>
      <c r="G353" t="s">
        <v>41</v>
      </c>
      <c r="H353" t="s">
        <v>63</v>
      </c>
      <c r="I353" t="s">
        <v>141</v>
      </c>
      <c r="J353">
        <v>5</v>
      </c>
      <c r="K353" s="3">
        <v>88.46</v>
      </c>
      <c r="L353" s="2">
        <v>49.19</v>
      </c>
      <c r="M353" s="2">
        <f>Table1[[#This Row],[UnitPrice]]*Table1[[#This Row],[Quantity]]</f>
        <v>442.29999999999995</v>
      </c>
      <c r="N353" s="2">
        <f>Table1[[#This Row],[CostPrice]]*Table1[[#This Row],[Quantity]]</f>
        <v>245.95</v>
      </c>
      <c r="O353" s="2">
        <v>138.85</v>
      </c>
      <c r="P353" s="4">
        <v>0.13</v>
      </c>
      <c r="Q353" t="s">
        <v>38</v>
      </c>
      <c r="R353" s="4">
        <f t="shared" si="5"/>
        <v>0.31392719873389102</v>
      </c>
    </row>
    <row r="354" spans="1:18" x14ac:dyDescent="0.25">
      <c r="A354">
        <v>1342</v>
      </c>
      <c r="B354" s="1">
        <v>45183</v>
      </c>
      <c r="C354" t="s">
        <v>126</v>
      </c>
      <c r="D354" t="s">
        <v>17</v>
      </c>
      <c r="E354" t="s">
        <v>53</v>
      </c>
      <c r="F354" t="s">
        <v>40</v>
      </c>
      <c r="G354" t="s">
        <v>35</v>
      </c>
      <c r="H354" t="s">
        <v>36</v>
      </c>
      <c r="I354" t="s">
        <v>100</v>
      </c>
      <c r="J354">
        <v>4</v>
      </c>
      <c r="K354" s="3">
        <v>104.54</v>
      </c>
      <c r="L354" s="2">
        <v>74.94</v>
      </c>
      <c r="M354" s="2">
        <f>Table1[[#This Row],[UnitPrice]]*Table1[[#This Row],[Quantity]]</f>
        <v>418.16</v>
      </c>
      <c r="N354" s="2">
        <f>Table1[[#This Row],[CostPrice]]*Table1[[#This Row],[Quantity]]</f>
        <v>299.76</v>
      </c>
      <c r="O354" s="2">
        <v>5.5</v>
      </c>
      <c r="P354" s="4">
        <v>0.27</v>
      </c>
      <c r="Q354" t="s">
        <v>85</v>
      </c>
      <c r="R354" s="4">
        <f t="shared" si="5"/>
        <v>1.3152860149225176E-2</v>
      </c>
    </row>
    <row r="355" spans="1:18" x14ac:dyDescent="0.25">
      <c r="A355">
        <v>1658</v>
      </c>
      <c r="B355" s="1">
        <v>45183</v>
      </c>
      <c r="C355" t="s">
        <v>236</v>
      </c>
      <c r="D355" t="s">
        <v>32</v>
      </c>
      <c r="E355" t="s">
        <v>26</v>
      </c>
      <c r="F355" t="s">
        <v>40</v>
      </c>
      <c r="G355" t="s">
        <v>20</v>
      </c>
      <c r="H355" t="s">
        <v>28</v>
      </c>
      <c r="I355" t="s">
        <v>81</v>
      </c>
      <c r="J355">
        <v>2</v>
      </c>
      <c r="K355" s="3">
        <v>776.87</v>
      </c>
      <c r="L355" s="2">
        <v>556.9</v>
      </c>
      <c r="M355" s="2">
        <f>Table1[[#This Row],[UnitPrice]]*Table1[[#This Row],[Quantity]]</f>
        <v>1553.74</v>
      </c>
      <c r="N355" s="2">
        <f>Table1[[#This Row],[CostPrice]]*Table1[[#This Row],[Quantity]]</f>
        <v>1113.8</v>
      </c>
      <c r="O355" s="2">
        <v>82.58</v>
      </c>
      <c r="P355" s="4">
        <v>0.23</v>
      </c>
      <c r="Q355" t="s">
        <v>55</v>
      </c>
      <c r="R355" s="4">
        <f t="shared" si="5"/>
        <v>5.3149175537734752E-2</v>
      </c>
    </row>
    <row r="356" spans="1:18" x14ac:dyDescent="0.25">
      <c r="A356">
        <v>1959</v>
      </c>
      <c r="B356" s="1">
        <v>45184</v>
      </c>
      <c r="C356" t="s">
        <v>188</v>
      </c>
      <c r="D356" t="s">
        <v>25</v>
      </c>
      <c r="E356" t="s">
        <v>18</v>
      </c>
      <c r="F356" t="s">
        <v>19</v>
      </c>
      <c r="G356" t="s">
        <v>20</v>
      </c>
      <c r="H356" t="s">
        <v>113</v>
      </c>
      <c r="I356" t="s">
        <v>161</v>
      </c>
      <c r="J356">
        <v>8</v>
      </c>
      <c r="K356" s="3">
        <v>14.77</v>
      </c>
      <c r="L356" s="2">
        <v>9.5399999999999991</v>
      </c>
      <c r="M356" s="2">
        <f>Table1[[#This Row],[UnitPrice]]*Table1[[#This Row],[Quantity]]</f>
        <v>118.16</v>
      </c>
      <c r="N356" s="2">
        <f>Table1[[#This Row],[CostPrice]]*Table1[[#This Row],[Quantity]]</f>
        <v>76.319999999999993</v>
      </c>
      <c r="O356" s="2">
        <v>35.93</v>
      </c>
      <c r="P356" s="4">
        <v>0.05</v>
      </c>
      <c r="Q356" t="s">
        <v>44</v>
      </c>
      <c r="R356" s="4">
        <f t="shared" si="5"/>
        <v>0.30407921462423831</v>
      </c>
    </row>
    <row r="357" spans="1:18" x14ac:dyDescent="0.25">
      <c r="A357">
        <v>1954</v>
      </c>
      <c r="B357" s="1">
        <v>45185</v>
      </c>
      <c r="C357" t="s">
        <v>299</v>
      </c>
      <c r="D357" t="s">
        <v>17</v>
      </c>
      <c r="E357" t="s">
        <v>18</v>
      </c>
      <c r="F357" t="s">
        <v>19</v>
      </c>
      <c r="G357" t="s">
        <v>20</v>
      </c>
      <c r="H357" t="s">
        <v>28</v>
      </c>
      <c r="I357" t="s">
        <v>61</v>
      </c>
      <c r="J357">
        <v>1</v>
      </c>
      <c r="K357" s="3">
        <v>271.8</v>
      </c>
      <c r="L357" s="2">
        <v>155.80000000000001</v>
      </c>
      <c r="M357" s="2">
        <f>Table1[[#This Row],[UnitPrice]]*Table1[[#This Row],[Quantity]]</f>
        <v>271.8</v>
      </c>
      <c r="N357" s="2">
        <f>Table1[[#This Row],[CostPrice]]*Table1[[#This Row],[Quantity]]</f>
        <v>155.80000000000001</v>
      </c>
      <c r="O357" s="2">
        <v>69.790000000000006</v>
      </c>
      <c r="P357" s="4">
        <v>0.17</v>
      </c>
      <c r="Q357" t="s">
        <v>55</v>
      </c>
      <c r="R357" s="4">
        <f t="shared" si="5"/>
        <v>0.25676968359087565</v>
      </c>
    </row>
    <row r="358" spans="1:18" x14ac:dyDescent="0.25">
      <c r="A358">
        <v>1602</v>
      </c>
      <c r="B358" s="1">
        <v>45186</v>
      </c>
      <c r="C358" t="s">
        <v>281</v>
      </c>
      <c r="D358" t="s">
        <v>17</v>
      </c>
      <c r="E358" t="s">
        <v>33</v>
      </c>
      <c r="F358" t="s">
        <v>34</v>
      </c>
      <c r="G358" t="s">
        <v>20</v>
      </c>
      <c r="H358" t="s">
        <v>113</v>
      </c>
      <c r="I358" t="s">
        <v>161</v>
      </c>
      <c r="J358">
        <v>8</v>
      </c>
      <c r="K358" s="3">
        <v>183.65</v>
      </c>
      <c r="L358" s="2">
        <v>103.54</v>
      </c>
      <c r="M358" s="2">
        <f>Table1[[#This Row],[UnitPrice]]*Table1[[#This Row],[Quantity]]</f>
        <v>1469.2</v>
      </c>
      <c r="N358" s="2">
        <f>Table1[[#This Row],[CostPrice]]*Table1[[#This Row],[Quantity]]</f>
        <v>828.32</v>
      </c>
      <c r="O358" s="2">
        <v>464.58</v>
      </c>
      <c r="P358" s="4">
        <v>0.12</v>
      </c>
      <c r="Q358" t="s">
        <v>44</v>
      </c>
      <c r="R358" s="4">
        <f t="shared" si="5"/>
        <v>0.31621290498230326</v>
      </c>
    </row>
    <row r="359" spans="1:18" x14ac:dyDescent="0.25">
      <c r="A359">
        <v>1866</v>
      </c>
      <c r="B359" s="1">
        <v>45186</v>
      </c>
      <c r="C359" t="s">
        <v>298</v>
      </c>
      <c r="D359" t="s">
        <v>25</v>
      </c>
      <c r="E359" t="s">
        <v>18</v>
      </c>
      <c r="F359" t="s">
        <v>40</v>
      </c>
      <c r="G359" t="s">
        <v>41</v>
      </c>
      <c r="H359" t="s">
        <v>46</v>
      </c>
      <c r="I359" t="s">
        <v>102</v>
      </c>
      <c r="J359">
        <v>10</v>
      </c>
      <c r="K359" s="3">
        <v>486.93</v>
      </c>
      <c r="L359" s="2">
        <v>289.47000000000003</v>
      </c>
      <c r="M359" s="2">
        <f>Table1[[#This Row],[UnitPrice]]*Table1[[#This Row],[Quantity]]</f>
        <v>4869.3</v>
      </c>
      <c r="N359" s="2">
        <f>Table1[[#This Row],[CostPrice]]*Table1[[#This Row],[Quantity]]</f>
        <v>2894.7000000000003</v>
      </c>
      <c r="O359" s="2">
        <v>1195.51</v>
      </c>
      <c r="P359" s="4">
        <v>0.16</v>
      </c>
      <c r="Q359" t="s">
        <v>51</v>
      </c>
      <c r="R359" s="4">
        <f t="shared" si="5"/>
        <v>0.24551988992257612</v>
      </c>
    </row>
    <row r="360" spans="1:18" x14ac:dyDescent="0.25">
      <c r="A360">
        <v>1969</v>
      </c>
      <c r="B360" s="1">
        <v>45186</v>
      </c>
      <c r="C360" t="s">
        <v>224</v>
      </c>
      <c r="D360" t="s">
        <v>25</v>
      </c>
      <c r="E360" t="s">
        <v>18</v>
      </c>
      <c r="F360" t="s">
        <v>34</v>
      </c>
      <c r="G360" t="s">
        <v>41</v>
      </c>
      <c r="H360" t="s">
        <v>46</v>
      </c>
      <c r="I360" t="s">
        <v>102</v>
      </c>
      <c r="J360">
        <v>8</v>
      </c>
      <c r="K360" s="3">
        <v>401.3</v>
      </c>
      <c r="L360" s="2">
        <v>340.51</v>
      </c>
      <c r="M360" s="2">
        <f>Table1[[#This Row],[UnitPrice]]*Table1[[#This Row],[Quantity]]</f>
        <v>3210.4</v>
      </c>
      <c r="N360" s="2">
        <f>Table1[[#This Row],[CostPrice]]*Table1[[#This Row],[Quantity]]</f>
        <v>2724.08</v>
      </c>
      <c r="O360" s="2">
        <v>-187.86</v>
      </c>
      <c r="P360" s="4">
        <v>0.21</v>
      </c>
      <c r="Q360" t="s">
        <v>30</v>
      </c>
      <c r="R360" s="4">
        <f t="shared" si="5"/>
        <v>-5.851607276351857E-2</v>
      </c>
    </row>
    <row r="361" spans="1:18" x14ac:dyDescent="0.25">
      <c r="A361">
        <v>1174</v>
      </c>
      <c r="B361" s="1">
        <v>45187</v>
      </c>
      <c r="C361" t="s">
        <v>52</v>
      </c>
      <c r="D361" t="s">
        <v>17</v>
      </c>
      <c r="E361" t="s">
        <v>26</v>
      </c>
      <c r="F361" t="s">
        <v>34</v>
      </c>
      <c r="G361" t="s">
        <v>20</v>
      </c>
      <c r="H361" t="s">
        <v>28</v>
      </c>
      <c r="I361" t="s">
        <v>29</v>
      </c>
      <c r="J361">
        <v>2</v>
      </c>
      <c r="K361" s="3">
        <v>543.46</v>
      </c>
      <c r="L361" s="2">
        <v>283.19</v>
      </c>
      <c r="M361" s="2">
        <f>Table1[[#This Row],[UnitPrice]]*Table1[[#This Row],[Quantity]]</f>
        <v>1086.92</v>
      </c>
      <c r="N361" s="2">
        <f>Table1[[#This Row],[CostPrice]]*Table1[[#This Row],[Quantity]]</f>
        <v>566.38</v>
      </c>
      <c r="O361" s="2">
        <v>227.07</v>
      </c>
      <c r="P361" s="4">
        <v>0.27</v>
      </c>
      <c r="Q361" t="s">
        <v>55</v>
      </c>
      <c r="R361" s="4">
        <f t="shared" si="5"/>
        <v>0.20891141942369262</v>
      </c>
    </row>
    <row r="362" spans="1:18" x14ac:dyDescent="0.25">
      <c r="A362">
        <v>1381</v>
      </c>
      <c r="B362" s="1">
        <v>45187</v>
      </c>
      <c r="C362" t="s">
        <v>220</v>
      </c>
      <c r="D362" t="s">
        <v>17</v>
      </c>
      <c r="E362" t="s">
        <v>33</v>
      </c>
      <c r="F362" t="s">
        <v>27</v>
      </c>
      <c r="G362" t="s">
        <v>41</v>
      </c>
      <c r="H362" t="s">
        <v>46</v>
      </c>
      <c r="I362" t="s">
        <v>57</v>
      </c>
      <c r="J362">
        <v>6</v>
      </c>
      <c r="K362" s="3">
        <v>363.51</v>
      </c>
      <c r="L362" s="2">
        <v>252.68</v>
      </c>
      <c r="M362" s="2">
        <f>Table1[[#This Row],[UnitPrice]]*Table1[[#This Row],[Quantity]]</f>
        <v>2181.06</v>
      </c>
      <c r="N362" s="2">
        <f>Table1[[#This Row],[CostPrice]]*Table1[[#This Row],[Quantity]]</f>
        <v>1516.08</v>
      </c>
      <c r="O362" s="2">
        <v>141.53</v>
      </c>
      <c r="P362" s="4">
        <v>0.24</v>
      </c>
      <c r="Q362" t="s">
        <v>85</v>
      </c>
      <c r="R362" s="4">
        <f t="shared" si="5"/>
        <v>6.489046610363769E-2</v>
      </c>
    </row>
    <row r="363" spans="1:18" x14ac:dyDescent="0.25">
      <c r="A363">
        <v>1962</v>
      </c>
      <c r="B363" s="1">
        <v>45187</v>
      </c>
      <c r="C363" t="s">
        <v>218</v>
      </c>
      <c r="D363" t="s">
        <v>17</v>
      </c>
      <c r="E363" t="s">
        <v>26</v>
      </c>
      <c r="F363" t="s">
        <v>34</v>
      </c>
      <c r="G363" t="s">
        <v>41</v>
      </c>
      <c r="H363" t="s">
        <v>42</v>
      </c>
      <c r="I363" t="s">
        <v>77</v>
      </c>
      <c r="J363">
        <v>4</v>
      </c>
      <c r="K363" s="3">
        <v>283.58999999999997</v>
      </c>
      <c r="L363" s="2">
        <v>167.89</v>
      </c>
      <c r="M363" s="2">
        <f>Table1[[#This Row],[UnitPrice]]*Table1[[#This Row],[Quantity]]</f>
        <v>1134.3599999999999</v>
      </c>
      <c r="N363" s="2">
        <f>Table1[[#This Row],[CostPrice]]*Table1[[#This Row],[Quantity]]</f>
        <v>671.56</v>
      </c>
      <c r="O363" s="2">
        <v>428.77</v>
      </c>
      <c r="P363" s="4">
        <v>0.03</v>
      </c>
      <c r="Q363" t="s">
        <v>38</v>
      </c>
      <c r="R363" s="4">
        <f t="shared" si="5"/>
        <v>0.37798406149723196</v>
      </c>
    </row>
    <row r="364" spans="1:18" x14ac:dyDescent="0.25">
      <c r="A364">
        <v>1306</v>
      </c>
      <c r="B364" s="1">
        <v>45189</v>
      </c>
      <c r="C364" t="s">
        <v>244</v>
      </c>
      <c r="D364" t="s">
        <v>32</v>
      </c>
      <c r="E364" t="s">
        <v>18</v>
      </c>
      <c r="F364" t="s">
        <v>40</v>
      </c>
      <c r="G364" t="s">
        <v>35</v>
      </c>
      <c r="H364" t="s">
        <v>36</v>
      </c>
      <c r="I364" t="s">
        <v>87</v>
      </c>
      <c r="J364">
        <v>3</v>
      </c>
      <c r="K364" s="3">
        <v>874.77</v>
      </c>
      <c r="L364" s="2">
        <v>698.32</v>
      </c>
      <c r="M364" s="2">
        <f>Table1[[#This Row],[UnitPrice]]*Table1[[#This Row],[Quantity]]</f>
        <v>2624.31</v>
      </c>
      <c r="N364" s="2">
        <f>Table1[[#This Row],[CostPrice]]*Table1[[#This Row],[Quantity]]</f>
        <v>2094.96</v>
      </c>
      <c r="O364" s="2">
        <v>240.68</v>
      </c>
      <c r="P364" s="4">
        <v>0.11</v>
      </c>
      <c r="Q364" t="s">
        <v>85</v>
      </c>
      <c r="R364" s="4">
        <f t="shared" si="5"/>
        <v>9.1711726129916057E-2</v>
      </c>
    </row>
    <row r="365" spans="1:18" x14ac:dyDescent="0.25">
      <c r="A365">
        <v>1489</v>
      </c>
      <c r="B365" s="1">
        <v>45190</v>
      </c>
      <c r="C365" t="s">
        <v>107</v>
      </c>
      <c r="D365" t="s">
        <v>25</v>
      </c>
      <c r="E365" t="s">
        <v>18</v>
      </c>
      <c r="F365" t="s">
        <v>34</v>
      </c>
      <c r="G365" t="s">
        <v>35</v>
      </c>
      <c r="H365" t="s">
        <v>49</v>
      </c>
      <c r="I365" t="s">
        <v>50</v>
      </c>
      <c r="J365">
        <v>1</v>
      </c>
      <c r="K365" s="3">
        <v>261.95</v>
      </c>
      <c r="L365" s="2">
        <v>205.49</v>
      </c>
      <c r="M365" s="2">
        <f>Table1[[#This Row],[UnitPrice]]*Table1[[#This Row],[Quantity]]</f>
        <v>261.95</v>
      </c>
      <c r="N365" s="2">
        <f>Table1[[#This Row],[CostPrice]]*Table1[[#This Row],[Quantity]]</f>
        <v>205.49</v>
      </c>
      <c r="O365" s="2">
        <v>43.36</v>
      </c>
      <c r="P365" s="4">
        <v>0.05</v>
      </c>
      <c r="Q365" t="s">
        <v>44</v>
      </c>
      <c r="R365" s="4">
        <f t="shared" si="5"/>
        <v>0.1655277724756633</v>
      </c>
    </row>
    <row r="366" spans="1:18" x14ac:dyDescent="0.25">
      <c r="A366">
        <v>1423</v>
      </c>
      <c r="B366" s="1">
        <v>45191</v>
      </c>
      <c r="C366" t="s">
        <v>190</v>
      </c>
      <c r="D366" t="s">
        <v>17</v>
      </c>
      <c r="E366" t="s">
        <v>26</v>
      </c>
      <c r="F366" t="s">
        <v>34</v>
      </c>
      <c r="G366" t="s">
        <v>35</v>
      </c>
      <c r="H366" t="s">
        <v>70</v>
      </c>
      <c r="I366" t="s">
        <v>84</v>
      </c>
      <c r="J366">
        <v>9</v>
      </c>
      <c r="K366" s="3">
        <v>48.26</v>
      </c>
      <c r="L366" s="2">
        <v>27.01</v>
      </c>
      <c r="M366" s="2">
        <f>Table1[[#This Row],[UnitPrice]]*Table1[[#This Row],[Quantity]]</f>
        <v>434.34</v>
      </c>
      <c r="N366" s="2">
        <f>Table1[[#This Row],[CostPrice]]*Table1[[#This Row],[Quantity]]</f>
        <v>243.09</v>
      </c>
      <c r="O366" s="2">
        <v>152.16</v>
      </c>
      <c r="P366" s="4">
        <v>0.09</v>
      </c>
      <c r="Q366" t="s">
        <v>125</v>
      </c>
      <c r="R366" s="4">
        <f t="shared" si="5"/>
        <v>0.35032463047382234</v>
      </c>
    </row>
    <row r="367" spans="1:18" x14ac:dyDescent="0.25">
      <c r="A367">
        <v>1463</v>
      </c>
      <c r="B367" s="1">
        <v>45191</v>
      </c>
      <c r="C367" t="s">
        <v>230</v>
      </c>
      <c r="D367" t="s">
        <v>32</v>
      </c>
      <c r="E367" t="s">
        <v>26</v>
      </c>
      <c r="F367" t="s">
        <v>40</v>
      </c>
      <c r="G367" t="s">
        <v>35</v>
      </c>
      <c r="H367" t="s">
        <v>49</v>
      </c>
      <c r="I367" t="s">
        <v>50</v>
      </c>
      <c r="J367">
        <v>1</v>
      </c>
      <c r="K367" s="3">
        <v>70.040000000000006</v>
      </c>
      <c r="L367" s="2">
        <v>37.79</v>
      </c>
      <c r="M367" s="2">
        <f>Table1[[#This Row],[UnitPrice]]*Table1[[#This Row],[Quantity]]</f>
        <v>70.040000000000006</v>
      </c>
      <c r="N367" s="2">
        <f>Table1[[#This Row],[CostPrice]]*Table1[[#This Row],[Quantity]]</f>
        <v>37.79</v>
      </c>
      <c r="O367" s="2">
        <v>22.44</v>
      </c>
      <c r="P367" s="4">
        <v>0.14000000000000001</v>
      </c>
      <c r="Q367" t="s">
        <v>92</v>
      </c>
      <c r="R367" s="4">
        <f t="shared" si="5"/>
        <v>0.32038834951456308</v>
      </c>
    </row>
    <row r="368" spans="1:18" x14ac:dyDescent="0.25">
      <c r="A368">
        <v>1943</v>
      </c>
      <c r="B368" s="1">
        <v>45194</v>
      </c>
      <c r="C368" t="s">
        <v>174</v>
      </c>
      <c r="D368" t="s">
        <v>32</v>
      </c>
      <c r="E368" t="s">
        <v>53</v>
      </c>
      <c r="F368" t="s">
        <v>27</v>
      </c>
      <c r="G368" t="s">
        <v>35</v>
      </c>
      <c r="H368" t="s">
        <v>49</v>
      </c>
      <c r="I368" t="s">
        <v>50</v>
      </c>
      <c r="J368">
        <v>1</v>
      </c>
      <c r="K368" s="3">
        <v>271.98</v>
      </c>
      <c r="L368" s="2">
        <v>205.31</v>
      </c>
      <c r="M368" s="2">
        <f>Table1[[#This Row],[UnitPrice]]*Table1[[#This Row],[Quantity]]</f>
        <v>271.98</v>
      </c>
      <c r="N368" s="2">
        <f>Table1[[#This Row],[CostPrice]]*Table1[[#This Row],[Quantity]]</f>
        <v>205.31</v>
      </c>
      <c r="O368" s="2">
        <v>39.47</v>
      </c>
      <c r="P368" s="4">
        <v>0.1</v>
      </c>
      <c r="Q368" t="s">
        <v>51</v>
      </c>
      <c r="R368" s="4">
        <f t="shared" si="5"/>
        <v>0.14512096477682182</v>
      </c>
    </row>
    <row r="369" spans="1:18" x14ac:dyDescent="0.25">
      <c r="A369">
        <v>1823</v>
      </c>
      <c r="B369" s="1">
        <v>45196</v>
      </c>
      <c r="C369" t="s">
        <v>164</v>
      </c>
      <c r="D369" t="s">
        <v>25</v>
      </c>
      <c r="E369" t="s">
        <v>53</v>
      </c>
      <c r="F369" t="s">
        <v>19</v>
      </c>
      <c r="G369" t="s">
        <v>41</v>
      </c>
      <c r="H369" t="s">
        <v>46</v>
      </c>
      <c r="I369" t="s">
        <v>102</v>
      </c>
      <c r="J369">
        <v>10</v>
      </c>
      <c r="K369" s="3">
        <v>101.96</v>
      </c>
      <c r="L369" s="2">
        <v>58.78</v>
      </c>
      <c r="M369" s="2">
        <f>Table1[[#This Row],[UnitPrice]]*Table1[[#This Row],[Quantity]]</f>
        <v>1019.5999999999999</v>
      </c>
      <c r="N369" s="2">
        <f>Table1[[#This Row],[CostPrice]]*Table1[[#This Row],[Quantity]]</f>
        <v>587.79999999999995</v>
      </c>
      <c r="O369" s="2">
        <v>136.12</v>
      </c>
      <c r="P369" s="4">
        <v>0.28999999999999998</v>
      </c>
      <c r="Q369" t="s">
        <v>75</v>
      </c>
      <c r="R369" s="4">
        <f t="shared" si="5"/>
        <v>0.13350333464103573</v>
      </c>
    </row>
    <row r="370" spans="1:18" x14ac:dyDescent="0.25">
      <c r="A370">
        <v>1782</v>
      </c>
      <c r="B370" s="1">
        <v>45197</v>
      </c>
      <c r="C370" t="s">
        <v>137</v>
      </c>
      <c r="D370" t="s">
        <v>32</v>
      </c>
      <c r="E370" t="s">
        <v>18</v>
      </c>
      <c r="F370" t="s">
        <v>40</v>
      </c>
      <c r="G370" t="s">
        <v>20</v>
      </c>
      <c r="H370" t="s">
        <v>113</v>
      </c>
      <c r="I370" t="s">
        <v>114</v>
      </c>
      <c r="J370">
        <v>6</v>
      </c>
      <c r="K370" s="3">
        <v>223.18</v>
      </c>
      <c r="L370" s="2">
        <v>186.99</v>
      </c>
      <c r="M370" s="2">
        <f>Table1[[#This Row],[UnitPrice]]*Table1[[#This Row],[Quantity]]</f>
        <v>1339.08</v>
      </c>
      <c r="N370" s="2">
        <f>Table1[[#This Row],[CostPrice]]*Table1[[#This Row],[Quantity]]</f>
        <v>1121.94</v>
      </c>
      <c r="O370" s="2">
        <v>150.19</v>
      </c>
      <c r="P370" s="4">
        <v>0.05</v>
      </c>
      <c r="Q370" t="s">
        <v>51</v>
      </c>
      <c r="R370" s="4">
        <f t="shared" si="5"/>
        <v>0.1121590943035517</v>
      </c>
    </row>
    <row r="371" spans="1:18" x14ac:dyDescent="0.25">
      <c r="A371">
        <v>1252</v>
      </c>
      <c r="B371" s="1">
        <v>45198</v>
      </c>
      <c r="C371" t="s">
        <v>45</v>
      </c>
      <c r="D371" t="s">
        <v>25</v>
      </c>
      <c r="E371" t="s">
        <v>26</v>
      </c>
      <c r="F371" t="s">
        <v>40</v>
      </c>
      <c r="G371" t="s">
        <v>41</v>
      </c>
      <c r="H371" t="s">
        <v>63</v>
      </c>
      <c r="I371" t="s">
        <v>64</v>
      </c>
      <c r="J371">
        <v>1</v>
      </c>
      <c r="K371" s="3">
        <v>218.95</v>
      </c>
      <c r="L371" s="2">
        <v>175.12</v>
      </c>
      <c r="M371" s="2">
        <f>Table1[[#This Row],[UnitPrice]]*Table1[[#This Row],[Quantity]]</f>
        <v>218.95</v>
      </c>
      <c r="N371" s="2">
        <f>Table1[[#This Row],[CostPrice]]*Table1[[#This Row],[Quantity]]</f>
        <v>175.12</v>
      </c>
      <c r="O371" s="2">
        <v>35.07</v>
      </c>
      <c r="P371" s="4">
        <v>0.04</v>
      </c>
      <c r="Q371" t="s">
        <v>23</v>
      </c>
      <c r="R371" s="4">
        <f t="shared" si="5"/>
        <v>0.16017355560630281</v>
      </c>
    </row>
    <row r="372" spans="1:18" x14ac:dyDescent="0.25">
      <c r="A372">
        <v>1272</v>
      </c>
      <c r="B372" s="1">
        <v>45198</v>
      </c>
      <c r="C372" t="s">
        <v>235</v>
      </c>
      <c r="D372" t="s">
        <v>32</v>
      </c>
      <c r="E372" t="s">
        <v>26</v>
      </c>
      <c r="F372" t="s">
        <v>34</v>
      </c>
      <c r="G372" t="s">
        <v>20</v>
      </c>
      <c r="H372" t="s">
        <v>28</v>
      </c>
      <c r="I372" t="s">
        <v>61</v>
      </c>
      <c r="J372">
        <v>3</v>
      </c>
      <c r="K372" s="3">
        <v>59.23</v>
      </c>
      <c r="L372" s="2">
        <v>29.69</v>
      </c>
      <c r="M372" s="2">
        <f>Table1[[#This Row],[UnitPrice]]*Table1[[#This Row],[Quantity]]</f>
        <v>177.69</v>
      </c>
      <c r="N372" s="2">
        <f>Table1[[#This Row],[CostPrice]]*Table1[[#This Row],[Quantity]]</f>
        <v>89.070000000000007</v>
      </c>
      <c r="O372" s="2">
        <v>83.29</v>
      </c>
      <c r="P372" s="4">
        <v>0.03</v>
      </c>
      <c r="Q372" t="s">
        <v>125</v>
      </c>
      <c r="R372" s="4">
        <f t="shared" si="5"/>
        <v>0.46873768923405934</v>
      </c>
    </row>
    <row r="373" spans="1:18" x14ac:dyDescent="0.25">
      <c r="A373">
        <v>1132</v>
      </c>
      <c r="B373" s="1">
        <v>44936</v>
      </c>
      <c r="C373" t="s">
        <v>183</v>
      </c>
      <c r="D373" t="s">
        <v>17</v>
      </c>
      <c r="E373" t="s">
        <v>53</v>
      </c>
      <c r="F373" t="s">
        <v>34</v>
      </c>
      <c r="G373" t="s">
        <v>35</v>
      </c>
      <c r="H373" t="s">
        <v>70</v>
      </c>
      <c r="I373" t="s">
        <v>98</v>
      </c>
      <c r="J373">
        <v>9</v>
      </c>
      <c r="K373" s="3">
        <v>297.3</v>
      </c>
      <c r="L373" s="2">
        <v>159.33000000000001</v>
      </c>
      <c r="M373" s="2">
        <f>Table1[[#This Row],[UnitPrice]]*Table1[[#This Row],[Quantity]]</f>
        <v>2675.7000000000003</v>
      </c>
      <c r="N373" s="2">
        <f>Table1[[#This Row],[CostPrice]]*Table1[[#This Row],[Quantity]]</f>
        <v>1433.97</v>
      </c>
      <c r="O373" s="2">
        <v>974.16</v>
      </c>
      <c r="P373" s="4">
        <v>0.1</v>
      </c>
      <c r="Q373" t="s">
        <v>30</v>
      </c>
      <c r="R373" s="4">
        <f t="shared" si="5"/>
        <v>0.36407669021190714</v>
      </c>
    </row>
    <row r="374" spans="1:18" x14ac:dyDescent="0.25">
      <c r="A374">
        <v>1224</v>
      </c>
      <c r="B374" s="1">
        <v>44936</v>
      </c>
      <c r="C374" t="s">
        <v>194</v>
      </c>
      <c r="D374" t="s">
        <v>17</v>
      </c>
      <c r="E374" t="s">
        <v>33</v>
      </c>
      <c r="F374" t="s">
        <v>19</v>
      </c>
      <c r="G374" t="s">
        <v>35</v>
      </c>
      <c r="H374" t="s">
        <v>36</v>
      </c>
      <c r="I374" t="s">
        <v>37</v>
      </c>
      <c r="J374">
        <v>3</v>
      </c>
      <c r="K374" s="3">
        <v>702.92</v>
      </c>
      <c r="L374" s="2">
        <v>384.1</v>
      </c>
      <c r="M374" s="2">
        <f>Table1[[#This Row],[UnitPrice]]*Table1[[#This Row],[Quantity]]</f>
        <v>2108.7599999999998</v>
      </c>
      <c r="N374" s="2">
        <f>Table1[[#This Row],[CostPrice]]*Table1[[#This Row],[Quantity]]</f>
        <v>1152.3000000000002</v>
      </c>
      <c r="O374" s="2">
        <v>872.11</v>
      </c>
      <c r="P374" s="4">
        <v>0.04</v>
      </c>
      <c r="Q374" t="s">
        <v>85</v>
      </c>
      <c r="R374" s="4">
        <f t="shared" si="5"/>
        <v>0.41356531800679075</v>
      </c>
    </row>
    <row r="375" spans="1:18" x14ac:dyDescent="0.25">
      <c r="A375">
        <v>1755</v>
      </c>
      <c r="B375" s="1">
        <v>44936</v>
      </c>
      <c r="C375" t="s">
        <v>131</v>
      </c>
      <c r="D375" t="s">
        <v>17</v>
      </c>
      <c r="E375" t="s">
        <v>18</v>
      </c>
      <c r="F375" t="s">
        <v>19</v>
      </c>
      <c r="G375" t="s">
        <v>41</v>
      </c>
      <c r="H375" t="s">
        <v>63</v>
      </c>
      <c r="I375" t="s">
        <v>117</v>
      </c>
      <c r="J375">
        <v>8</v>
      </c>
      <c r="K375" s="3">
        <v>187.19</v>
      </c>
      <c r="L375" s="2">
        <v>158.21</v>
      </c>
      <c r="M375" s="2">
        <f>Table1[[#This Row],[UnitPrice]]*Table1[[#This Row],[Quantity]]</f>
        <v>1497.52</v>
      </c>
      <c r="N375" s="2">
        <f>Table1[[#This Row],[CostPrice]]*Table1[[#This Row],[Quantity]]</f>
        <v>1265.68</v>
      </c>
      <c r="O375" s="2">
        <v>-127.56</v>
      </c>
      <c r="P375" s="4">
        <v>0.24</v>
      </c>
      <c r="Q375" t="s">
        <v>38</v>
      </c>
      <c r="R375" s="4">
        <f t="shared" si="5"/>
        <v>-8.5180832309418239E-2</v>
      </c>
    </row>
    <row r="376" spans="1:18" x14ac:dyDescent="0.25">
      <c r="A376">
        <v>1840</v>
      </c>
      <c r="B376" s="1">
        <v>44967</v>
      </c>
      <c r="C376" t="s">
        <v>76</v>
      </c>
      <c r="D376" t="s">
        <v>25</v>
      </c>
      <c r="E376" t="s">
        <v>33</v>
      </c>
      <c r="F376" t="s">
        <v>40</v>
      </c>
      <c r="G376" t="s">
        <v>41</v>
      </c>
      <c r="H376" t="s">
        <v>63</v>
      </c>
      <c r="I376" t="s">
        <v>64</v>
      </c>
      <c r="J376">
        <v>5</v>
      </c>
      <c r="K376" s="3">
        <v>469.71</v>
      </c>
      <c r="L376" s="2">
        <v>367.86</v>
      </c>
      <c r="M376" s="2">
        <f>Table1[[#This Row],[UnitPrice]]*Table1[[#This Row],[Quantity]]</f>
        <v>2348.5499999999997</v>
      </c>
      <c r="N376" s="2">
        <f>Table1[[#This Row],[CostPrice]]*Table1[[#This Row],[Quantity]]</f>
        <v>1839.3000000000002</v>
      </c>
      <c r="O376" s="2">
        <v>203.94</v>
      </c>
      <c r="P376" s="4">
        <v>0.13</v>
      </c>
      <c r="Q376" t="s">
        <v>75</v>
      </c>
      <c r="R376" s="4">
        <f t="shared" si="5"/>
        <v>8.6836558727725624E-2</v>
      </c>
    </row>
    <row r="377" spans="1:18" x14ac:dyDescent="0.25">
      <c r="A377">
        <v>1275</v>
      </c>
      <c r="B377" s="1">
        <v>44995</v>
      </c>
      <c r="C377" t="s">
        <v>179</v>
      </c>
      <c r="D377" t="s">
        <v>25</v>
      </c>
      <c r="E377" t="s">
        <v>33</v>
      </c>
      <c r="F377" t="s">
        <v>34</v>
      </c>
      <c r="G377" t="s">
        <v>41</v>
      </c>
      <c r="H377" t="s">
        <v>46</v>
      </c>
      <c r="I377" t="s">
        <v>102</v>
      </c>
      <c r="J377">
        <v>7</v>
      </c>
      <c r="K377" s="3">
        <v>970.85</v>
      </c>
      <c r="L377" s="2">
        <v>685.81</v>
      </c>
      <c r="M377" s="2">
        <f>Table1[[#This Row],[UnitPrice]]*Table1[[#This Row],[Quantity]]</f>
        <v>6795.95</v>
      </c>
      <c r="N377" s="2">
        <f>Table1[[#This Row],[CostPrice]]*Table1[[#This Row],[Quantity]]</f>
        <v>4800.67</v>
      </c>
      <c r="O377" s="2">
        <v>839.97</v>
      </c>
      <c r="P377" s="4">
        <v>0.17</v>
      </c>
      <c r="Q377" t="s">
        <v>75</v>
      </c>
      <c r="R377" s="4">
        <f t="shared" si="5"/>
        <v>0.12359861388032579</v>
      </c>
    </row>
    <row r="378" spans="1:18" x14ac:dyDescent="0.25">
      <c r="A378">
        <v>1434</v>
      </c>
      <c r="B378" s="1">
        <v>45026</v>
      </c>
      <c r="C378" t="s">
        <v>106</v>
      </c>
      <c r="D378" t="s">
        <v>17</v>
      </c>
      <c r="E378" t="s">
        <v>26</v>
      </c>
      <c r="F378" t="s">
        <v>19</v>
      </c>
      <c r="G378" t="s">
        <v>20</v>
      </c>
      <c r="H378" t="s">
        <v>21</v>
      </c>
      <c r="I378" t="s">
        <v>79</v>
      </c>
      <c r="J378">
        <v>10</v>
      </c>
      <c r="K378" s="3">
        <v>492.49</v>
      </c>
      <c r="L378" s="2">
        <v>302.25</v>
      </c>
      <c r="M378" s="2">
        <f>Table1[[#This Row],[UnitPrice]]*Table1[[#This Row],[Quantity]]</f>
        <v>4924.8999999999996</v>
      </c>
      <c r="N378" s="2">
        <f>Table1[[#This Row],[CostPrice]]*Table1[[#This Row],[Quantity]]</f>
        <v>3022.5</v>
      </c>
      <c r="O378" s="2">
        <v>1212.9100000000001</v>
      </c>
      <c r="P378" s="4">
        <v>0.14000000000000001</v>
      </c>
      <c r="Q378" t="s">
        <v>23</v>
      </c>
      <c r="R378" s="4">
        <f t="shared" si="5"/>
        <v>0.24628114276432012</v>
      </c>
    </row>
    <row r="379" spans="1:18" x14ac:dyDescent="0.25">
      <c r="A379">
        <v>1510</v>
      </c>
      <c r="B379" s="1">
        <v>45026</v>
      </c>
      <c r="C379" t="s">
        <v>208</v>
      </c>
      <c r="D379" t="s">
        <v>25</v>
      </c>
      <c r="E379" t="s">
        <v>33</v>
      </c>
      <c r="F379" t="s">
        <v>34</v>
      </c>
      <c r="G379" t="s">
        <v>35</v>
      </c>
      <c r="H379" t="s">
        <v>36</v>
      </c>
      <c r="I379" t="s">
        <v>87</v>
      </c>
      <c r="J379">
        <v>8</v>
      </c>
      <c r="K379" s="3">
        <v>461.29</v>
      </c>
      <c r="L379" s="2">
        <v>258.29000000000002</v>
      </c>
      <c r="M379" s="2">
        <f>Table1[[#This Row],[UnitPrice]]*Table1[[#This Row],[Quantity]]</f>
        <v>3690.32</v>
      </c>
      <c r="N379" s="2">
        <f>Table1[[#This Row],[CostPrice]]*Table1[[#This Row],[Quantity]]</f>
        <v>2066.3200000000002</v>
      </c>
      <c r="O379" s="2">
        <v>1254.97</v>
      </c>
      <c r="P379" s="4">
        <v>0.1</v>
      </c>
      <c r="Q379" t="s">
        <v>30</v>
      </c>
      <c r="R379" s="4">
        <f t="shared" si="5"/>
        <v>0.34007077976977607</v>
      </c>
    </row>
    <row r="380" spans="1:18" x14ac:dyDescent="0.25">
      <c r="A380">
        <v>1819</v>
      </c>
      <c r="B380" s="1">
        <v>45026</v>
      </c>
      <c r="C380" t="s">
        <v>101</v>
      </c>
      <c r="D380" t="s">
        <v>25</v>
      </c>
      <c r="E380" t="s">
        <v>33</v>
      </c>
      <c r="F380" t="s">
        <v>19</v>
      </c>
      <c r="G380" t="s">
        <v>20</v>
      </c>
      <c r="H380" t="s">
        <v>28</v>
      </c>
      <c r="I380" t="s">
        <v>61</v>
      </c>
      <c r="J380">
        <v>2</v>
      </c>
      <c r="K380" s="3">
        <v>301.85000000000002</v>
      </c>
      <c r="L380" s="2">
        <v>226.17</v>
      </c>
      <c r="M380" s="2">
        <f>Table1[[#This Row],[UnitPrice]]*Table1[[#This Row],[Quantity]]</f>
        <v>603.70000000000005</v>
      </c>
      <c r="N380" s="2">
        <f>Table1[[#This Row],[CostPrice]]*Table1[[#This Row],[Quantity]]</f>
        <v>452.34</v>
      </c>
      <c r="O380" s="2">
        <v>-5.6</v>
      </c>
      <c r="P380" s="4">
        <v>0.26</v>
      </c>
      <c r="Q380" t="s">
        <v>38</v>
      </c>
      <c r="R380" s="4">
        <f t="shared" si="5"/>
        <v>-9.2761305284081493E-3</v>
      </c>
    </row>
    <row r="381" spans="1:18" x14ac:dyDescent="0.25">
      <c r="A381">
        <v>1424</v>
      </c>
      <c r="B381" s="1">
        <v>45056</v>
      </c>
      <c r="C381" t="s">
        <v>120</v>
      </c>
      <c r="D381" t="s">
        <v>17</v>
      </c>
      <c r="E381" t="s">
        <v>33</v>
      </c>
      <c r="F381" t="s">
        <v>34</v>
      </c>
      <c r="G381" t="s">
        <v>35</v>
      </c>
      <c r="H381" t="s">
        <v>70</v>
      </c>
      <c r="I381" t="s">
        <v>71</v>
      </c>
      <c r="J381">
        <v>6</v>
      </c>
      <c r="K381" s="3">
        <v>864.96</v>
      </c>
      <c r="L381" s="2">
        <v>438.26</v>
      </c>
      <c r="M381" s="2">
        <f>Table1[[#This Row],[UnitPrice]]*Table1[[#This Row],[Quantity]]</f>
        <v>5189.76</v>
      </c>
      <c r="N381" s="2">
        <f>Table1[[#This Row],[CostPrice]]*Table1[[#This Row],[Quantity]]</f>
        <v>2629.56</v>
      </c>
      <c r="O381" s="2">
        <v>1210.8599999999999</v>
      </c>
      <c r="P381" s="4">
        <v>0.26</v>
      </c>
      <c r="Q381" t="s">
        <v>75</v>
      </c>
      <c r="R381" s="4">
        <f t="shared" si="5"/>
        <v>0.23331714761376246</v>
      </c>
    </row>
    <row r="382" spans="1:18" x14ac:dyDescent="0.25">
      <c r="A382">
        <v>1539</v>
      </c>
      <c r="B382" s="1">
        <v>45056</v>
      </c>
      <c r="C382" t="s">
        <v>175</v>
      </c>
      <c r="D382" t="s">
        <v>17</v>
      </c>
      <c r="E382" t="s">
        <v>18</v>
      </c>
      <c r="F382" t="s">
        <v>34</v>
      </c>
      <c r="G382" t="s">
        <v>41</v>
      </c>
      <c r="H382" t="s">
        <v>63</v>
      </c>
      <c r="I382" t="s">
        <v>117</v>
      </c>
      <c r="J382">
        <v>3</v>
      </c>
      <c r="K382" s="3">
        <v>17.829999999999998</v>
      </c>
      <c r="L382" s="2">
        <v>12.15</v>
      </c>
      <c r="M382" s="2">
        <f>Table1[[#This Row],[UnitPrice]]*Table1[[#This Row],[Quantity]]</f>
        <v>53.489999999999995</v>
      </c>
      <c r="N382" s="2">
        <f>Table1[[#This Row],[CostPrice]]*Table1[[#This Row],[Quantity]]</f>
        <v>36.450000000000003</v>
      </c>
      <c r="O382" s="2">
        <v>11.16</v>
      </c>
      <c r="P382" s="4">
        <v>0.11</v>
      </c>
      <c r="Q382" t="s">
        <v>55</v>
      </c>
      <c r="R382" s="4">
        <f t="shared" si="5"/>
        <v>0.20863712843522156</v>
      </c>
    </row>
    <row r="383" spans="1:18" x14ac:dyDescent="0.25">
      <c r="A383">
        <v>1948</v>
      </c>
      <c r="B383" s="1">
        <v>45087</v>
      </c>
      <c r="C383" t="s">
        <v>60</v>
      </c>
      <c r="D383" t="s">
        <v>32</v>
      </c>
      <c r="E383" t="s">
        <v>53</v>
      </c>
      <c r="F383" t="s">
        <v>19</v>
      </c>
      <c r="G383" t="s">
        <v>41</v>
      </c>
      <c r="H383" t="s">
        <v>46</v>
      </c>
      <c r="I383" t="s">
        <v>47</v>
      </c>
      <c r="J383">
        <v>2</v>
      </c>
      <c r="K383" s="3">
        <v>78.52</v>
      </c>
      <c r="L383" s="2">
        <v>59.11</v>
      </c>
      <c r="M383" s="2">
        <f>Table1[[#This Row],[UnitPrice]]*Table1[[#This Row],[Quantity]]</f>
        <v>157.04</v>
      </c>
      <c r="N383" s="2">
        <f>Table1[[#This Row],[CostPrice]]*Table1[[#This Row],[Quantity]]</f>
        <v>118.22</v>
      </c>
      <c r="O383" s="2">
        <v>2.7</v>
      </c>
      <c r="P383" s="4">
        <v>0.23</v>
      </c>
      <c r="Q383" t="s">
        <v>75</v>
      </c>
      <c r="R383" s="4">
        <f t="shared" si="5"/>
        <v>1.7193071828833419E-2</v>
      </c>
    </row>
    <row r="384" spans="1:18" x14ac:dyDescent="0.25">
      <c r="A384">
        <v>1131</v>
      </c>
      <c r="B384" s="1">
        <v>45117</v>
      </c>
      <c r="C384" t="s">
        <v>182</v>
      </c>
      <c r="D384" t="s">
        <v>32</v>
      </c>
      <c r="E384" t="s">
        <v>53</v>
      </c>
      <c r="F384" t="s">
        <v>27</v>
      </c>
      <c r="G384" t="s">
        <v>41</v>
      </c>
      <c r="H384" t="s">
        <v>46</v>
      </c>
      <c r="I384" t="s">
        <v>57</v>
      </c>
      <c r="J384">
        <v>6</v>
      </c>
      <c r="K384" s="3">
        <v>973.85</v>
      </c>
      <c r="L384" s="2">
        <v>656.05</v>
      </c>
      <c r="M384" s="2">
        <f>Table1[[#This Row],[UnitPrice]]*Table1[[#This Row],[Quantity]]</f>
        <v>5843.1</v>
      </c>
      <c r="N384" s="2">
        <f>Table1[[#This Row],[CostPrice]]*Table1[[#This Row],[Quantity]]</f>
        <v>3936.2999999999997</v>
      </c>
      <c r="O384" s="2">
        <v>1030.3399999999999</v>
      </c>
      <c r="P384" s="4">
        <v>0.15</v>
      </c>
      <c r="Q384" t="s">
        <v>38</v>
      </c>
      <c r="R384" s="4">
        <f t="shared" si="5"/>
        <v>0.17633447998493948</v>
      </c>
    </row>
    <row r="385" spans="1:18" x14ac:dyDescent="0.25">
      <c r="A385">
        <v>1057</v>
      </c>
      <c r="B385" s="1">
        <v>45148</v>
      </c>
      <c r="C385" t="s">
        <v>124</v>
      </c>
      <c r="D385" t="s">
        <v>17</v>
      </c>
      <c r="E385" t="s">
        <v>18</v>
      </c>
      <c r="F385" t="s">
        <v>19</v>
      </c>
      <c r="G385" t="s">
        <v>41</v>
      </c>
      <c r="H385" t="s">
        <v>46</v>
      </c>
      <c r="I385" t="s">
        <v>47</v>
      </c>
      <c r="J385">
        <v>1</v>
      </c>
      <c r="K385" s="3">
        <v>576.19000000000005</v>
      </c>
      <c r="L385" s="2">
        <v>382.76</v>
      </c>
      <c r="M385" s="2">
        <f>Table1[[#This Row],[UnitPrice]]*Table1[[#This Row],[Quantity]]</f>
        <v>576.19000000000005</v>
      </c>
      <c r="N385" s="2">
        <f>Table1[[#This Row],[CostPrice]]*Table1[[#This Row],[Quantity]]</f>
        <v>382.76</v>
      </c>
      <c r="O385" s="2">
        <v>118.53</v>
      </c>
      <c r="P385" s="4">
        <v>0.13</v>
      </c>
      <c r="Q385" t="s">
        <v>92</v>
      </c>
      <c r="R385" s="4">
        <f t="shared" si="5"/>
        <v>0.20571339315156456</v>
      </c>
    </row>
    <row r="386" spans="1:18" x14ac:dyDescent="0.25">
      <c r="A386">
        <v>1459</v>
      </c>
      <c r="B386" s="1">
        <v>45148</v>
      </c>
      <c r="C386" t="s">
        <v>16</v>
      </c>
      <c r="D386" t="s">
        <v>17</v>
      </c>
      <c r="E386" t="s">
        <v>33</v>
      </c>
      <c r="F386" t="s">
        <v>19</v>
      </c>
      <c r="G386" t="s">
        <v>41</v>
      </c>
      <c r="H386" t="s">
        <v>46</v>
      </c>
      <c r="I386" t="s">
        <v>102</v>
      </c>
      <c r="J386">
        <v>6</v>
      </c>
      <c r="K386" s="3">
        <v>274.7</v>
      </c>
      <c r="L386" s="2">
        <v>228.04</v>
      </c>
      <c r="M386" s="2">
        <f>Table1[[#This Row],[UnitPrice]]*Table1[[#This Row],[Quantity]]</f>
        <v>1648.1999999999998</v>
      </c>
      <c r="N386" s="2">
        <f>Table1[[#This Row],[CostPrice]]*Table1[[#This Row],[Quantity]]</f>
        <v>1368.24</v>
      </c>
      <c r="O386" s="2">
        <v>-115.61</v>
      </c>
      <c r="P386" s="4">
        <v>0.24</v>
      </c>
      <c r="Q386" t="s">
        <v>125</v>
      </c>
      <c r="R386" s="4">
        <f t="shared" ref="R386:R449" si="6">O386/M386</f>
        <v>-7.0143186506491942E-2</v>
      </c>
    </row>
    <row r="387" spans="1:18" x14ac:dyDescent="0.25">
      <c r="A387">
        <v>1654</v>
      </c>
      <c r="B387" s="1">
        <v>45148</v>
      </c>
      <c r="C387" t="s">
        <v>110</v>
      </c>
      <c r="D387" t="s">
        <v>17</v>
      </c>
      <c r="E387" t="s">
        <v>33</v>
      </c>
      <c r="F387" t="s">
        <v>40</v>
      </c>
      <c r="G387" t="s">
        <v>41</v>
      </c>
      <c r="H387" t="s">
        <v>63</v>
      </c>
      <c r="I387" t="s">
        <v>117</v>
      </c>
      <c r="J387">
        <v>1</v>
      </c>
      <c r="K387" s="3">
        <v>938.2</v>
      </c>
      <c r="L387" s="2">
        <v>679.57</v>
      </c>
      <c r="M387" s="2">
        <f>Table1[[#This Row],[UnitPrice]]*Table1[[#This Row],[Quantity]]</f>
        <v>938.2</v>
      </c>
      <c r="N387" s="2">
        <f>Table1[[#This Row],[CostPrice]]*Table1[[#This Row],[Quantity]]</f>
        <v>679.57</v>
      </c>
      <c r="O387" s="2">
        <v>-4.07</v>
      </c>
      <c r="P387" s="4">
        <v>0.28000000000000003</v>
      </c>
      <c r="Q387" t="s">
        <v>51</v>
      </c>
      <c r="R387" s="4">
        <f t="shared" si="6"/>
        <v>-4.3380942229801749E-3</v>
      </c>
    </row>
    <row r="388" spans="1:18" x14ac:dyDescent="0.25">
      <c r="A388">
        <v>1734</v>
      </c>
      <c r="B388" s="1">
        <v>45148</v>
      </c>
      <c r="C388" t="s">
        <v>94</v>
      </c>
      <c r="D388" t="s">
        <v>17</v>
      </c>
      <c r="E388" t="s">
        <v>53</v>
      </c>
      <c r="F388" t="s">
        <v>19</v>
      </c>
      <c r="G388" t="s">
        <v>35</v>
      </c>
      <c r="H388" t="s">
        <v>49</v>
      </c>
      <c r="I388" t="s">
        <v>59</v>
      </c>
      <c r="J388">
        <v>7</v>
      </c>
      <c r="K388" s="3">
        <v>63.52</v>
      </c>
      <c r="L388" s="2">
        <v>49.77</v>
      </c>
      <c r="M388" s="2">
        <f>Table1[[#This Row],[UnitPrice]]*Table1[[#This Row],[Quantity]]</f>
        <v>444.64000000000004</v>
      </c>
      <c r="N388" s="2">
        <f>Table1[[#This Row],[CostPrice]]*Table1[[#This Row],[Quantity]]</f>
        <v>348.39000000000004</v>
      </c>
      <c r="O388" s="2">
        <v>74.02</v>
      </c>
      <c r="P388" s="4">
        <v>0.05</v>
      </c>
      <c r="Q388" t="s">
        <v>23</v>
      </c>
      <c r="R388" s="4">
        <f t="shared" si="6"/>
        <v>0.16647175242893125</v>
      </c>
    </row>
    <row r="389" spans="1:18" x14ac:dyDescent="0.25">
      <c r="A389">
        <v>1752</v>
      </c>
      <c r="B389" s="1">
        <v>45148</v>
      </c>
      <c r="C389" t="s">
        <v>273</v>
      </c>
      <c r="D389" t="s">
        <v>32</v>
      </c>
      <c r="E389" t="s">
        <v>26</v>
      </c>
      <c r="F389" t="s">
        <v>27</v>
      </c>
      <c r="G389" t="s">
        <v>20</v>
      </c>
      <c r="H389" t="s">
        <v>21</v>
      </c>
      <c r="I389" t="s">
        <v>132</v>
      </c>
      <c r="J389">
        <v>9</v>
      </c>
      <c r="K389" s="3">
        <v>729.69</v>
      </c>
      <c r="L389" s="2">
        <v>443.14</v>
      </c>
      <c r="M389" s="2">
        <f>Table1[[#This Row],[UnitPrice]]*Table1[[#This Row],[Quantity]]</f>
        <v>6567.2100000000009</v>
      </c>
      <c r="N389" s="2">
        <f>Table1[[#This Row],[CostPrice]]*Table1[[#This Row],[Quantity]]</f>
        <v>3988.2599999999998</v>
      </c>
      <c r="O389" s="2">
        <v>937.15</v>
      </c>
      <c r="P389" s="4">
        <v>0.25</v>
      </c>
      <c r="Q389" t="s">
        <v>55</v>
      </c>
      <c r="R389" s="4">
        <f t="shared" si="6"/>
        <v>0.14270139069711488</v>
      </c>
    </row>
    <row r="390" spans="1:18" x14ac:dyDescent="0.25">
      <c r="A390">
        <v>1081</v>
      </c>
      <c r="B390" s="1">
        <v>45179</v>
      </c>
      <c r="C390" t="s">
        <v>127</v>
      </c>
      <c r="D390" t="s">
        <v>17</v>
      </c>
      <c r="E390" t="s">
        <v>33</v>
      </c>
      <c r="F390" t="s">
        <v>27</v>
      </c>
      <c r="G390" t="s">
        <v>35</v>
      </c>
      <c r="H390" t="s">
        <v>36</v>
      </c>
      <c r="I390" t="s">
        <v>100</v>
      </c>
      <c r="J390">
        <v>6</v>
      </c>
      <c r="K390" s="3">
        <v>222.91</v>
      </c>
      <c r="L390" s="2">
        <v>126.29</v>
      </c>
      <c r="M390" s="2">
        <f>Table1[[#This Row],[UnitPrice]]*Table1[[#This Row],[Quantity]]</f>
        <v>1337.46</v>
      </c>
      <c r="N390" s="2">
        <f>Table1[[#This Row],[CostPrice]]*Table1[[#This Row],[Quantity]]</f>
        <v>757.74</v>
      </c>
      <c r="O390" s="2">
        <v>472.72</v>
      </c>
      <c r="P390" s="4">
        <v>0.08</v>
      </c>
      <c r="Q390" t="s">
        <v>92</v>
      </c>
      <c r="R390" s="4">
        <f t="shared" si="6"/>
        <v>0.35344608436887831</v>
      </c>
    </row>
    <row r="391" spans="1:18" x14ac:dyDescent="0.25">
      <c r="A391">
        <v>1134</v>
      </c>
      <c r="B391" s="1">
        <v>45179</v>
      </c>
      <c r="C391" t="s">
        <v>172</v>
      </c>
      <c r="D391" t="s">
        <v>25</v>
      </c>
      <c r="E391" t="s">
        <v>33</v>
      </c>
      <c r="F391" t="s">
        <v>27</v>
      </c>
      <c r="G391" t="s">
        <v>35</v>
      </c>
      <c r="H391" t="s">
        <v>70</v>
      </c>
      <c r="I391" t="s">
        <v>84</v>
      </c>
      <c r="J391">
        <v>3</v>
      </c>
      <c r="K391" s="3">
        <v>953.03</v>
      </c>
      <c r="L391" s="2">
        <v>524.14</v>
      </c>
      <c r="M391" s="2">
        <f>Table1[[#This Row],[UnitPrice]]*Table1[[#This Row],[Quantity]]</f>
        <v>2859.09</v>
      </c>
      <c r="N391" s="2">
        <f>Table1[[#This Row],[CostPrice]]*Table1[[#This Row],[Quantity]]</f>
        <v>1572.42</v>
      </c>
      <c r="O391" s="2">
        <v>772.03</v>
      </c>
      <c r="P391" s="4">
        <v>0.18</v>
      </c>
      <c r="Q391" t="s">
        <v>55</v>
      </c>
      <c r="R391" s="4">
        <f t="shared" si="6"/>
        <v>0.2700264769559545</v>
      </c>
    </row>
    <row r="392" spans="1:18" x14ac:dyDescent="0.25">
      <c r="A392">
        <v>1847</v>
      </c>
      <c r="B392" s="1">
        <v>45179</v>
      </c>
      <c r="C392" t="s">
        <v>225</v>
      </c>
      <c r="D392" t="s">
        <v>25</v>
      </c>
      <c r="E392" t="s">
        <v>53</v>
      </c>
      <c r="F392" t="s">
        <v>19</v>
      </c>
      <c r="G392" t="s">
        <v>41</v>
      </c>
      <c r="H392" t="s">
        <v>46</v>
      </c>
      <c r="I392" t="s">
        <v>102</v>
      </c>
      <c r="J392">
        <v>7</v>
      </c>
      <c r="K392" s="3">
        <v>240.24</v>
      </c>
      <c r="L392" s="2">
        <v>121.91</v>
      </c>
      <c r="M392" s="2">
        <f>Table1[[#This Row],[UnitPrice]]*Table1[[#This Row],[Quantity]]</f>
        <v>1681.68</v>
      </c>
      <c r="N392" s="2">
        <f>Table1[[#This Row],[CostPrice]]*Table1[[#This Row],[Quantity]]</f>
        <v>853.37</v>
      </c>
      <c r="O392" s="2">
        <v>811.49</v>
      </c>
      <c r="P392" s="4">
        <v>0.01</v>
      </c>
      <c r="Q392" t="s">
        <v>125</v>
      </c>
      <c r="R392" s="4">
        <f t="shared" si="6"/>
        <v>0.48254721469007184</v>
      </c>
    </row>
    <row r="393" spans="1:18" x14ac:dyDescent="0.25">
      <c r="A393">
        <v>1915</v>
      </c>
      <c r="B393" s="1">
        <v>45209</v>
      </c>
      <c r="C393" t="s">
        <v>95</v>
      </c>
      <c r="D393" t="s">
        <v>32</v>
      </c>
      <c r="E393" t="s">
        <v>26</v>
      </c>
      <c r="F393" t="s">
        <v>19</v>
      </c>
      <c r="G393" t="s">
        <v>41</v>
      </c>
      <c r="H393" t="s">
        <v>42</v>
      </c>
      <c r="I393" t="s">
        <v>77</v>
      </c>
      <c r="J393">
        <v>10</v>
      </c>
      <c r="K393" s="3">
        <v>657.7</v>
      </c>
      <c r="L393" s="2">
        <v>382.41</v>
      </c>
      <c r="M393" s="2">
        <f>Table1[[#This Row],[UnitPrice]]*Table1[[#This Row],[Quantity]]</f>
        <v>6577</v>
      </c>
      <c r="N393" s="2">
        <f>Table1[[#This Row],[CostPrice]]*Table1[[#This Row],[Quantity]]</f>
        <v>3824.1000000000004</v>
      </c>
      <c r="O393" s="2">
        <v>1437.5</v>
      </c>
      <c r="P393" s="4">
        <v>0.2</v>
      </c>
      <c r="Q393" t="s">
        <v>92</v>
      </c>
      <c r="R393" s="4">
        <f t="shared" si="6"/>
        <v>0.21856469514976434</v>
      </c>
    </row>
    <row r="394" spans="1:18" x14ac:dyDescent="0.25">
      <c r="A394">
        <v>1887</v>
      </c>
      <c r="B394" s="1">
        <v>45212</v>
      </c>
      <c r="C394" t="s">
        <v>167</v>
      </c>
      <c r="D394" t="s">
        <v>17</v>
      </c>
      <c r="E394" t="s">
        <v>18</v>
      </c>
      <c r="F394" t="s">
        <v>27</v>
      </c>
      <c r="G394" t="s">
        <v>20</v>
      </c>
      <c r="H394" t="s">
        <v>113</v>
      </c>
      <c r="I394" t="s">
        <v>153</v>
      </c>
      <c r="J394">
        <v>7</v>
      </c>
      <c r="K394" s="3">
        <v>962.74</v>
      </c>
      <c r="L394" s="2">
        <v>685.51</v>
      </c>
      <c r="M394" s="2">
        <f>Table1[[#This Row],[UnitPrice]]*Table1[[#This Row],[Quantity]]</f>
        <v>6739.18</v>
      </c>
      <c r="N394" s="2">
        <f>Table1[[#This Row],[CostPrice]]*Table1[[#This Row],[Quantity]]</f>
        <v>4798.57</v>
      </c>
      <c r="O394" s="2">
        <v>1603.65</v>
      </c>
      <c r="P394" s="4">
        <v>0.05</v>
      </c>
      <c r="Q394" t="s">
        <v>38</v>
      </c>
      <c r="R394" s="4">
        <f t="shared" si="6"/>
        <v>0.23795921759027064</v>
      </c>
    </row>
    <row r="395" spans="1:18" x14ac:dyDescent="0.25">
      <c r="A395">
        <v>1805</v>
      </c>
      <c r="B395" s="1">
        <v>45215</v>
      </c>
      <c r="C395" t="s">
        <v>285</v>
      </c>
      <c r="D395" t="s">
        <v>25</v>
      </c>
      <c r="E395" t="s">
        <v>33</v>
      </c>
      <c r="F395" t="s">
        <v>19</v>
      </c>
      <c r="G395" t="s">
        <v>41</v>
      </c>
      <c r="H395" t="s">
        <v>42</v>
      </c>
      <c r="I395" t="s">
        <v>68</v>
      </c>
      <c r="J395">
        <v>4</v>
      </c>
      <c r="K395" s="3">
        <v>553.92999999999995</v>
      </c>
      <c r="L395" s="2">
        <v>400.73</v>
      </c>
      <c r="M395" s="2">
        <f>Table1[[#This Row],[UnitPrice]]*Table1[[#This Row],[Quantity]]</f>
        <v>2215.7199999999998</v>
      </c>
      <c r="N395" s="2">
        <f>Table1[[#This Row],[CostPrice]]*Table1[[#This Row],[Quantity]]</f>
        <v>1602.92</v>
      </c>
      <c r="O395" s="2">
        <v>590.64</v>
      </c>
      <c r="P395" s="4">
        <v>0.01</v>
      </c>
      <c r="Q395" t="s">
        <v>30</v>
      </c>
      <c r="R395" s="4">
        <f t="shared" si="6"/>
        <v>0.26656797790334519</v>
      </c>
    </row>
    <row r="396" spans="1:18" x14ac:dyDescent="0.25">
      <c r="A396">
        <v>1464</v>
      </c>
      <c r="B396" s="1">
        <v>45216</v>
      </c>
      <c r="C396" t="s">
        <v>259</v>
      </c>
      <c r="D396" t="s">
        <v>17</v>
      </c>
      <c r="E396" t="s">
        <v>26</v>
      </c>
      <c r="F396" t="s">
        <v>34</v>
      </c>
      <c r="G396" t="s">
        <v>35</v>
      </c>
      <c r="H396" t="s">
        <v>70</v>
      </c>
      <c r="I396" t="s">
        <v>98</v>
      </c>
      <c r="J396">
        <v>6</v>
      </c>
      <c r="K396" s="3">
        <v>558.37</v>
      </c>
      <c r="L396" s="2">
        <v>293.05</v>
      </c>
      <c r="M396" s="2">
        <f>Table1[[#This Row],[UnitPrice]]*Table1[[#This Row],[Quantity]]</f>
        <v>3350.2200000000003</v>
      </c>
      <c r="N396" s="2">
        <f>Table1[[#This Row],[CostPrice]]*Table1[[#This Row],[Quantity]]</f>
        <v>1758.3000000000002</v>
      </c>
      <c r="O396" s="2">
        <v>1290.4000000000001</v>
      </c>
      <c r="P396" s="4">
        <v>0.09</v>
      </c>
      <c r="Q396" t="s">
        <v>55</v>
      </c>
      <c r="R396" s="4">
        <f t="shared" si="6"/>
        <v>0.38516873518753991</v>
      </c>
    </row>
    <row r="397" spans="1:18" x14ac:dyDescent="0.25">
      <c r="A397">
        <v>1938</v>
      </c>
      <c r="B397" s="1">
        <v>45216</v>
      </c>
      <c r="C397" t="s">
        <v>115</v>
      </c>
      <c r="D397" t="s">
        <v>17</v>
      </c>
      <c r="E397" t="s">
        <v>33</v>
      </c>
      <c r="F397" t="s">
        <v>19</v>
      </c>
      <c r="G397" t="s">
        <v>20</v>
      </c>
      <c r="H397" t="s">
        <v>28</v>
      </c>
      <c r="I397" t="s">
        <v>90</v>
      </c>
      <c r="J397">
        <v>8</v>
      </c>
      <c r="K397" s="3">
        <v>559.95000000000005</v>
      </c>
      <c r="L397" s="2">
        <v>320.85000000000002</v>
      </c>
      <c r="M397" s="2">
        <f>Table1[[#This Row],[UnitPrice]]*Table1[[#This Row],[Quantity]]</f>
        <v>4479.6000000000004</v>
      </c>
      <c r="N397" s="2">
        <f>Table1[[#This Row],[CostPrice]]*Table1[[#This Row],[Quantity]]</f>
        <v>2566.8000000000002</v>
      </c>
      <c r="O397" s="2">
        <v>1688.82</v>
      </c>
      <c r="P397" s="4">
        <v>0.05</v>
      </c>
      <c r="Q397" t="s">
        <v>75</v>
      </c>
      <c r="R397" s="4">
        <f t="shared" si="6"/>
        <v>0.37700241092954723</v>
      </c>
    </row>
    <row r="398" spans="1:18" x14ac:dyDescent="0.25">
      <c r="A398">
        <v>1143</v>
      </c>
      <c r="B398" s="1">
        <v>45217</v>
      </c>
      <c r="C398" t="s">
        <v>45</v>
      </c>
      <c r="D398" t="s">
        <v>32</v>
      </c>
      <c r="E398" t="s">
        <v>26</v>
      </c>
      <c r="F398" t="s">
        <v>40</v>
      </c>
      <c r="G398" t="s">
        <v>20</v>
      </c>
      <c r="H398" t="s">
        <v>113</v>
      </c>
      <c r="I398" t="s">
        <v>153</v>
      </c>
      <c r="J398">
        <v>10</v>
      </c>
      <c r="K398" s="3">
        <v>535.80999999999995</v>
      </c>
      <c r="L398" s="2">
        <v>362.15</v>
      </c>
      <c r="M398" s="2">
        <f>Table1[[#This Row],[UnitPrice]]*Table1[[#This Row],[Quantity]]</f>
        <v>5358.0999999999995</v>
      </c>
      <c r="N398" s="2">
        <f>Table1[[#This Row],[CostPrice]]*Table1[[#This Row],[Quantity]]</f>
        <v>3621.5</v>
      </c>
      <c r="O398" s="2">
        <v>1468.69</v>
      </c>
      <c r="P398" s="4">
        <v>0.05</v>
      </c>
      <c r="Q398" t="s">
        <v>125</v>
      </c>
      <c r="R398" s="4">
        <f t="shared" si="6"/>
        <v>0.27410649297325546</v>
      </c>
    </row>
    <row r="399" spans="1:18" x14ac:dyDescent="0.25">
      <c r="A399">
        <v>1625</v>
      </c>
      <c r="B399" s="1">
        <v>45217</v>
      </c>
      <c r="C399" t="s">
        <v>236</v>
      </c>
      <c r="D399" t="s">
        <v>17</v>
      </c>
      <c r="E399" t="s">
        <v>18</v>
      </c>
      <c r="F399" t="s">
        <v>40</v>
      </c>
      <c r="G399" t="s">
        <v>41</v>
      </c>
      <c r="H399" t="s">
        <v>42</v>
      </c>
      <c r="I399" t="s">
        <v>77</v>
      </c>
      <c r="J399">
        <v>1</v>
      </c>
      <c r="K399" s="3">
        <v>890.87</v>
      </c>
      <c r="L399" s="2">
        <v>613.79</v>
      </c>
      <c r="M399" s="2">
        <f>Table1[[#This Row],[UnitPrice]]*Table1[[#This Row],[Quantity]]</f>
        <v>890.87</v>
      </c>
      <c r="N399" s="2">
        <f>Table1[[#This Row],[CostPrice]]*Table1[[#This Row],[Quantity]]</f>
        <v>613.79</v>
      </c>
      <c r="O399" s="2">
        <v>205.81</v>
      </c>
      <c r="P399" s="4">
        <v>0.08</v>
      </c>
      <c r="Q399" t="s">
        <v>30</v>
      </c>
      <c r="R399" s="4">
        <f t="shared" si="6"/>
        <v>0.23102136114135621</v>
      </c>
    </row>
    <row r="400" spans="1:18" x14ac:dyDescent="0.25">
      <c r="A400">
        <v>1019</v>
      </c>
      <c r="B400" s="1">
        <v>45219</v>
      </c>
      <c r="C400" t="s">
        <v>80</v>
      </c>
      <c r="D400" t="s">
        <v>17</v>
      </c>
      <c r="E400" t="s">
        <v>53</v>
      </c>
      <c r="F400" t="s">
        <v>19</v>
      </c>
      <c r="G400" t="s">
        <v>20</v>
      </c>
      <c r="H400" t="s">
        <v>28</v>
      </c>
      <c r="I400" t="s">
        <v>81</v>
      </c>
      <c r="J400">
        <v>1</v>
      </c>
      <c r="K400" s="3">
        <v>581.28</v>
      </c>
      <c r="L400" s="2">
        <v>400.95</v>
      </c>
      <c r="M400" s="2">
        <f>Table1[[#This Row],[UnitPrice]]*Table1[[#This Row],[Quantity]]</f>
        <v>581.28</v>
      </c>
      <c r="N400" s="2">
        <f>Table1[[#This Row],[CostPrice]]*Table1[[#This Row],[Quantity]]</f>
        <v>400.95</v>
      </c>
      <c r="O400" s="2">
        <v>52.45</v>
      </c>
      <c r="P400" s="4">
        <v>0.22</v>
      </c>
      <c r="Q400" t="s">
        <v>51</v>
      </c>
      <c r="R400" s="4">
        <f t="shared" si="6"/>
        <v>9.0231902009358669E-2</v>
      </c>
    </row>
    <row r="401" spans="1:18" x14ac:dyDescent="0.25">
      <c r="A401">
        <v>1756</v>
      </c>
      <c r="B401" s="1">
        <v>45220</v>
      </c>
      <c r="C401" t="s">
        <v>86</v>
      </c>
      <c r="D401" t="s">
        <v>17</v>
      </c>
      <c r="E401" t="s">
        <v>26</v>
      </c>
      <c r="F401" t="s">
        <v>40</v>
      </c>
      <c r="G401" t="s">
        <v>41</v>
      </c>
      <c r="H401" t="s">
        <v>42</v>
      </c>
      <c r="I401" t="s">
        <v>68</v>
      </c>
      <c r="J401">
        <v>7</v>
      </c>
      <c r="K401" s="3">
        <v>771.73</v>
      </c>
      <c r="L401" s="2">
        <v>614.16999999999996</v>
      </c>
      <c r="M401" s="2">
        <f>Table1[[#This Row],[UnitPrice]]*Table1[[#This Row],[Quantity]]</f>
        <v>5402.1100000000006</v>
      </c>
      <c r="N401" s="2">
        <f>Table1[[#This Row],[CostPrice]]*Table1[[#This Row],[Quantity]]</f>
        <v>4299.1899999999996</v>
      </c>
      <c r="O401" s="2">
        <v>76.52</v>
      </c>
      <c r="P401" s="4">
        <v>0.19</v>
      </c>
      <c r="Q401" t="s">
        <v>44</v>
      </c>
      <c r="R401" s="4">
        <f t="shared" si="6"/>
        <v>1.4164835592018673E-2</v>
      </c>
    </row>
    <row r="402" spans="1:18" x14ac:dyDescent="0.25">
      <c r="A402">
        <v>1801</v>
      </c>
      <c r="B402" s="1">
        <v>45220</v>
      </c>
      <c r="C402" t="s">
        <v>109</v>
      </c>
      <c r="D402" t="s">
        <v>25</v>
      </c>
      <c r="E402" t="s">
        <v>33</v>
      </c>
      <c r="F402" t="s">
        <v>19</v>
      </c>
      <c r="G402" t="s">
        <v>41</v>
      </c>
      <c r="H402" t="s">
        <v>42</v>
      </c>
      <c r="I402" t="s">
        <v>77</v>
      </c>
      <c r="J402">
        <v>7</v>
      </c>
      <c r="K402" s="3">
        <v>833.52</v>
      </c>
      <c r="L402" s="2">
        <v>615.11</v>
      </c>
      <c r="M402" s="2">
        <f>Table1[[#This Row],[UnitPrice]]*Table1[[#This Row],[Quantity]]</f>
        <v>5834.6399999999994</v>
      </c>
      <c r="N402" s="2">
        <f>Table1[[#This Row],[CostPrice]]*Table1[[#This Row],[Quantity]]</f>
        <v>4305.7700000000004</v>
      </c>
      <c r="O402" s="2">
        <v>11.86</v>
      </c>
      <c r="P402" s="4">
        <v>0.26</v>
      </c>
      <c r="Q402" t="s">
        <v>38</v>
      </c>
      <c r="R402" s="4">
        <f t="shared" si="6"/>
        <v>2.0326875351349871E-3</v>
      </c>
    </row>
    <row r="403" spans="1:18" x14ac:dyDescent="0.25">
      <c r="A403">
        <v>1422</v>
      </c>
      <c r="B403" s="1">
        <v>45221</v>
      </c>
      <c r="C403" t="s">
        <v>268</v>
      </c>
      <c r="D403" t="s">
        <v>17</v>
      </c>
      <c r="E403" t="s">
        <v>33</v>
      </c>
      <c r="F403" t="s">
        <v>40</v>
      </c>
      <c r="G403" t="s">
        <v>35</v>
      </c>
      <c r="H403" t="s">
        <v>49</v>
      </c>
      <c r="I403" t="s">
        <v>66</v>
      </c>
      <c r="J403">
        <v>6</v>
      </c>
      <c r="K403" s="3">
        <v>212.96</v>
      </c>
      <c r="L403" s="2">
        <v>146.58000000000001</v>
      </c>
      <c r="M403" s="2">
        <f>Table1[[#This Row],[UnitPrice]]*Table1[[#This Row],[Quantity]]</f>
        <v>1277.76</v>
      </c>
      <c r="N403" s="2">
        <f>Table1[[#This Row],[CostPrice]]*Table1[[#This Row],[Quantity]]</f>
        <v>879.48</v>
      </c>
      <c r="O403" s="2">
        <v>321.61</v>
      </c>
      <c r="P403" s="4">
        <v>0.06</v>
      </c>
      <c r="Q403" t="s">
        <v>38</v>
      </c>
      <c r="R403" s="4">
        <f t="shared" si="6"/>
        <v>0.25169828449787129</v>
      </c>
    </row>
    <row r="404" spans="1:18" x14ac:dyDescent="0.25">
      <c r="A404">
        <v>1584</v>
      </c>
      <c r="B404" s="1">
        <v>45221</v>
      </c>
      <c r="C404" t="s">
        <v>140</v>
      </c>
      <c r="D404" t="s">
        <v>32</v>
      </c>
      <c r="E404" t="s">
        <v>26</v>
      </c>
      <c r="F404" t="s">
        <v>27</v>
      </c>
      <c r="G404" t="s">
        <v>20</v>
      </c>
      <c r="H404" t="s">
        <v>113</v>
      </c>
      <c r="I404" t="s">
        <v>114</v>
      </c>
      <c r="J404">
        <v>5</v>
      </c>
      <c r="K404" s="3">
        <v>728.07</v>
      </c>
      <c r="L404" s="2">
        <v>412.29</v>
      </c>
      <c r="M404" s="2">
        <f>Table1[[#This Row],[UnitPrice]]*Table1[[#This Row],[Quantity]]</f>
        <v>3640.3500000000004</v>
      </c>
      <c r="N404" s="2">
        <f>Table1[[#This Row],[CostPrice]]*Table1[[#This Row],[Quantity]]</f>
        <v>2061.4500000000003</v>
      </c>
      <c r="O404" s="2">
        <v>1396.88</v>
      </c>
      <c r="P404" s="4">
        <v>0.05</v>
      </c>
      <c r="Q404" t="s">
        <v>92</v>
      </c>
      <c r="R404" s="4">
        <f t="shared" si="6"/>
        <v>0.38372134547502301</v>
      </c>
    </row>
    <row r="405" spans="1:18" x14ac:dyDescent="0.25">
      <c r="A405">
        <v>1159</v>
      </c>
      <c r="B405" s="1">
        <v>45222</v>
      </c>
      <c r="C405" t="s">
        <v>196</v>
      </c>
      <c r="D405" t="s">
        <v>17</v>
      </c>
      <c r="E405" t="s">
        <v>53</v>
      </c>
      <c r="F405" t="s">
        <v>40</v>
      </c>
      <c r="G405" t="s">
        <v>35</v>
      </c>
      <c r="H405" t="s">
        <v>49</v>
      </c>
      <c r="I405" t="s">
        <v>59</v>
      </c>
      <c r="J405">
        <v>5</v>
      </c>
      <c r="K405" s="3">
        <v>291.35000000000002</v>
      </c>
      <c r="L405" s="2">
        <v>204.15</v>
      </c>
      <c r="M405" s="2">
        <f>Table1[[#This Row],[UnitPrice]]*Table1[[#This Row],[Quantity]]</f>
        <v>1456.75</v>
      </c>
      <c r="N405" s="2">
        <f>Table1[[#This Row],[CostPrice]]*Table1[[#This Row],[Quantity]]</f>
        <v>1020.75</v>
      </c>
      <c r="O405" s="2">
        <v>202.92</v>
      </c>
      <c r="P405" s="4">
        <v>0.16</v>
      </c>
      <c r="Q405" t="s">
        <v>75</v>
      </c>
      <c r="R405" s="4">
        <f t="shared" si="6"/>
        <v>0.13929637892569074</v>
      </c>
    </row>
    <row r="406" spans="1:18" x14ac:dyDescent="0.25">
      <c r="A406">
        <v>1870</v>
      </c>
      <c r="B406" s="1">
        <v>45222</v>
      </c>
      <c r="C406" t="s">
        <v>16</v>
      </c>
      <c r="D406" t="s">
        <v>32</v>
      </c>
      <c r="E406" t="s">
        <v>26</v>
      </c>
      <c r="F406" t="s">
        <v>27</v>
      </c>
      <c r="G406" t="s">
        <v>41</v>
      </c>
      <c r="H406" t="s">
        <v>42</v>
      </c>
      <c r="I406" t="s">
        <v>43</v>
      </c>
      <c r="J406">
        <v>5</v>
      </c>
      <c r="K406" s="3">
        <v>625.67999999999995</v>
      </c>
      <c r="L406" s="2">
        <v>458.32</v>
      </c>
      <c r="M406" s="2">
        <f>Table1[[#This Row],[UnitPrice]]*Table1[[#This Row],[Quantity]]</f>
        <v>3128.3999999999996</v>
      </c>
      <c r="N406" s="2">
        <f>Table1[[#This Row],[CostPrice]]*Table1[[#This Row],[Quantity]]</f>
        <v>2291.6</v>
      </c>
      <c r="O406" s="2">
        <v>555.24</v>
      </c>
      <c r="P406" s="4">
        <v>0.09</v>
      </c>
      <c r="Q406" t="s">
        <v>30</v>
      </c>
      <c r="R406" s="4">
        <f t="shared" si="6"/>
        <v>0.17748369773686232</v>
      </c>
    </row>
    <row r="407" spans="1:18" x14ac:dyDescent="0.25">
      <c r="A407">
        <v>1928</v>
      </c>
      <c r="B407" s="1">
        <v>45223</v>
      </c>
      <c r="C407" t="s">
        <v>173</v>
      </c>
      <c r="D407" t="s">
        <v>17</v>
      </c>
      <c r="E407" t="s">
        <v>26</v>
      </c>
      <c r="F407" t="s">
        <v>19</v>
      </c>
      <c r="G407" t="s">
        <v>41</v>
      </c>
      <c r="H407" t="s">
        <v>63</v>
      </c>
      <c r="I407" t="s">
        <v>64</v>
      </c>
      <c r="J407">
        <v>2</v>
      </c>
      <c r="K407" s="3">
        <v>156.5</v>
      </c>
      <c r="L407" s="2">
        <v>78.680000000000007</v>
      </c>
      <c r="M407" s="2">
        <f>Table1[[#This Row],[UnitPrice]]*Table1[[#This Row],[Quantity]]</f>
        <v>313</v>
      </c>
      <c r="N407" s="2">
        <f>Table1[[#This Row],[CostPrice]]*Table1[[#This Row],[Quantity]]</f>
        <v>157.36000000000001</v>
      </c>
      <c r="O407" s="2">
        <v>99.3</v>
      </c>
      <c r="P407" s="4">
        <v>0.18</v>
      </c>
      <c r="Q407" t="s">
        <v>55</v>
      </c>
      <c r="R407" s="4">
        <f t="shared" si="6"/>
        <v>0.31725239616613415</v>
      </c>
    </row>
    <row r="408" spans="1:18" x14ac:dyDescent="0.25">
      <c r="A408">
        <v>1873</v>
      </c>
      <c r="B408" s="1">
        <v>45224</v>
      </c>
      <c r="C408" t="s">
        <v>178</v>
      </c>
      <c r="D408" t="s">
        <v>32</v>
      </c>
      <c r="E408" t="s">
        <v>18</v>
      </c>
      <c r="F408" t="s">
        <v>19</v>
      </c>
      <c r="G408" t="s">
        <v>41</v>
      </c>
      <c r="H408" t="s">
        <v>63</v>
      </c>
      <c r="I408" t="s">
        <v>117</v>
      </c>
      <c r="J408">
        <v>7</v>
      </c>
      <c r="K408" s="3">
        <v>402.12</v>
      </c>
      <c r="L408" s="2">
        <v>328.31</v>
      </c>
      <c r="M408" s="2">
        <f>Table1[[#This Row],[UnitPrice]]*Table1[[#This Row],[Quantity]]</f>
        <v>2814.84</v>
      </c>
      <c r="N408" s="2">
        <f>Table1[[#This Row],[CostPrice]]*Table1[[#This Row],[Quantity]]</f>
        <v>2298.17</v>
      </c>
      <c r="O408" s="2">
        <v>-243.34</v>
      </c>
      <c r="P408" s="4">
        <v>0.27</v>
      </c>
      <c r="Q408" t="s">
        <v>30</v>
      </c>
      <c r="R408" s="4">
        <f t="shared" si="6"/>
        <v>-8.6448963351380539E-2</v>
      </c>
    </row>
    <row r="409" spans="1:18" x14ac:dyDescent="0.25">
      <c r="A409">
        <v>1522</v>
      </c>
      <c r="B409" s="1">
        <v>45225</v>
      </c>
      <c r="C409" t="s">
        <v>236</v>
      </c>
      <c r="D409" t="s">
        <v>25</v>
      </c>
      <c r="E409" t="s">
        <v>26</v>
      </c>
      <c r="F409" t="s">
        <v>40</v>
      </c>
      <c r="G409" t="s">
        <v>35</v>
      </c>
      <c r="H409" t="s">
        <v>70</v>
      </c>
      <c r="I409" t="s">
        <v>71</v>
      </c>
      <c r="J409">
        <v>6</v>
      </c>
      <c r="K409" s="3">
        <v>488.72</v>
      </c>
      <c r="L409" s="2">
        <v>358.26</v>
      </c>
      <c r="M409" s="2">
        <f>Table1[[#This Row],[UnitPrice]]*Table1[[#This Row],[Quantity]]</f>
        <v>2932.32</v>
      </c>
      <c r="N409" s="2">
        <f>Table1[[#This Row],[CostPrice]]*Table1[[#This Row],[Quantity]]</f>
        <v>2149.56</v>
      </c>
      <c r="O409" s="2">
        <v>313.58999999999997</v>
      </c>
      <c r="P409" s="4">
        <v>0.16</v>
      </c>
      <c r="Q409" t="s">
        <v>38</v>
      </c>
      <c r="R409" s="4">
        <f t="shared" si="6"/>
        <v>0.10694262563431002</v>
      </c>
    </row>
    <row r="410" spans="1:18" x14ac:dyDescent="0.25">
      <c r="A410">
        <v>1220</v>
      </c>
      <c r="B410" s="1">
        <v>45226</v>
      </c>
      <c r="C410" t="s">
        <v>219</v>
      </c>
      <c r="D410" t="s">
        <v>25</v>
      </c>
      <c r="E410" t="s">
        <v>18</v>
      </c>
      <c r="F410" t="s">
        <v>19</v>
      </c>
      <c r="G410" t="s">
        <v>35</v>
      </c>
      <c r="H410" t="s">
        <v>70</v>
      </c>
      <c r="I410" t="s">
        <v>84</v>
      </c>
      <c r="J410">
        <v>8</v>
      </c>
      <c r="K410" s="3">
        <v>551.98</v>
      </c>
      <c r="L410" s="2">
        <v>297.86</v>
      </c>
      <c r="M410" s="2">
        <f>Table1[[#This Row],[UnitPrice]]*Table1[[#This Row],[Quantity]]</f>
        <v>4415.84</v>
      </c>
      <c r="N410" s="2">
        <f>Table1[[#This Row],[CostPrice]]*Table1[[#This Row],[Quantity]]</f>
        <v>2382.88</v>
      </c>
      <c r="O410" s="2">
        <v>1900.48</v>
      </c>
      <c r="P410" s="4">
        <v>0.03</v>
      </c>
      <c r="Q410" t="s">
        <v>38</v>
      </c>
      <c r="R410" s="4">
        <f t="shared" si="6"/>
        <v>0.43037791224319721</v>
      </c>
    </row>
    <row r="411" spans="1:18" x14ac:dyDescent="0.25">
      <c r="A411">
        <v>1391</v>
      </c>
      <c r="B411" s="1">
        <v>45226</v>
      </c>
      <c r="C411" t="s">
        <v>72</v>
      </c>
      <c r="D411" t="s">
        <v>25</v>
      </c>
      <c r="E411" t="s">
        <v>18</v>
      </c>
      <c r="F411" t="s">
        <v>19</v>
      </c>
      <c r="G411" t="s">
        <v>35</v>
      </c>
      <c r="H411" t="s">
        <v>70</v>
      </c>
      <c r="I411" t="s">
        <v>71</v>
      </c>
      <c r="J411">
        <v>7</v>
      </c>
      <c r="K411" s="3">
        <v>253.65</v>
      </c>
      <c r="L411" s="2">
        <v>190.3</v>
      </c>
      <c r="M411" s="2">
        <f>Table1[[#This Row],[UnitPrice]]*Table1[[#This Row],[Quantity]]</f>
        <v>1775.55</v>
      </c>
      <c r="N411" s="2">
        <f>Table1[[#This Row],[CostPrice]]*Table1[[#This Row],[Quantity]]</f>
        <v>1332.1000000000001</v>
      </c>
      <c r="O411" s="2">
        <v>106.1</v>
      </c>
      <c r="P411" s="4">
        <v>0.19</v>
      </c>
      <c r="Q411" t="s">
        <v>75</v>
      </c>
      <c r="R411" s="4">
        <f t="shared" si="6"/>
        <v>5.975613190279068E-2</v>
      </c>
    </row>
    <row r="412" spans="1:18" x14ac:dyDescent="0.25">
      <c r="A412">
        <v>1761</v>
      </c>
      <c r="B412" s="1">
        <v>45227</v>
      </c>
      <c r="C412" t="s">
        <v>163</v>
      </c>
      <c r="D412" t="s">
        <v>25</v>
      </c>
      <c r="E412" t="s">
        <v>53</v>
      </c>
      <c r="F412" t="s">
        <v>19</v>
      </c>
      <c r="G412" t="s">
        <v>35</v>
      </c>
      <c r="H412" t="s">
        <v>70</v>
      </c>
      <c r="I412" t="s">
        <v>84</v>
      </c>
      <c r="J412">
        <v>1</v>
      </c>
      <c r="K412" s="3">
        <v>935.74</v>
      </c>
      <c r="L412" s="2">
        <v>760.17</v>
      </c>
      <c r="M412" s="2">
        <f>Table1[[#This Row],[UnitPrice]]*Table1[[#This Row],[Quantity]]</f>
        <v>935.74</v>
      </c>
      <c r="N412" s="2">
        <f>Table1[[#This Row],[CostPrice]]*Table1[[#This Row],[Quantity]]</f>
        <v>760.17</v>
      </c>
      <c r="O412" s="2">
        <v>-58.36</v>
      </c>
      <c r="P412" s="4">
        <v>0.25</v>
      </c>
      <c r="Q412" t="s">
        <v>51</v>
      </c>
      <c r="R412" s="4">
        <f t="shared" si="6"/>
        <v>-6.2367751725906764E-2</v>
      </c>
    </row>
    <row r="413" spans="1:18" x14ac:dyDescent="0.25">
      <c r="A413">
        <v>1054</v>
      </c>
      <c r="B413" s="1">
        <v>45228</v>
      </c>
      <c r="C413" t="s">
        <v>122</v>
      </c>
      <c r="D413" t="s">
        <v>17</v>
      </c>
      <c r="E413" t="s">
        <v>26</v>
      </c>
      <c r="F413" t="s">
        <v>40</v>
      </c>
      <c r="G413" t="s">
        <v>41</v>
      </c>
      <c r="H413" t="s">
        <v>63</v>
      </c>
      <c r="I413" t="s">
        <v>117</v>
      </c>
      <c r="J413">
        <v>8</v>
      </c>
      <c r="K413" s="3">
        <v>555.71</v>
      </c>
      <c r="L413" s="2">
        <v>344.72</v>
      </c>
      <c r="M413" s="2">
        <f>Table1[[#This Row],[UnitPrice]]*Table1[[#This Row],[Quantity]]</f>
        <v>4445.68</v>
      </c>
      <c r="N413" s="2">
        <f>Table1[[#This Row],[CostPrice]]*Table1[[#This Row],[Quantity]]</f>
        <v>2757.76</v>
      </c>
      <c r="O413" s="2">
        <v>354.22</v>
      </c>
      <c r="P413" s="4">
        <v>0.3</v>
      </c>
      <c r="Q413" t="s">
        <v>38</v>
      </c>
      <c r="R413" s="4">
        <f t="shared" si="6"/>
        <v>7.9677349696784291E-2</v>
      </c>
    </row>
    <row r="414" spans="1:18" x14ac:dyDescent="0.25">
      <c r="A414">
        <v>1328</v>
      </c>
      <c r="B414" s="1">
        <v>45228</v>
      </c>
      <c r="C414" t="s">
        <v>246</v>
      </c>
      <c r="D414" t="s">
        <v>17</v>
      </c>
      <c r="E414" t="s">
        <v>33</v>
      </c>
      <c r="F414" t="s">
        <v>19</v>
      </c>
      <c r="G414" t="s">
        <v>20</v>
      </c>
      <c r="H414" t="s">
        <v>113</v>
      </c>
      <c r="I414" t="s">
        <v>161</v>
      </c>
      <c r="J414">
        <v>2</v>
      </c>
      <c r="K414" s="3">
        <v>380.31</v>
      </c>
      <c r="L414" s="2">
        <v>247.19</v>
      </c>
      <c r="M414" s="2">
        <f>Table1[[#This Row],[UnitPrice]]*Table1[[#This Row],[Quantity]]</f>
        <v>760.62</v>
      </c>
      <c r="N414" s="2">
        <f>Table1[[#This Row],[CostPrice]]*Table1[[#This Row],[Quantity]]</f>
        <v>494.38</v>
      </c>
      <c r="O414" s="2">
        <v>136.93</v>
      </c>
      <c r="P414" s="4">
        <v>0.17</v>
      </c>
      <c r="Q414" t="s">
        <v>92</v>
      </c>
      <c r="R414" s="4">
        <f t="shared" si="6"/>
        <v>0.18002419079172255</v>
      </c>
    </row>
    <row r="415" spans="1:18" x14ac:dyDescent="0.25">
      <c r="A415">
        <v>1177</v>
      </c>
      <c r="B415" s="1">
        <v>44968</v>
      </c>
      <c r="C415" t="s">
        <v>201</v>
      </c>
      <c r="D415" t="s">
        <v>17</v>
      </c>
      <c r="E415" t="s">
        <v>53</v>
      </c>
      <c r="F415" t="s">
        <v>27</v>
      </c>
      <c r="G415" t="s">
        <v>20</v>
      </c>
      <c r="H415" t="s">
        <v>21</v>
      </c>
      <c r="I415" t="s">
        <v>79</v>
      </c>
      <c r="J415">
        <v>6</v>
      </c>
      <c r="K415" s="3">
        <v>159.35</v>
      </c>
      <c r="L415" s="2">
        <v>90.19</v>
      </c>
      <c r="M415" s="2">
        <f>Table1[[#This Row],[UnitPrice]]*Table1[[#This Row],[Quantity]]</f>
        <v>956.09999999999991</v>
      </c>
      <c r="N415" s="2">
        <f>Table1[[#This Row],[CostPrice]]*Table1[[#This Row],[Quantity]]</f>
        <v>541.14</v>
      </c>
      <c r="O415" s="2">
        <v>166.37</v>
      </c>
      <c r="P415" s="4">
        <v>0.26</v>
      </c>
      <c r="Q415" t="s">
        <v>44</v>
      </c>
      <c r="R415" s="4">
        <f t="shared" si="6"/>
        <v>0.17400899487501309</v>
      </c>
    </row>
    <row r="416" spans="1:18" x14ac:dyDescent="0.25">
      <c r="A416">
        <v>1627</v>
      </c>
      <c r="B416" s="1">
        <v>44968</v>
      </c>
      <c r="C416" t="s">
        <v>130</v>
      </c>
      <c r="D416" t="s">
        <v>25</v>
      </c>
      <c r="E416" t="s">
        <v>53</v>
      </c>
      <c r="F416" t="s">
        <v>40</v>
      </c>
      <c r="G416" t="s">
        <v>20</v>
      </c>
      <c r="H416" t="s">
        <v>113</v>
      </c>
      <c r="I416" t="s">
        <v>161</v>
      </c>
      <c r="J416">
        <v>10</v>
      </c>
      <c r="K416" s="3">
        <v>716.07</v>
      </c>
      <c r="L416" s="2">
        <v>593.01</v>
      </c>
      <c r="M416" s="2">
        <f>Table1[[#This Row],[UnitPrice]]*Table1[[#This Row],[Quantity]]</f>
        <v>7160.7000000000007</v>
      </c>
      <c r="N416" s="2">
        <f>Table1[[#This Row],[CostPrice]]*Table1[[#This Row],[Quantity]]</f>
        <v>5930.1</v>
      </c>
      <c r="O416" s="2">
        <v>-201.54</v>
      </c>
      <c r="P416" s="4">
        <v>0.2</v>
      </c>
      <c r="Q416" t="s">
        <v>125</v>
      </c>
      <c r="R416" s="4">
        <f t="shared" si="6"/>
        <v>-2.8145293057941258E-2</v>
      </c>
    </row>
    <row r="417" spans="1:18" x14ac:dyDescent="0.25">
      <c r="A417">
        <v>1743</v>
      </c>
      <c r="B417" s="1">
        <v>44968</v>
      </c>
      <c r="C417" t="s">
        <v>185</v>
      </c>
      <c r="D417" t="s">
        <v>25</v>
      </c>
      <c r="E417" t="s">
        <v>18</v>
      </c>
      <c r="F417" t="s">
        <v>34</v>
      </c>
      <c r="G417" t="s">
        <v>41</v>
      </c>
      <c r="H417" t="s">
        <v>63</v>
      </c>
      <c r="I417" t="s">
        <v>141</v>
      </c>
      <c r="J417">
        <v>7</v>
      </c>
      <c r="K417" s="3">
        <v>813.8</v>
      </c>
      <c r="L417" s="2">
        <v>412.52</v>
      </c>
      <c r="M417" s="2">
        <f>Table1[[#This Row],[UnitPrice]]*Table1[[#This Row],[Quantity]]</f>
        <v>5696.5999999999995</v>
      </c>
      <c r="N417" s="2">
        <f>Table1[[#This Row],[CostPrice]]*Table1[[#This Row],[Quantity]]</f>
        <v>2887.64</v>
      </c>
      <c r="O417" s="2">
        <v>1840.54</v>
      </c>
      <c r="P417" s="4">
        <v>0.17</v>
      </c>
      <c r="Q417" t="s">
        <v>38</v>
      </c>
      <c r="R417" s="4">
        <f t="shared" si="6"/>
        <v>0.32309447740757646</v>
      </c>
    </row>
    <row r="418" spans="1:18" x14ac:dyDescent="0.25">
      <c r="A418">
        <v>1895</v>
      </c>
      <c r="B418" s="1">
        <v>44968</v>
      </c>
      <c r="C418" t="s">
        <v>251</v>
      </c>
      <c r="D418" t="s">
        <v>32</v>
      </c>
      <c r="E418" t="s">
        <v>26</v>
      </c>
      <c r="F418" t="s">
        <v>34</v>
      </c>
      <c r="G418" t="s">
        <v>41</v>
      </c>
      <c r="H418" t="s">
        <v>63</v>
      </c>
      <c r="I418" t="s">
        <v>117</v>
      </c>
      <c r="J418">
        <v>1</v>
      </c>
      <c r="K418" s="3">
        <v>227.9</v>
      </c>
      <c r="L418" s="2">
        <v>188.98</v>
      </c>
      <c r="M418" s="2">
        <f>Table1[[#This Row],[UnitPrice]]*Table1[[#This Row],[Quantity]]</f>
        <v>227.9</v>
      </c>
      <c r="N418" s="2">
        <f>Table1[[#This Row],[CostPrice]]*Table1[[#This Row],[Quantity]]</f>
        <v>188.98</v>
      </c>
      <c r="O418" s="2">
        <v>-24.89</v>
      </c>
      <c r="P418" s="4">
        <v>0.28000000000000003</v>
      </c>
      <c r="Q418" t="s">
        <v>30</v>
      </c>
      <c r="R418" s="4">
        <f t="shared" si="6"/>
        <v>-0.10921456779289161</v>
      </c>
    </row>
    <row r="419" spans="1:18" x14ac:dyDescent="0.25">
      <c r="A419">
        <v>1764</v>
      </c>
      <c r="B419" s="1">
        <v>44996</v>
      </c>
      <c r="C419" t="s">
        <v>223</v>
      </c>
      <c r="D419" t="s">
        <v>25</v>
      </c>
      <c r="E419" t="s">
        <v>18</v>
      </c>
      <c r="F419" t="s">
        <v>34</v>
      </c>
      <c r="G419" t="s">
        <v>35</v>
      </c>
      <c r="H419" t="s">
        <v>70</v>
      </c>
      <c r="I419" t="s">
        <v>71</v>
      </c>
      <c r="J419">
        <v>3</v>
      </c>
      <c r="K419" s="3">
        <v>144.18</v>
      </c>
      <c r="L419" s="2">
        <v>109.79</v>
      </c>
      <c r="M419" s="2">
        <f>Table1[[#This Row],[UnitPrice]]*Table1[[#This Row],[Quantity]]</f>
        <v>432.54</v>
      </c>
      <c r="N419" s="2">
        <f>Table1[[#This Row],[CostPrice]]*Table1[[#This Row],[Quantity]]</f>
        <v>329.37</v>
      </c>
      <c r="O419" s="2">
        <v>103.17</v>
      </c>
      <c r="P419" s="4">
        <v>0</v>
      </c>
      <c r="Q419" t="s">
        <v>23</v>
      </c>
      <c r="R419" s="4">
        <f t="shared" si="6"/>
        <v>0.23852129282840892</v>
      </c>
    </row>
    <row r="420" spans="1:18" x14ac:dyDescent="0.25">
      <c r="A420">
        <v>1182</v>
      </c>
      <c r="B420" s="1">
        <v>45027</v>
      </c>
      <c r="C420" t="s">
        <v>205</v>
      </c>
      <c r="D420" t="s">
        <v>17</v>
      </c>
      <c r="E420" t="s">
        <v>53</v>
      </c>
      <c r="F420" t="s">
        <v>19</v>
      </c>
      <c r="G420" t="s">
        <v>20</v>
      </c>
      <c r="H420" t="s">
        <v>28</v>
      </c>
      <c r="I420" t="s">
        <v>81</v>
      </c>
      <c r="J420">
        <v>8</v>
      </c>
      <c r="K420" s="3">
        <v>915.17</v>
      </c>
      <c r="L420" s="2">
        <v>637.72</v>
      </c>
      <c r="M420" s="2">
        <f>Table1[[#This Row],[UnitPrice]]*Table1[[#This Row],[Quantity]]</f>
        <v>7321.36</v>
      </c>
      <c r="N420" s="2">
        <f>Table1[[#This Row],[CostPrice]]*Table1[[#This Row],[Quantity]]</f>
        <v>5101.76</v>
      </c>
      <c r="O420" s="2">
        <v>96.41</v>
      </c>
      <c r="P420" s="4">
        <v>0.28999999999999998</v>
      </c>
      <c r="Q420" t="s">
        <v>38</v>
      </c>
      <c r="R420" s="4">
        <f t="shared" si="6"/>
        <v>1.3168318454494794E-2</v>
      </c>
    </row>
    <row r="421" spans="1:18" x14ac:dyDescent="0.25">
      <c r="A421">
        <v>1303</v>
      </c>
      <c r="B421" s="1">
        <v>45057</v>
      </c>
      <c r="C421" t="s">
        <v>156</v>
      </c>
      <c r="D421" t="s">
        <v>25</v>
      </c>
      <c r="E421" t="s">
        <v>18</v>
      </c>
      <c r="F421" t="s">
        <v>19</v>
      </c>
      <c r="G421" t="s">
        <v>35</v>
      </c>
      <c r="H421" t="s">
        <v>36</v>
      </c>
      <c r="I421" t="s">
        <v>100</v>
      </c>
      <c r="J421">
        <v>10</v>
      </c>
      <c r="K421" s="3">
        <v>122.15</v>
      </c>
      <c r="L421" s="2">
        <v>65.95</v>
      </c>
      <c r="M421" s="2">
        <f>Table1[[#This Row],[UnitPrice]]*Table1[[#This Row],[Quantity]]</f>
        <v>1221.5</v>
      </c>
      <c r="N421" s="2">
        <f>Table1[[#This Row],[CostPrice]]*Table1[[#This Row],[Quantity]]</f>
        <v>659.5</v>
      </c>
      <c r="O421" s="2">
        <v>525.36</v>
      </c>
      <c r="P421" s="4">
        <v>0.03</v>
      </c>
      <c r="Q421" t="s">
        <v>23</v>
      </c>
      <c r="R421" s="4">
        <f t="shared" si="6"/>
        <v>0.43009414654113798</v>
      </c>
    </row>
    <row r="422" spans="1:18" x14ac:dyDescent="0.25">
      <c r="A422">
        <v>1849</v>
      </c>
      <c r="B422" s="1">
        <v>45057</v>
      </c>
      <c r="C422" t="s">
        <v>255</v>
      </c>
      <c r="D422" t="s">
        <v>32</v>
      </c>
      <c r="E422" t="s">
        <v>53</v>
      </c>
      <c r="F422" t="s">
        <v>34</v>
      </c>
      <c r="G422" t="s">
        <v>41</v>
      </c>
      <c r="H422" t="s">
        <v>46</v>
      </c>
      <c r="I422" t="s">
        <v>57</v>
      </c>
      <c r="J422">
        <v>10</v>
      </c>
      <c r="K422" s="3">
        <v>51.84</v>
      </c>
      <c r="L422" s="2">
        <v>31.33</v>
      </c>
      <c r="M422" s="2">
        <f>Table1[[#This Row],[UnitPrice]]*Table1[[#This Row],[Quantity]]</f>
        <v>518.40000000000009</v>
      </c>
      <c r="N422" s="2">
        <f>Table1[[#This Row],[CostPrice]]*Table1[[#This Row],[Quantity]]</f>
        <v>313.29999999999995</v>
      </c>
      <c r="O422" s="2">
        <v>49.58</v>
      </c>
      <c r="P422" s="4">
        <v>0.3</v>
      </c>
      <c r="Q422" t="s">
        <v>55</v>
      </c>
      <c r="R422" s="4">
        <f t="shared" si="6"/>
        <v>9.564043209876541E-2</v>
      </c>
    </row>
    <row r="423" spans="1:18" x14ac:dyDescent="0.25">
      <c r="A423">
        <v>1880</v>
      </c>
      <c r="B423" s="1">
        <v>45057</v>
      </c>
      <c r="C423" t="s">
        <v>235</v>
      </c>
      <c r="D423" t="s">
        <v>17</v>
      </c>
      <c r="E423" t="s">
        <v>33</v>
      </c>
      <c r="F423" t="s">
        <v>27</v>
      </c>
      <c r="G423" t="s">
        <v>41</v>
      </c>
      <c r="H423" t="s">
        <v>63</v>
      </c>
      <c r="I423" t="s">
        <v>141</v>
      </c>
      <c r="J423">
        <v>2</v>
      </c>
      <c r="K423" s="3">
        <v>71.81</v>
      </c>
      <c r="L423" s="2">
        <v>39.75</v>
      </c>
      <c r="M423" s="2">
        <f>Table1[[#This Row],[UnitPrice]]*Table1[[#This Row],[Quantity]]</f>
        <v>143.62</v>
      </c>
      <c r="N423" s="2">
        <f>Table1[[#This Row],[CostPrice]]*Table1[[#This Row],[Quantity]]</f>
        <v>79.5</v>
      </c>
      <c r="O423" s="2">
        <v>26.78</v>
      </c>
      <c r="P423" s="4">
        <v>0.26</v>
      </c>
      <c r="Q423" t="s">
        <v>38</v>
      </c>
      <c r="R423" s="4">
        <f t="shared" si="6"/>
        <v>0.1864642807408439</v>
      </c>
    </row>
    <row r="424" spans="1:18" x14ac:dyDescent="0.25">
      <c r="A424">
        <v>1455</v>
      </c>
      <c r="B424" s="1">
        <v>45088</v>
      </c>
      <c r="C424" t="s">
        <v>145</v>
      </c>
      <c r="D424" t="s">
        <v>32</v>
      </c>
      <c r="E424" t="s">
        <v>33</v>
      </c>
      <c r="F424" t="s">
        <v>19</v>
      </c>
      <c r="G424" t="s">
        <v>20</v>
      </c>
      <c r="H424" t="s">
        <v>28</v>
      </c>
      <c r="I424" t="s">
        <v>90</v>
      </c>
      <c r="J424">
        <v>8</v>
      </c>
      <c r="K424" s="3">
        <v>905.43</v>
      </c>
      <c r="L424" s="2">
        <v>501.54</v>
      </c>
      <c r="M424" s="2">
        <f>Table1[[#This Row],[UnitPrice]]*Table1[[#This Row],[Quantity]]</f>
        <v>7243.44</v>
      </c>
      <c r="N424" s="2">
        <f>Table1[[#This Row],[CostPrice]]*Table1[[#This Row],[Quantity]]</f>
        <v>4012.32</v>
      </c>
      <c r="O424" s="2">
        <v>2506.7800000000002</v>
      </c>
      <c r="P424" s="4">
        <v>0.1</v>
      </c>
      <c r="Q424" t="s">
        <v>55</v>
      </c>
      <c r="R424" s="4">
        <f t="shared" si="6"/>
        <v>0.34607589763979552</v>
      </c>
    </row>
    <row r="425" spans="1:18" x14ac:dyDescent="0.25">
      <c r="A425">
        <v>1877</v>
      </c>
      <c r="B425" s="1">
        <v>45088</v>
      </c>
      <c r="C425" t="s">
        <v>105</v>
      </c>
      <c r="D425" t="s">
        <v>17</v>
      </c>
      <c r="E425" t="s">
        <v>18</v>
      </c>
      <c r="F425" t="s">
        <v>19</v>
      </c>
      <c r="G425" t="s">
        <v>41</v>
      </c>
      <c r="H425" t="s">
        <v>63</v>
      </c>
      <c r="I425" t="s">
        <v>64</v>
      </c>
      <c r="J425">
        <v>5</v>
      </c>
      <c r="K425" s="3">
        <v>58.27</v>
      </c>
      <c r="L425" s="2">
        <v>46.37</v>
      </c>
      <c r="M425" s="2">
        <f>Table1[[#This Row],[UnitPrice]]*Table1[[#This Row],[Quantity]]</f>
        <v>291.35000000000002</v>
      </c>
      <c r="N425" s="2">
        <f>Table1[[#This Row],[CostPrice]]*Table1[[#This Row],[Quantity]]</f>
        <v>231.85</v>
      </c>
      <c r="O425" s="2">
        <v>47.85</v>
      </c>
      <c r="P425" s="4">
        <v>0.04</v>
      </c>
      <c r="Q425" t="s">
        <v>51</v>
      </c>
      <c r="R425" s="4">
        <f t="shared" si="6"/>
        <v>0.16423545563754932</v>
      </c>
    </row>
    <row r="426" spans="1:18" x14ac:dyDescent="0.25">
      <c r="A426">
        <v>1633</v>
      </c>
      <c r="B426" s="1">
        <v>45118</v>
      </c>
      <c r="C426" t="s">
        <v>76</v>
      </c>
      <c r="D426" t="s">
        <v>25</v>
      </c>
      <c r="E426" t="s">
        <v>26</v>
      </c>
      <c r="F426" t="s">
        <v>19</v>
      </c>
      <c r="G426" t="s">
        <v>41</v>
      </c>
      <c r="H426" t="s">
        <v>46</v>
      </c>
      <c r="I426" t="s">
        <v>47</v>
      </c>
      <c r="J426">
        <v>5</v>
      </c>
      <c r="K426" s="3">
        <v>889.61</v>
      </c>
      <c r="L426" s="2">
        <v>511.93</v>
      </c>
      <c r="M426" s="2">
        <f>Table1[[#This Row],[UnitPrice]]*Table1[[#This Row],[Quantity]]</f>
        <v>4448.05</v>
      </c>
      <c r="N426" s="2">
        <f>Table1[[#This Row],[CostPrice]]*Table1[[#This Row],[Quantity]]</f>
        <v>2559.65</v>
      </c>
      <c r="O426" s="2">
        <v>776.39</v>
      </c>
      <c r="P426" s="4">
        <v>0.25</v>
      </c>
      <c r="Q426" t="s">
        <v>55</v>
      </c>
      <c r="R426" s="4">
        <f t="shared" si="6"/>
        <v>0.17454614943626981</v>
      </c>
    </row>
    <row r="427" spans="1:18" x14ac:dyDescent="0.25">
      <c r="A427">
        <v>1059</v>
      </c>
      <c r="B427" s="1">
        <v>45149</v>
      </c>
      <c r="C427" t="s">
        <v>126</v>
      </c>
      <c r="D427" t="s">
        <v>25</v>
      </c>
      <c r="E427" t="s">
        <v>53</v>
      </c>
      <c r="F427" t="s">
        <v>19</v>
      </c>
      <c r="G427" t="s">
        <v>41</v>
      </c>
      <c r="H427" t="s">
        <v>46</v>
      </c>
      <c r="I427" t="s">
        <v>57</v>
      </c>
      <c r="J427">
        <v>8</v>
      </c>
      <c r="K427" s="3">
        <v>300.87</v>
      </c>
      <c r="L427" s="2">
        <v>212.41</v>
      </c>
      <c r="M427" s="2">
        <f>Table1[[#This Row],[UnitPrice]]*Table1[[#This Row],[Quantity]]</f>
        <v>2406.96</v>
      </c>
      <c r="N427" s="2">
        <f>Table1[[#This Row],[CostPrice]]*Table1[[#This Row],[Quantity]]</f>
        <v>1699.28</v>
      </c>
      <c r="O427" s="2">
        <v>394.78</v>
      </c>
      <c r="P427" s="4">
        <v>0.13</v>
      </c>
      <c r="Q427" t="s">
        <v>125</v>
      </c>
      <c r="R427" s="4">
        <f t="shared" si="6"/>
        <v>0.16401602020806327</v>
      </c>
    </row>
    <row r="428" spans="1:18" x14ac:dyDescent="0.25">
      <c r="A428">
        <v>1534</v>
      </c>
      <c r="B428" s="1">
        <v>45149</v>
      </c>
      <c r="C428" t="s">
        <v>207</v>
      </c>
      <c r="D428" t="s">
        <v>17</v>
      </c>
      <c r="E428" t="s">
        <v>53</v>
      </c>
      <c r="F428" t="s">
        <v>19</v>
      </c>
      <c r="G428" t="s">
        <v>20</v>
      </c>
      <c r="H428" t="s">
        <v>21</v>
      </c>
      <c r="I428" t="s">
        <v>132</v>
      </c>
      <c r="J428">
        <v>5</v>
      </c>
      <c r="K428" s="3">
        <v>303.67</v>
      </c>
      <c r="L428" s="2">
        <v>219.92</v>
      </c>
      <c r="M428" s="2">
        <f>Table1[[#This Row],[UnitPrice]]*Table1[[#This Row],[Quantity]]</f>
        <v>1518.3500000000001</v>
      </c>
      <c r="N428" s="2">
        <f>Table1[[#This Row],[CostPrice]]*Table1[[#This Row],[Quantity]]</f>
        <v>1099.5999999999999</v>
      </c>
      <c r="O428" s="2">
        <v>130.26</v>
      </c>
      <c r="P428" s="4">
        <v>0.19</v>
      </c>
      <c r="Q428" t="s">
        <v>44</v>
      </c>
      <c r="R428" s="4">
        <f t="shared" si="6"/>
        <v>8.5790496262390076E-2</v>
      </c>
    </row>
    <row r="429" spans="1:18" x14ac:dyDescent="0.25">
      <c r="A429">
        <v>1217</v>
      </c>
      <c r="B429" s="1">
        <v>45180</v>
      </c>
      <c r="C429" t="s">
        <v>109</v>
      </c>
      <c r="D429" t="s">
        <v>32</v>
      </c>
      <c r="E429" t="s">
        <v>26</v>
      </c>
      <c r="F429" t="s">
        <v>27</v>
      </c>
      <c r="G429" t="s">
        <v>35</v>
      </c>
      <c r="H429" t="s">
        <v>70</v>
      </c>
      <c r="I429" t="s">
        <v>98</v>
      </c>
      <c r="J429">
        <v>10</v>
      </c>
      <c r="K429" s="3">
        <v>386.79</v>
      </c>
      <c r="L429" s="2">
        <v>218.54</v>
      </c>
      <c r="M429" s="2">
        <f>Table1[[#This Row],[UnitPrice]]*Table1[[#This Row],[Quantity]]</f>
        <v>3867.9</v>
      </c>
      <c r="N429" s="2">
        <f>Table1[[#This Row],[CostPrice]]*Table1[[#This Row],[Quantity]]</f>
        <v>2185.4</v>
      </c>
      <c r="O429" s="2">
        <v>947.6</v>
      </c>
      <c r="P429" s="4">
        <v>0.19</v>
      </c>
      <c r="Q429" t="s">
        <v>92</v>
      </c>
      <c r="R429" s="4">
        <f t="shared" si="6"/>
        <v>0.24499082189301688</v>
      </c>
    </row>
    <row r="430" spans="1:18" x14ac:dyDescent="0.25">
      <c r="A430">
        <v>1561</v>
      </c>
      <c r="B430" s="1">
        <v>45180</v>
      </c>
      <c r="C430" t="s">
        <v>210</v>
      </c>
      <c r="D430" t="s">
        <v>25</v>
      </c>
      <c r="E430" t="s">
        <v>33</v>
      </c>
      <c r="F430" t="s">
        <v>40</v>
      </c>
      <c r="G430" t="s">
        <v>20</v>
      </c>
      <c r="H430" t="s">
        <v>28</v>
      </c>
      <c r="I430" t="s">
        <v>61</v>
      </c>
      <c r="J430">
        <v>10</v>
      </c>
      <c r="K430" s="3">
        <v>517.19000000000005</v>
      </c>
      <c r="L430" s="2">
        <v>334.83</v>
      </c>
      <c r="M430" s="2">
        <f>Table1[[#This Row],[UnitPrice]]*Table1[[#This Row],[Quantity]]</f>
        <v>5171.9000000000005</v>
      </c>
      <c r="N430" s="2">
        <f>Table1[[#This Row],[CostPrice]]*Table1[[#This Row],[Quantity]]</f>
        <v>3348.2999999999997</v>
      </c>
      <c r="O430" s="2">
        <v>1771.88</v>
      </c>
      <c r="P430" s="4">
        <v>0.01</v>
      </c>
      <c r="Q430" t="s">
        <v>55</v>
      </c>
      <c r="R430" s="4">
        <f t="shared" si="6"/>
        <v>0.34259749801813644</v>
      </c>
    </row>
    <row r="431" spans="1:18" x14ac:dyDescent="0.25">
      <c r="A431">
        <v>1133</v>
      </c>
      <c r="B431" s="1">
        <v>45210</v>
      </c>
      <c r="C431" t="s">
        <v>184</v>
      </c>
      <c r="D431" t="s">
        <v>17</v>
      </c>
      <c r="E431" t="s">
        <v>53</v>
      </c>
      <c r="F431" t="s">
        <v>19</v>
      </c>
      <c r="G431" t="s">
        <v>41</v>
      </c>
      <c r="H431" t="s">
        <v>46</v>
      </c>
      <c r="I431" t="s">
        <v>57</v>
      </c>
      <c r="J431">
        <v>8</v>
      </c>
      <c r="K431" s="3">
        <v>47.14</v>
      </c>
      <c r="L431" s="2">
        <v>37.92</v>
      </c>
      <c r="M431" s="2">
        <f>Table1[[#This Row],[UnitPrice]]*Table1[[#This Row],[Quantity]]</f>
        <v>377.12</v>
      </c>
      <c r="N431" s="2">
        <f>Table1[[#This Row],[CostPrice]]*Table1[[#This Row],[Quantity]]</f>
        <v>303.36</v>
      </c>
      <c r="O431" s="2">
        <v>32.28</v>
      </c>
      <c r="P431" s="4">
        <v>0.11</v>
      </c>
      <c r="Q431" t="s">
        <v>75</v>
      </c>
      <c r="R431" s="4">
        <f t="shared" si="6"/>
        <v>8.5596096733135341E-2</v>
      </c>
    </row>
    <row r="432" spans="1:18" x14ac:dyDescent="0.25">
      <c r="A432">
        <v>1063</v>
      </c>
      <c r="B432" s="1">
        <v>45241</v>
      </c>
      <c r="C432" t="s">
        <v>130</v>
      </c>
      <c r="D432" t="s">
        <v>17</v>
      </c>
      <c r="E432" t="s">
        <v>18</v>
      </c>
      <c r="F432" t="s">
        <v>27</v>
      </c>
      <c r="G432" t="s">
        <v>20</v>
      </c>
      <c r="H432" t="s">
        <v>28</v>
      </c>
      <c r="I432" t="s">
        <v>29</v>
      </c>
      <c r="J432">
        <v>7</v>
      </c>
      <c r="K432" s="3">
        <v>942.96</v>
      </c>
      <c r="L432" s="2">
        <v>636.65</v>
      </c>
      <c r="M432" s="2">
        <f>Table1[[#This Row],[UnitPrice]]*Table1[[#This Row],[Quantity]]</f>
        <v>6600.72</v>
      </c>
      <c r="N432" s="2">
        <f>Table1[[#This Row],[CostPrice]]*Table1[[#This Row],[Quantity]]</f>
        <v>4456.55</v>
      </c>
      <c r="O432" s="2">
        <v>1154.06</v>
      </c>
      <c r="P432" s="4">
        <v>0.15</v>
      </c>
      <c r="Q432" t="s">
        <v>44</v>
      </c>
      <c r="R432" s="4">
        <f t="shared" si="6"/>
        <v>0.17483850246639759</v>
      </c>
    </row>
    <row r="433" spans="1:18" x14ac:dyDescent="0.25">
      <c r="A433">
        <v>1543</v>
      </c>
      <c r="B433" s="1">
        <v>45241</v>
      </c>
      <c r="C433" t="s">
        <v>115</v>
      </c>
      <c r="D433" t="s">
        <v>25</v>
      </c>
      <c r="E433" t="s">
        <v>33</v>
      </c>
      <c r="F433" t="s">
        <v>27</v>
      </c>
      <c r="G433" t="s">
        <v>41</v>
      </c>
      <c r="H433" t="s">
        <v>42</v>
      </c>
      <c r="I433" t="s">
        <v>77</v>
      </c>
      <c r="J433">
        <v>1</v>
      </c>
      <c r="K433" s="3">
        <v>775.82</v>
      </c>
      <c r="L433" s="2">
        <v>593.54999999999995</v>
      </c>
      <c r="M433" s="2">
        <f>Table1[[#This Row],[UnitPrice]]*Table1[[#This Row],[Quantity]]</f>
        <v>775.82</v>
      </c>
      <c r="N433" s="2">
        <f>Table1[[#This Row],[CostPrice]]*Table1[[#This Row],[Quantity]]</f>
        <v>593.54999999999995</v>
      </c>
      <c r="O433" s="2">
        <v>174.51</v>
      </c>
      <c r="P433" s="4">
        <v>0.01</v>
      </c>
      <c r="Q433" t="s">
        <v>44</v>
      </c>
      <c r="R433" s="4">
        <f t="shared" si="6"/>
        <v>0.22493619654043462</v>
      </c>
    </row>
    <row r="434" spans="1:18" x14ac:dyDescent="0.25">
      <c r="A434">
        <v>1825</v>
      </c>
      <c r="B434" s="1">
        <v>45241</v>
      </c>
      <c r="C434" t="s">
        <v>209</v>
      </c>
      <c r="D434" t="s">
        <v>25</v>
      </c>
      <c r="E434" t="s">
        <v>53</v>
      </c>
      <c r="F434" t="s">
        <v>27</v>
      </c>
      <c r="G434" t="s">
        <v>35</v>
      </c>
      <c r="H434" t="s">
        <v>49</v>
      </c>
      <c r="I434" t="s">
        <v>50</v>
      </c>
      <c r="J434">
        <v>6</v>
      </c>
      <c r="K434" s="3">
        <v>829.04</v>
      </c>
      <c r="L434" s="2">
        <v>538.09</v>
      </c>
      <c r="M434" s="2">
        <f>Table1[[#This Row],[UnitPrice]]*Table1[[#This Row],[Quantity]]</f>
        <v>4974.24</v>
      </c>
      <c r="N434" s="2">
        <f>Table1[[#This Row],[CostPrice]]*Table1[[#This Row],[Quantity]]</f>
        <v>3228.54</v>
      </c>
      <c r="O434" s="2">
        <v>303.17</v>
      </c>
      <c r="P434" s="4">
        <v>0.28999999999999998</v>
      </c>
      <c r="Q434" t="s">
        <v>85</v>
      </c>
      <c r="R434" s="4">
        <f t="shared" si="6"/>
        <v>6.0948004117211879E-2</v>
      </c>
    </row>
    <row r="435" spans="1:18" x14ac:dyDescent="0.25">
      <c r="A435">
        <v>1944</v>
      </c>
      <c r="B435" s="1">
        <v>45271</v>
      </c>
      <c r="C435" t="s">
        <v>119</v>
      </c>
      <c r="D435" t="s">
        <v>25</v>
      </c>
      <c r="E435" t="s">
        <v>26</v>
      </c>
      <c r="F435" t="s">
        <v>19</v>
      </c>
      <c r="G435" t="s">
        <v>41</v>
      </c>
      <c r="H435" t="s">
        <v>42</v>
      </c>
      <c r="I435" t="s">
        <v>43</v>
      </c>
      <c r="J435">
        <v>10</v>
      </c>
      <c r="K435" s="3">
        <v>333.04</v>
      </c>
      <c r="L435" s="2">
        <v>237.04</v>
      </c>
      <c r="M435" s="2">
        <f>Table1[[#This Row],[UnitPrice]]*Table1[[#This Row],[Quantity]]</f>
        <v>3330.4</v>
      </c>
      <c r="N435" s="2">
        <f>Table1[[#This Row],[CostPrice]]*Table1[[#This Row],[Quantity]]</f>
        <v>2370.4</v>
      </c>
      <c r="O435" s="2">
        <v>926.7</v>
      </c>
      <c r="P435" s="4">
        <v>0.01</v>
      </c>
      <c r="Q435" t="s">
        <v>51</v>
      </c>
      <c r="R435" s="4">
        <f t="shared" si="6"/>
        <v>0.27825486428056689</v>
      </c>
    </row>
    <row r="436" spans="1:18" x14ac:dyDescent="0.25">
      <c r="A436">
        <v>1387</v>
      </c>
      <c r="B436" s="1">
        <v>45243</v>
      </c>
      <c r="C436" t="s">
        <v>261</v>
      </c>
      <c r="D436" t="s">
        <v>17</v>
      </c>
      <c r="E436" t="s">
        <v>18</v>
      </c>
      <c r="F436" t="s">
        <v>27</v>
      </c>
      <c r="G436" t="s">
        <v>41</v>
      </c>
      <c r="H436" t="s">
        <v>42</v>
      </c>
      <c r="I436" t="s">
        <v>77</v>
      </c>
      <c r="J436">
        <v>9</v>
      </c>
      <c r="K436" s="3">
        <v>839.33</v>
      </c>
      <c r="L436" s="2">
        <v>428.06</v>
      </c>
      <c r="M436" s="2">
        <f>Table1[[#This Row],[UnitPrice]]*Table1[[#This Row],[Quantity]]</f>
        <v>7553.97</v>
      </c>
      <c r="N436" s="2">
        <f>Table1[[#This Row],[CostPrice]]*Table1[[#This Row],[Quantity]]</f>
        <v>3852.54</v>
      </c>
      <c r="O436" s="2">
        <v>2190.64</v>
      </c>
      <c r="P436" s="4">
        <v>0.2</v>
      </c>
      <c r="Q436" t="s">
        <v>85</v>
      </c>
      <c r="R436" s="4">
        <f t="shared" si="6"/>
        <v>0.28999850409784522</v>
      </c>
    </row>
    <row r="437" spans="1:18" x14ac:dyDescent="0.25">
      <c r="A437">
        <v>1688</v>
      </c>
      <c r="B437" s="1">
        <v>45244</v>
      </c>
      <c r="C437" t="s">
        <v>147</v>
      </c>
      <c r="D437" t="s">
        <v>17</v>
      </c>
      <c r="E437" t="s">
        <v>53</v>
      </c>
      <c r="F437" t="s">
        <v>19</v>
      </c>
      <c r="G437" t="s">
        <v>41</v>
      </c>
      <c r="H437" t="s">
        <v>63</v>
      </c>
      <c r="I437" t="s">
        <v>117</v>
      </c>
      <c r="J437">
        <v>10</v>
      </c>
      <c r="K437" s="3">
        <v>206.96</v>
      </c>
      <c r="L437" s="2">
        <v>155.4</v>
      </c>
      <c r="M437" s="2">
        <f>Table1[[#This Row],[UnitPrice]]*Table1[[#This Row],[Quantity]]</f>
        <v>2069.6</v>
      </c>
      <c r="N437" s="2">
        <f>Table1[[#This Row],[CostPrice]]*Table1[[#This Row],[Quantity]]</f>
        <v>1554</v>
      </c>
      <c r="O437" s="2">
        <v>225.86</v>
      </c>
      <c r="P437" s="4">
        <v>0.14000000000000001</v>
      </c>
      <c r="Q437" t="s">
        <v>23</v>
      </c>
      <c r="R437" s="4">
        <f t="shared" si="6"/>
        <v>0.10913219945883264</v>
      </c>
    </row>
    <row r="438" spans="1:18" x14ac:dyDescent="0.25">
      <c r="A438">
        <v>1299</v>
      </c>
      <c r="B438" s="1">
        <v>45246</v>
      </c>
      <c r="C438" t="s">
        <v>145</v>
      </c>
      <c r="D438" t="s">
        <v>32</v>
      </c>
      <c r="E438" t="s">
        <v>18</v>
      </c>
      <c r="F438" t="s">
        <v>19</v>
      </c>
      <c r="G438" t="s">
        <v>20</v>
      </c>
      <c r="H438" t="s">
        <v>21</v>
      </c>
      <c r="I438" t="s">
        <v>54</v>
      </c>
      <c r="J438">
        <v>5</v>
      </c>
      <c r="K438" s="3">
        <v>458.65</v>
      </c>
      <c r="L438" s="2">
        <v>312.85000000000002</v>
      </c>
      <c r="M438" s="2">
        <f>Table1[[#This Row],[UnitPrice]]*Table1[[#This Row],[Quantity]]</f>
        <v>2293.25</v>
      </c>
      <c r="N438" s="2">
        <f>Table1[[#This Row],[CostPrice]]*Table1[[#This Row],[Quantity]]</f>
        <v>1564.25</v>
      </c>
      <c r="O438" s="2">
        <v>362.08</v>
      </c>
      <c r="P438" s="4">
        <v>0.16</v>
      </c>
      <c r="Q438" t="s">
        <v>75</v>
      </c>
      <c r="R438" s="4">
        <f t="shared" si="6"/>
        <v>0.15788945819252154</v>
      </c>
    </row>
    <row r="439" spans="1:18" x14ac:dyDescent="0.25">
      <c r="A439">
        <v>1589</v>
      </c>
      <c r="B439" s="1">
        <v>45247</v>
      </c>
      <c r="C439" t="s">
        <v>276</v>
      </c>
      <c r="D439" t="s">
        <v>32</v>
      </c>
      <c r="E439" t="s">
        <v>18</v>
      </c>
      <c r="F439" t="s">
        <v>40</v>
      </c>
      <c r="G439" t="s">
        <v>35</v>
      </c>
      <c r="H439" t="s">
        <v>49</v>
      </c>
      <c r="I439" t="s">
        <v>50</v>
      </c>
      <c r="J439">
        <v>10</v>
      </c>
      <c r="K439" s="3">
        <v>830.44</v>
      </c>
      <c r="L439" s="2">
        <v>684.57</v>
      </c>
      <c r="M439" s="2">
        <f>Table1[[#This Row],[UnitPrice]]*Table1[[#This Row],[Quantity]]</f>
        <v>8304.4000000000015</v>
      </c>
      <c r="N439" s="2">
        <f>Table1[[#This Row],[CostPrice]]*Table1[[#This Row],[Quantity]]</f>
        <v>6845.7000000000007</v>
      </c>
      <c r="O439" s="2">
        <v>130</v>
      </c>
      <c r="P439" s="4">
        <v>0.16</v>
      </c>
      <c r="Q439" t="s">
        <v>75</v>
      </c>
      <c r="R439" s="4">
        <f t="shared" si="6"/>
        <v>1.565435190983093E-2</v>
      </c>
    </row>
    <row r="440" spans="1:18" x14ac:dyDescent="0.25">
      <c r="A440">
        <v>1411</v>
      </c>
      <c r="B440" s="1">
        <v>45249</v>
      </c>
      <c r="C440" t="s">
        <v>249</v>
      </c>
      <c r="D440" t="s">
        <v>32</v>
      </c>
      <c r="E440" t="s">
        <v>53</v>
      </c>
      <c r="F440" t="s">
        <v>27</v>
      </c>
      <c r="G440" t="s">
        <v>41</v>
      </c>
      <c r="H440" t="s">
        <v>46</v>
      </c>
      <c r="I440" t="s">
        <v>102</v>
      </c>
      <c r="J440">
        <v>4</v>
      </c>
      <c r="K440" s="3">
        <v>565.33000000000004</v>
      </c>
      <c r="L440" s="2">
        <v>324.99</v>
      </c>
      <c r="M440" s="2">
        <f>Table1[[#This Row],[UnitPrice]]*Table1[[#This Row],[Quantity]]</f>
        <v>2261.3200000000002</v>
      </c>
      <c r="N440" s="2">
        <f>Table1[[#This Row],[CostPrice]]*Table1[[#This Row],[Quantity]]</f>
        <v>1299.96</v>
      </c>
      <c r="O440" s="2">
        <v>441.26</v>
      </c>
      <c r="P440" s="4">
        <v>0.23</v>
      </c>
      <c r="Q440" t="s">
        <v>30</v>
      </c>
      <c r="R440" s="4">
        <f t="shared" si="6"/>
        <v>0.1951338156474979</v>
      </c>
    </row>
    <row r="441" spans="1:18" x14ac:dyDescent="0.25">
      <c r="A441">
        <v>1966</v>
      </c>
      <c r="B441" s="1">
        <v>45251</v>
      </c>
      <c r="C441" t="s">
        <v>253</v>
      </c>
      <c r="D441" t="s">
        <v>17</v>
      </c>
      <c r="E441" t="s">
        <v>26</v>
      </c>
      <c r="F441" t="s">
        <v>19</v>
      </c>
      <c r="G441" t="s">
        <v>41</v>
      </c>
      <c r="H441" t="s">
        <v>46</v>
      </c>
      <c r="I441" t="s">
        <v>102</v>
      </c>
      <c r="J441">
        <v>3</v>
      </c>
      <c r="K441" s="3">
        <v>840.68</v>
      </c>
      <c r="L441" s="2">
        <v>585.26</v>
      </c>
      <c r="M441" s="2">
        <f>Table1[[#This Row],[UnitPrice]]*Table1[[#This Row],[Quantity]]</f>
        <v>2522.04</v>
      </c>
      <c r="N441" s="2">
        <f>Table1[[#This Row],[CostPrice]]*Table1[[#This Row],[Quantity]]</f>
        <v>1755.78</v>
      </c>
      <c r="O441" s="2">
        <v>387.95</v>
      </c>
      <c r="P441" s="4">
        <v>0.15</v>
      </c>
      <c r="Q441" t="s">
        <v>30</v>
      </c>
      <c r="R441" s="4">
        <f t="shared" si="6"/>
        <v>0.15382388859811899</v>
      </c>
    </row>
    <row r="442" spans="1:18" x14ac:dyDescent="0.25">
      <c r="A442">
        <v>1073</v>
      </c>
      <c r="B442" s="1">
        <v>45252</v>
      </c>
      <c r="C442" t="s">
        <v>140</v>
      </c>
      <c r="D442" t="s">
        <v>17</v>
      </c>
      <c r="E442" t="s">
        <v>53</v>
      </c>
      <c r="F442" t="s">
        <v>27</v>
      </c>
      <c r="G442" t="s">
        <v>41</v>
      </c>
      <c r="H442" t="s">
        <v>63</v>
      </c>
      <c r="I442" t="s">
        <v>141</v>
      </c>
      <c r="J442">
        <v>8</v>
      </c>
      <c r="K442" s="3">
        <v>965</v>
      </c>
      <c r="L442" s="2">
        <v>525.14</v>
      </c>
      <c r="M442" s="2">
        <f>Table1[[#This Row],[UnitPrice]]*Table1[[#This Row],[Quantity]]</f>
        <v>7720</v>
      </c>
      <c r="N442" s="2">
        <f>Table1[[#This Row],[CostPrice]]*Table1[[#This Row],[Quantity]]</f>
        <v>4201.12</v>
      </c>
      <c r="O442" s="2">
        <v>1280.08</v>
      </c>
      <c r="P442" s="4">
        <v>0.28999999999999998</v>
      </c>
      <c r="Q442" t="s">
        <v>85</v>
      </c>
      <c r="R442" s="4">
        <f t="shared" si="6"/>
        <v>0.16581347150259065</v>
      </c>
    </row>
    <row r="443" spans="1:18" x14ac:dyDescent="0.25">
      <c r="A443">
        <v>1832</v>
      </c>
      <c r="B443" s="1">
        <v>45252</v>
      </c>
      <c r="C443" t="s">
        <v>243</v>
      </c>
      <c r="D443" t="s">
        <v>32</v>
      </c>
      <c r="E443" t="s">
        <v>26</v>
      </c>
      <c r="F443" t="s">
        <v>34</v>
      </c>
      <c r="G443" t="s">
        <v>41</v>
      </c>
      <c r="H443" t="s">
        <v>42</v>
      </c>
      <c r="I443" t="s">
        <v>43</v>
      </c>
      <c r="J443">
        <v>2</v>
      </c>
      <c r="K443" s="3">
        <v>633.28</v>
      </c>
      <c r="L443" s="2">
        <v>490.47</v>
      </c>
      <c r="M443" s="2">
        <f>Table1[[#This Row],[UnitPrice]]*Table1[[#This Row],[Quantity]]</f>
        <v>1266.56</v>
      </c>
      <c r="N443" s="2">
        <f>Table1[[#This Row],[CostPrice]]*Table1[[#This Row],[Quantity]]</f>
        <v>980.94</v>
      </c>
      <c r="O443" s="2">
        <v>-31.02</v>
      </c>
      <c r="P443" s="4">
        <v>0.25</v>
      </c>
      <c r="Q443" t="s">
        <v>30</v>
      </c>
      <c r="R443" s="4">
        <f t="shared" si="6"/>
        <v>-2.4491536129358261E-2</v>
      </c>
    </row>
    <row r="444" spans="1:18" x14ac:dyDescent="0.25">
      <c r="A444">
        <v>1180</v>
      </c>
      <c r="B444" s="1">
        <v>45253</v>
      </c>
      <c r="C444" t="s">
        <v>204</v>
      </c>
      <c r="D444" t="s">
        <v>17</v>
      </c>
      <c r="E444" t="s">
        <v>18</v>
      </c>
      <c r="F444" t="s">
        <v>19</v>
      </c>
      <c r="G444" t="s">
        <v>35</v>
      </c>
      <c r="H444" t="s">
        <v>36</v>
      </c>
      <c r="I444" t="s">
        <v>100</v>
      </c>
      <c r="J444">
        <v>9</v>
      </c>
      <c r="K444" s="3">
        <v>224.94</v>
      </c>
      <c r="L444" s="2">
        <v>136.13</v>
      </c>
      <c r="M444" s="2">
        <f>Table1[[#This Row],[UnitPrice]]*Table1[[#This Row],[Quantity]]</f>
        <v>2024.46</v>
      </c>
      <c r="N444" s="2">
        <f>Table1[[#This Row],[CostPrice]]*Table1[[#This Row],[Quantity]]</f>
        <v>1225.17</v>
      </c>
      <c r="O444" s="2">
        <v>758.8</v>
      </c>
      <c r="P444" s="4">
        <v>0.02</v>
      </c>
      <c r="Q444" t="s">
        <v>125</v>
      </c>
      <c r="R444" s="4">
        <f t="shared" si="6"/>
        <v>0.37481600031613366</v>
      </c>
    </row>
    <row r="445" spans="1:18" x14ac:dyDescent="0.25">
      <c r="A445">
        <v>1212</v>
      </c>
      <c r="B445" s="1">
        <v>45253</v>
      </c>
      <c r="C445" t="s">
        <v>168</v>
      </c>
      <c r="D445" t="s">
        <v>25</v>
      </c>
      <c r="E445" t="s">
        <v>33</v>
      </c>
      <c r="F445" t="s">
        <v>34</v>
      </c>
      <c r="G445" t="s">
        <v>35</v>
      </c>
      <c r="H445" t="s">
        <v>70</v>
      </c>
      <c r="I445" t="s">
        <v>98</v>
      </c>
      <c r="J445">
        <v>3</v>
      </c>
      <c r="K445" s="3">
        <v>930.27</v>
      </c>
      <c r="L445" s="2">
        <v>706.23</v>
      </c>
      <c r="M445" s="2">
        <f>Table1[[#This Row],[UnitPrice]]*Table1[[#This Row],[Quantity]]</f>
        <v>2790.81</v>
      </c>
      <c r="N445" s="2">
        <f>Table1[[#This Row],[CostPrice]]*Table1[[#This Row],[Quantity]]</f>
        <v>2118.69</v>
      </c>
      <c r="O445" s="2">
        <v>253.5</v>
      </c>
      <c r="P445" s="4">
        <v>0.15</v>
      </c>
      <c r="Q445" t="s">
        <v>38</v>
      </c>
      <c r="R445" s="4">
        <f t="shared" si="6"/>
        <v>9.0833843937781503E-2</v>
      </c>
    </row>
    <row r="446" spans="1:18" x14ac:dyDescent="0.25">
      <c r="A446">
        <v>1431</v>
      </c>
      <c r="B446" s="1">
        <v>45253</v>
      </c>
      <c r="C446" t="s">
        <v>39</v>
      </c>
      <c r="D446" t="s">
        <v>32</v>
      </c>
      <c r="E446" t="s">
        <v>18</v>
      </c>
      <c r="F446" t="s">
        <v>27</v>
      </c>
      <c r="G446" t="s">
        <v>41</v>
      </c>
      <c r="H446" t="s">
        <v>63</v>
      </c>
      <c r="I446" t="s">
        <v>64</v>
      </c>
      <c r="J446">
        <v>5</v>
      </c>
      <c r="K446" s="3">
        <v>156.19999999999999</v>
      </c>
      <c r="L446" s="2">
        <v>88.37</v>
      </c>
      <c r="M446" s="2">
        <f>Table1[[#This Row],[UnitPrice]]*Table1[[#This Row],[Quantity]]</f>
        <v>781</v>
      </c>
      <c r="N446" s="2">
        <f>Table1[[#This Row],[CostPrice]]*Table1[[#This Row],[Quantity]]</f>
        <v>441.85</v>
      </c>
      <c r="O446" s="2">
        <v>307.91000000000003</v>
      </c>
      <c r="P446" s="4">
        <v>0.04</v>
      </c>
      <c r="Q446" t="s">
        <v>51</v>
      </c>
      <c r="R446" s="4">
        <f t="shared" si="6"/>
        <v>0.39425096030729839</v>
      </c>
    </row>
    <row r="447" spans="1:18" x14ac:dyDescent="0.25">
      <c r="A447">
        <v>1568</v>
      </c>
      <c r="B447" s="1">
        <v>45253</v>
      </c>
      <c r="C447" t="s">
        <v>142</v>
      </c>
      <c r="D447" t="s">
        <v>25</v>
      </c>
      <c r="E447" t="s">
        <v>26</v>
      </c>
      <c r="F447" t="s">
        <v>27</v>
      </c>
      <c r="G447" t="s">
        <v>35</v>
      </c>
      <c r="H447" t="s">
        <v>49</v>
      </c>
      <c r="I447" t="s">
        <v>59</v>
      </c>
      <c r="J447">
        <v>3</v>
      </c>
      <c r="K447" s="3">
        <v>260.16000000000003</v>
      </c>
      <c r="L447" s="2">
        <v>184.83</v>
      </c>
      <c r="M447" s="2">
        <f>Table1[[#This Row],[UnitPrice]]*Table1[[#This Row],[Quantity]]</f>
        <v>780.48</v>
      </c>
      <c r="N447" s="2">
        <f>Table1[[#This Row],[CostPrice]]*Table1[[#This Row],[Quantity]]</f>
        <v>554.49</v>
      </c>
      <c r="O447" s="2">
        <v>132.33000000000001</v>
      </c>
      <c r="P447" s="4">
        <v>0.12</v>
      </c>
      <c r="Q447" t="s">
        <v>44</v>
      </c>
      <c r="R447" s="4">
        <f t="shared" si="6"/>
        <v>0.16954950799507995</v>
      </c>
    </row>
    <row r="448" spans="1:18" x14ac:dyDescent="0.25">
      <c r="A448">
        <v>1992</v>
      </c>
      <c r="B448" s="1">
        <v>45253</v>
      </c>
      <c r="C448" t="s">
        <v>234</v>
      </c>
      <c r="D448" t="s">
        <v>17</v>
      </c>
      <c r="E448" t="s">
        <v>53</v>
      </c>
      <c r="F448" t="s">
        <v>27</v>
      </c>
      <c r="G448" t="s">
        <v>20</v>
      </c>
      <c r="H448" t="s">
        <v>28</v>
      </c>
      <c r="I448" t="s">
        <v>61</v>
      </c>
      <c r="J448">
        <v>7</v>
      </c>
      <c r="K448" s="3">
        <v>772.5</v>
      </c>
      <c r="L448" s="2">
        <v>468.16</v>
      </c>
      <c r="M448" s="2">
        <f>Table1[[#This Row],[UnitPrice]]*Table1[[#This Row],[Quantity]]</f>
        <v>5407.5</v>
      </c>
      <c r="N448" s="2">
        <f>Table1[[#This Row],[CostPrice]]*Table1[[#This Row],[Quantity]]</f>
        <v>3277.1200000000003</v>
      </c>
      <c r="O448" s="2">
        <v>1697.78</v>
      </c>
      <c r="P448" s="4">
        <v>0.08</v>
      </c>
      <c r="Q448" t="s">
        <v>44</v>
      </c>
      <c r="R448" s="4">
        <f t="shared" si="6"/>
        <v>0.31396763754045309</v>
      </c>
    </row>
    <row r="449" spans="1:18" x14ac:dyDescent="0.25">
      <c r="A449">
        <v>1732</v>
      </c>
      <c r="B449" s="1">
        <v>45254</v>
      </c>
      <c r="C449" t="s">
        <v>259</v>
      </c>
      <c r="D449" t="s">
        <v>17</v>
      </c>
      <c r="E449" t="s">
        <v>26</v>
      </c>
      <c r="F449" t="s">
        <v>19</v>
      </c>
      <c r="G449" t="s">
        <v>20</v>
      </c>
      <c r="H449" t="s">
        <v>28</v>
      </c>
      <c r="I449" t="s">
        <v>90</v>
      </c>
      <c r="J449">
        <v>9</v>
      </c>
      <c r="K449" s="3">
        <v>853.1</v>
      </c>
      <c r="L449" s="2">
        <v>520.88</v>
      </c>
      <c r="M449" s="2">
        <f>Table1[[#This Row],[UnitPrice]]*Table1[[#This Row],[Quantity]]</f>
        <v>7677.9000000000005</v>
      </c>
      <c r="N449" s="2">
        <f>Table1[[#This Row],[CostPrice]]*Table1[[#This Row],[Quantity]]</f>
        <v>4687.92</v>
      </c>
      <c r="O449" s="2">
        <v>1147.28</v>
      </c>
      <c r="P449" s="4">
        <v>0.24</v>
      </c>
      <c r="Q449" t="s">
        <v>30</v>
      </c>
      <c r="R449" s="4">
        <f t="shared" si="6"/>
        <v>0.14942627541385012</v>
      </c>
    </row>
    <row r="450" spans="1:18" x14ac:dyDescent="0.25">
      <c r="A450">
        <v>1283</v>
      </c>
      <c r="B450" s="1">
        <v>45255</v>
      </c>
      <c r="C450" t="s">
        <v>240</v>
      </c>
      <c r="D450" t="s">
        <v>32</v>
      </c>
      <c r="E450" t="s">
        <v>33</v>
      </c>
      <c r="F450" t="s">
        <v>19</v>
      </c>
      <c r="G450" t="s">
        <v>35</v>
      </c>
      <c r="H450" t="s">
        <v>36</v>
      </c>
      <c r="I450" t="s">
        <v>37</v>
      </c>
      <c r="J450">
        <v>8</v>
      </c>
      <c r="K450" s="3">
        <v>760.7</v>
      </c>
      <c r="L450" s="2">
        <v>611.23</v>
      </c>
      <c r="M450" s="2">
        <f>Table1[[#This Row],[UnitPrice]]*Table1[[#This Row],[Quantity]]</f>
        <v>6085.6</v>
      </c>
      <c r="N450" s="2">
        <f>Table1[[#This Row],[CostPrice]]*Table1[[#This Row],[Quantity]]</f>
        <v>4889.84</v>
      </c>
      <c r="O450" s="2">
        <v>-325.64</v>
      </c>
      <c r="P450" s="4">
        <v>0.25</v>
      </c>
      <c r="Q450" t="s">
        <v>38</v>
      </c>
      <c r="R450" s="4">
        <f t="shared" ref="R450:R513" si="7">O450/M450</f>
        <v>-5.3509925069015377E-2</v>
      </c>
    </row>
    <row r="451" spans="1:18" x14ac:dyDescent="0.25">
      <c r="A451">
        <v>1559</v>
      </c>
      <c r="B451" s="1">
        <v>45255</v>
      </c>
      <c r="C451" t="s">
        <v>124</v>
      </c>
      <c r="D451" t="s">
        <v>17</v>
      </c>
      <c r="E451" t="s">
        <v>33</v>
      </c>
      <c r="F451" t="s">
        <v>19</v>
      </c>
      <c r="G451" t="s">
        <v>35</v>
      </c>
      <c r="H451" t="s">
        <v>49</v>
      </c>
      <c r="I451" t="s">
        <v>59</v>
      </c>
      <c r="J451">
        <v>10</v>
      </c>
      <c r="K451" s="3">
        <v>31.77</v>
      </c>
      <c r="L451" s="2">
        <v>25.8</v>
      </c>
      <c r="M451" s="2">
        <f>Table1[[#This Row],[UnitPrice]]*Table1[[#This Row],[Quantity]]</f>
        <v>317.7</v>
      </c>
      <c r="N451" s="2">
        <f>Table1[[#This Row],[CostPrice]]*Table1[[#This Row],[Quantity]]</f>
        <v>258</v>
      </c>
      <c r="O451" s="2">
        <v>27.93</v>
      </c>
      <c r="P451" s="4">
        <v>0.1</v>
      </c>
      <c r="Q451" t="s">
        <v>44</v>
      </c>
      <c r="R451" s="4">
        <f t="shared" si="7"/>
        <v>8.7913125590179414E-2</v>
      </c>
    </row>
    <row r="452" spans="1:18" x14ac:dyDescent="0.25">
      <c r="A452">
        <v>1655</v>
      </c>
      <c r="B452" s="1">
        <v>45257</v>
      </c>
      <c r="C452" t="s">
        <v>147</v>
      </c>
      <c r="D452" t="s">
        <v>32</v>
      </c>
      <c r="E452" t="s">
        <v>18</v>
      </c>
      <c r="F452" t="s">
        <v>34</v>
      </c>
      <c r="G452" t="s">
        <v>41</v>
      </c>
      <c r="H452" t="s">
        <v>63</v>
      </c>
      <c r="I452" t="s">
        <v>117</v>
      </c>
      <c r="J452">
        <v>8</v>
      </c>
      <c r="K452" s="3">
        <v>364.66</v>
      </c>
      <c r="L452" s="2">
        <v>279.2</v>
      </c>
      <c r="M452" s="2">
        <f>Table1[[#This Row],[UnitPrice]]*Table1[[#This Row],[Quantity]]</f>
        <v>2917.28</v>
      </c>
      <c r="N452" s="2">
        <f>Table1[[#This Row],[CostPrice]]*Table1[[#This Row],[Quantity]]</f>
        <v>2233.6</v>
      </c>
      <c r="O452" s="2">
        <v>-103.99</v>
      </c>
      <c r="P452" s="4">
        <v>0.27</v>
      </c>
      <c r="Q452" t="s">
        <v>23</v>
      </c>
      <c r="R452" s="4">
        <f t="shared" si="7"/>
        <v>-3.5646218395217456E-2</v>
      </c>
    </row>
    <row r="453" spans="1:18" x14ac:dyDescent="0.25">
      <c r="A453">
        <v>1168</v>
      </c>
      <c r="B453" s="1">
        <v>45258</v>
      </c>
      <c r="C453" t="s">
        <v>199</v>
      </c>
      <c r="D453" t="s">
        <v>25</v>
      </c>
      <c r="E453" t="s">
        <v>18</v>
      </c>
      <c r="F453" t="s">
        <v>27</v>
      </c>
      <c r="G453" t="s">
        <v>20</v>
      </c>
      <c r="H453" t="s">
        <v>28</v>
      </c>
      <c r="I453" t="s">
        <v>29</v>
      </c>
      <c r="J453">
        <v>6</v>
      </c>
      <c r="K453" s="3">
        <v>305.44</v>
      </c>
      <c r="L453" s="2">
        <v>230</v>
      </c>
      <c r="M453" s="2">
        <f>Table1[[#This Row],[UnitPrice]]*Table1[[#This Row],[Quantity]]</f>
        <v>1832.6399999999999</v>
      </c>
      <c r="N453" s="2">
        <f>Table1[[#This Row],[CostPrice]]*Table1[[#This Row],[Quantity]]</f>
        <v>1380</v>
      </c>
      <c r="O453" s="2">
        <v>452.64</v>
      </c>
      <c r="P453" s="4">
        <v>0</v>
      </c>
      <c r="Q453" t="s">
        <v>85</v>
      </c>
      <c r="R453" s="4">
        <f t="shared" si="7"/>
        <v>0.24698795180722893</v>
      </c>
    </row>
    <row r="454" spans="1:18" x14ac:dyDescent="0.25">
      <c r="A454">
        <v>1102</v>
      </c>
      <c r="B454" s="1">
        <v>45259</v>
      </c>
      <c r="C454" t="s">
        <v>162</v>
      </c>
      <c r="D454" t="s">
        <v>17</v>
      </c>
      <c r="E454" t="s">
        <v>33</v>
      </c>
      <c r="F454" t="s">
        <v>34</v>
      </c>
      <c r="G454" t="s">
        <v>20</v>
      </c>
      <c r="H454" t="s">
        <v>21</v>
      </c>
      <c r="I454" t="s">
        <v>22</v>
      </c>
      <c r="J454">
        <v>2</v>
      </c>
      <c r="K454" s="3">
        <v>275.74</v>
      </c>
      <c r="L454" s="2">
        <v>201.75</v>
      </c>
      <c r="M454" s="2">
        <f>Table1[[#This Row],[UnitPrice]]*Table1[[#This Row],[Quantity]]</f>
        <v>551.48</v>
      </c>
      <c r="N454" s="2">
        <f>Table1[[#This Row],[CostPrice]]*Table1[[#This Row],[Quantity]]</f>
        <v>403.5</v>
      </c>
      <c r="O454" s="2">
        <v>65.260000000000005</v>
      </c>
      <c r="P454" s="4">
        <v>0.15</v>
      </c>
      <c r="Q454" t="s">
        <v>55</v>
      </c>
      <c r="R454" s="4">
        <f t="shared" si="7"/>
        <v>0.11833611373032567</v>
      </c>
    </row>
    <row r="455" spans="1:18" x14ac:dyDescent="0.25">
      <c r="A455">
        <v>1500</v>
      </c>
      <c r="B455" s="1">
        <v>45259</v>
      </c>
      <c r="C455" t="s">
        <v>279</v>
      </c>
      <c r="D455" t="s">
        <v>17</v>
      </c>
      <c r="E455" t="s">
        <v>26</v>
      </c>
      <c r="F455" t="s">
        <v>40</v>
      </c>
      <c r="G455" t="s">
        <v>20</v>
      </c>
      <c r="H455" t="s">
        <v>21</v>
      </c>
      <c r="I455" t="s">
        <v>132</v>
      </c>
      <c r="J455">
        <v>6</v>
      </c>
      <c r="K455" s="3">
        <v>67.91</v>
      </c>
      <c r="L455" s="2">
        <v>40.47</v>
      </c>
      <c r="M455" s="2">
        <f>Table1[[#This Row],[UnitPrice]]*Table1[[#This Row],[Quantity]]</f>
        <v>407.46</v>
      </c>
      <c r="N455" s="2">
        <f>Table1[[#This Row],[CostPrice]]*Table1[[#This Row],[Quantity]]</f>
        <v>242.82</v>
      </c>
      <c r="O455" s="2">
        <v>70.92</v>
      </c>
      <c r="P455" s="4">
        <v>0.23</v>
      </c>
      <c r="Q455" t="s">
        <v>92</v>
      </c>
      <c r="R455" s="4">
        <f t="shared" si="7"/>
        <v>0.17405389486084524</v>
      </c>
    </row>
    <row r="456" spans="1:18" x14ac:dyDescent="0.25">
      <c r="A456">
        <v>1091</v>
      </c>
      <c r="B456" s="1">
        <v>44997</v>
      </c>
      <c r="C456" t="s">
        <v>62</v>
      </c>
      <c r="D456" t="s">
        <v>17</v>
      </c>
      <c r="E456" t="s">
        <v>33</v>
      </c>
      <c r="F456" t="s">
        <v>40</v>
      </c>
      <c r="G456" t="s">
        <v>20</v>
      </c>
      <c r="H456" t="s">
        <v>21</v>
      </c>
      <c r="I456" t="s">
        <v>54</v>
      </c>
      <c r="J456">
        <v>3</v>
      </c>
      <c r="K456" s="3">
        <v>114.38</v>
      </c>
      <c r="L456" s="2">
        <v>91.88</v>
      </c>
      <c r="M456" s="2">
        <f>Table1[[#This Row],[UnitPrice]]*Table1[[#This Row],[Quantity]]</f>
        <v>343.14</v>
      </c>
      <c r="N456" s="2">
        <f>Table1[[#This Row],[CostPrice]]*Table1[[#This Row],[Quantity]]</f>
        <v>275.64</v>
      </c>
      <c r="O456" s="2">
        <v>53.77</v>
      </c>
      <c r="P456" s="4">
        <v>0.04</v>
      </c>
      <c r="Q456" t="s">
        <v>85</v>
      </c>
      <c r="R456" s="4">
        <f t="shared" si="7"/>
        <v>0.1566998892580288</v>
      </c>
    </row>
    <row r="457" spans="1:18" x14ac:dyDescent="0.25">
      <c r="A457">
        <v>1845</v>
      </c>
      <c r="B457" s="1">
        <v>44997</v>
      </c>
      <c r="C457" t="s">
        <v>267</v>
      </c>
      <c r="D457" t="s">
        <v>17</v>
      </c>
      <c r="E457" t="s">
        <v>18</v>
      </c>
      <c r="F457" t="s">
        <v>19</v>
      </c>
      <c r="G457" t="s">
        <v>41</v>
      </c>
      <c r="H457" t="s">
        <v>42</v>
      </c>
      <c r="I457" t="s">
        <v>68</v>
      </c>
      <c r="J457">
        <v>5</v>
      </c>
      <c r="K457" s="3">
        <v>603.79</v>
      </c>
      <c r="L457" s="2">
        <v>413.32</v>
      </c>
      <c r="M457" s="2">
        <f>Table1[[#This Row],[UnitPrice]]*Table1[[#This Row],[Quantity]]</f>
        <v>3018.95</v>
      </c>
      <c r="N457" s="2">
        <f>Table1[[#This Row],[CostPrice]]*Table1[[#This Row],[Quantity]]</f>
        <v>2066.6</v>
      </c>
      <c r="O457" s="2">
        <v>861.78</v>
      </c>
      <c r="P457" s="4">
        <v>0.03</v>
      </c>
      <c r="Q457" t="s">
        <v>30</v>
      </c>
      <c r="R457" s="4">
        <f t="shared" si="7"/>
        <v>0.28545686414150617</v>
      </c>
    </row>
    <row r="458" spans="1:18" x14ac:dyDescent="0.25">
      <c r="A458">
        <v>1595</v>
      </c>
      <c r="B458" s="1">
        <v>45028</v>
      </c>
      <c r="C458" t="s">
        <v>176</v>
      </c>
      <c r="D458" t="s">
        <v>17</v>
      </c>
      <c r="E458" t="s">
        <v>53</v>
      </c>
      <c r="F458" t="s">
        <v>40</v>
      </c>
      <c r="G458" t="s">
        <v>41</v>
      </c>
      <c r="H458" t="s">
        <v>63</v>
      </c>
      <c r="I458" t="s">
        <v>64</v>
      </c>
      <c r="J458">
        <v>3</v>
      </c>
      <c r="K458" s="3">
        <v>215.31</v>
      </c>
      <c r="L458" s="2">
        <v>111.32</v>
      </c>
      <c r="M458" s="2">
        <f>Table1[[#This Row],[UnitPrice]]*Table1[[#This Row],[Quantity]]</f>
        <v>645.93000000000006</v>
      </c>
      <c r="N458" s="2">
        <f>Table1[[#This Row],[CostPrice]]*Table1[[#This Row],[Quantity]]</f>
        <v>333.96</v>
      </c>
      <c r="O458" s="2">
        <v>189.24</v>
      </c>
      <c r="P458" s="4">
        <v>0.19</v>
      </c>
      <c r="Q458" t="s">
        <v>85</v>
      </c>
      <c r="R458" s="4">
        <f t="shared" si="7"/>
        <v>0.29297292276252845</v>
      </c>
    </row>
    <row r="459" spans="1:18" x14ac:dyDescent="0.25">
      <c r="A459">
        <v>1055</v>
      </c>
      <c r="B459" s="1">
        <v>45058</v>
      </c>
      <c r="C459" t="s">
        <v>123</v>
      </c>
      <c r="D459" t="s">
        <v>32</v>
      </c>
      <c r="E459" t="s">
        <v>18</v>
      </c>
      <c r="F459" t="s">
        <v>40</v>
      </c>
      <c r="G459" t="s">
        <v>35</v>
      </c>
      <c r="H459" t="s">
        <v>36</v>
      </c>
      <c r="I459" t="s">
        <v>87</v>
      </c>
      <c r="J459">
        <v>4</v>
      </c>
      <c r="K459" s="3">
        <v>318.97000000000003</v>
      </c>
      <c r="L459" s="2">
        <v>242.42</v>
      </c>
      <c r="M459" s="2">
        <f>Table1[[#This Row],[UnitPrice]]*Table1[[#This Row],[Quantity]]</f>
        <v>1275.8800000000001</v>
      </c>
      <c r="N459" s="2">
        <f>Table1[[#This Row],[CostPrice]]*Table1[[#This Row],[Quantity]]</f>
        <v>969.68</v>
      </c>
      <c r="O459" s="2">
        <v>-63.81</v>
      </c>
      <c r="P459" s="4">
        <v>0.28999999999999998</v>
      </c>
      <c r="Q459" t="s">
        <v>92</v>
      </c>
      <c r="R459" s="4">
        <f t="shared" si="7"/>
        <v>-5.0012540364297579E-2</v>
      </c>
    </row>
    <row r="460" spans="1:18" x14ac:dyDescent="0.25">
      <c r="A460">
        <v>1305</v>
      </c>
      <c r="B460" s="1">
        <v>45058</v>
      </c>
      <c r="C460" t="s">
        <v>178</v>
      </c>
      <c r="D460" t="s">
        <v>25</v>
      </c>
      <c r="E460" t="s">
        <v>33</v>
      </c>
      <c r="F460" t="s">
        <v>34</v>
      </c>
      <c r="G460" t="s">
        <v>41</v>
      </c>
      <c r="H460" t="s">
        <v>63</v>
      </c>
      <c r="I460" t="s">
        <v>117</v>
      </c>
      <c r="J460">
        <v>3</v>
      </c>
      <c r="K460" s="3">
        <v>949.7</v>
      </c>
      <c r="L460" s="2">
        <v>733.96</v>
      </c>
      <c r="M460" s="2">
        <f>Table1[[#This Row],[UnitPrice]]*Table1[[#This Row],[Quantity]]</f>
        <v>2849.1000000000004</v>
      </c>
      <c r="N460" s="2">
        <f>Table1[[#This Row],[CostPrice]]*Table1[[#This Row],[Quantity]]</f>
        <v>2201.88</v>
      </c>
      <c r="O460" s="2">
        <v>590.24</v>
      </c>
      <c r="P460" s="4">
        <v>0.02</v>
      </c>
      <c r="Q460" t="s">
        <v>44</v>
      </c>
      <c r="R460" s="4">
        <f t="shared" si="7"/>
        <v>0.20716717559931205</v>
      </c>
    </row>
    <row r="461" spans="1:18" x14ac:dyDescent="0.25">
      <c r="A461">
        <v>1869</v>
      </c>
      <c r="B461" s="1">
        <v>45089</v>
      </c>
      <c r="C461" t="s">
        <v>282</v>
      </c>
      <c r="D461" t="s">
        <v>32</v>
      </c>
      <c r="E461" t="s">
        <v>18</v>
      </c>
      <c r="F461" t="s">
        <v>40</v>
      </c>
      <c r="G461" t="s">
        <v>20</v>
      </c>
      <c r="H461" t="s">
        <v>21</v>
      </c>
      <c r="I461" t="s">
        <v>54</v>
      </c>
      <c r="J461">
        <v>10</v>
      </c>
      <c r="K461" s="3">
        <v>127.35</v>
      </c>
      <c r="L461" s="2">
        <v>99.12</v>
      </c>
      <c r="M461" s="2">
        <f>Table1[[#This Row],[UnitPrice]]*Table1[[#This Row],[Quantity]]</f>
        <v>1273.5</v>
      </c>
      <c r="N461" s="2">
        <f>Table1[[#This Row],[CostPrice]]*Table1[[#This Row],[Quantity]]</f>
        <v>991.2</v>
      </c>
      <c r="O461" s="2">
        <v>65.8</v>
      </c>
      <c r="P461" s="4">
        <v>0.17</v>
      </c>
      <c r="Q461" t="s">
        <v>85</v>
      </c>
      <c r="R461" s="4">
        <f t="shared" si="7"/>
        <v>5.166862976050255E-2</v>
      </c>
    </row>
    <row r="462" spans="1:18" x14ac:dyDescent="0.25">
      <c r="A462">
        <v>1518</v>
      </c>
      <c r="B462" s="1">
        <v>45181</v>
      </c>
      <c r="C462" t="s">
        <v>229</v>
      </c>
      <c r="D462" t="s">
        <v>25</v>
      </c>
      <c r="E462" t="s">
        <v>53</v>
      </c>
      <c r="F462" t="s">
        <v>19</v>
      </c>
      <c r="G462" t="s">
        <v>41</v>
      </c>
      <c r="H462" t="s">
        <v>42</v>
      </c>
      <c r="I462" t="s">
        <v>68</v>
      </c>
      <c r="J462">
        <v>6</v>
      </c>
      <c r="K462" s="3">
        <v>898.44</v>
      </c>
      <c r="L462" s="2">
        <v>607.57000000000005</v>
      </c>
      <c r="M462" s="2">
        <f>Table1[[#This Row],[UnitPrice]]*Table1[[#This Row],[Quantity]]</f>
        <v>5390.64</v>
      </c>
      <c r="N462" s="2">
        <f>Table1[[#This Row],[CostPrice]]*Table1[[#This Row],[Quantity]]</f>
        <v>3645.42</v>
      </c>
      <c r="O462" s="2">
        <v>1044.44</v>
      </c>
      <c r="P462" s="4">
        <v>0.13</v>
      </c>
      <c r="Q462" t="s">
        <v>51</v>
      </c>
      <c r="R462" s="4">
        <f t="shared" si="7"/>
        <v>0.19375064927355565</v>
      </c>
    </row>
    <row r="463" spans="1:18" x14ac:dyDescent="0.25">
      <c r="A463">
        <v>1052</v>
      </c>
      <c r="B463" s="1">
        <v>45242</v>
      </c>
      <c r="C463" t="s">
        <v>120</v>
      </c>
      <c r="D463" t="s">
        <v>32</v>
      </c>
      <c r="E463" t="s">
        <v>26</v>
      </c>
      <c r="F463" t="s">
        <v>27</v>
      </c>
      <c r="G463" t="s">
        <v>20</v>
      </c>
      <c r="H463" t="s">
        <v>28</v>
      </c>
      <c r="I463" t="s">
        <v>29</v>
      </c>
      <c r="J463">
        <v>6</v>
      </c>
      <c r="K463" s="3">
        <v>283.26</v>
      </c>
      <c r="L463" s="2">
        <v>200.73</v>
      </c>
      <c r="M463" s="2">
        <f>Table1[[#This Row],[UnitPrice]]*Table1[[#This Row],[Quantity]]</f>
        <v>1699.56</v>
      </c>
      <c r="N463" s="2">
        <f>Table1[[#This Row],[CostPrice]]*Table1[[#This Row],[Quantity]]</f>
        <v>1204.3799999999999</v>
      </c>
      <c r="O463" s="2">
        <v>53.29</v>
      </c>
      <c r="P463" s="4">
        <v>0.26</v>
      </c>
      <c r="Q463" t="s">
        <v>38</v>
      </c>
      <c r="R463" s="4">
        <f t="shared" si="7"/>
        <v>3.1355174280401986E-2</v>
      </c>
    </row>
    <row r="464" spans="1:18" x14ac:dyDescent="0.25">
      <c r="A464">
        <v>1418</v>
      </c>
      <c r="B464" s="1">
        <v>45242</v>
      </c>
      <c r="C464" t="s">
        <v>266</v>
      </c>
      <c r="D464" t="s">
        <v>17</v>
      </c>
      <c r="E464" t="s">
        <v>33</v>
      </c>
      <c r="F464" t="s">
        <v>27</v>
      </c>
      <c r="G464" t="s">
        <v>35</v>
      </c>
      <c r="H464" t="s">
        <v>36</v>
      </c>
      <c r="I464" t="s">
        <v>37</v>
      </c>
      <c r="J464">
        <v>9</v>
      </c>
      <c r="K464" s="3">
        <v>437.32</v>
      </c>
      <c r="L464" s="2">
        <v>325.48</v>
      </c>
      <c r="M464" s="2">
        <f>Table1[[#This Row],[UnitPrice]]*Table1[[#This Row],[Quantity]]</f>
        <v>3935.88</v>
      </c>
      <c r="N464" s="2">
        <f>Table1[[#This Row],[CostPrice]]*Table1[[#This Row],[Quantity]]</f>
        <v>2929.32</v>
      </c>
      <c r="O464" s="2">
        <v>101.31</v>
      </c>
      <c r="P464" s="4">
        <v>0.23</v>
      </c>
      <c r="Q464" t="s">
        <v>55</v>
      </c>
      <c r="R464" s="4">
        <f t="shared" si="7"/>
        <v>2.5740114027866703E-2</v>
      </c>
    </row>
    <row r="465" spans="1:18" x14ac:dyDescent="0.25">
      <c r="A465">
        <v>1075</v>
      </c>
      <c r="B465" s="1">
        <v>45273</v>
      </c>
      <c r="C465" t="s">
        <v>130</v>
      </c>
      <c r="D465" t="s">
        <v>32</v>
      </c>
      <c r="E465" t="s">
        <v>33</v>
      </c>
      <c r="F465" t="s">
        <v>40</v>
      </c>
      <c r="G465" t="s">
        <v>41</v>
      </c>
      <c r="H465" t="s">
        <v>63</v>
      </c>
      <c r="I465" t="s">
        <v>117</v>
      </c>
      <c r="J465">
        <v>6</v>
      </c>
      <c r="K465" s="3">
        <v>628.66999999999996</v>
      </c>
      <c r="L465" s="2">
        <v>509.6</v>
      </c>
      <c r="M465" s="2">
        <f>Table1[[#This Row],[UnitPrice]]*Table1[[#This Row],[Quantity]]</f>
        <v>3772.0199999999995</v>
      </c>
      <c r="N465" s="2">
        <f>Table1[[#This Row],[CostPrice]]*Table1[[#This Row],[Quantity]]</f>
        <v>3057.6000000000004</v>
      </c>
      <c r="O465" s="2">
        <v>148.62</v>
      </c>
      <c r="P465" s="4">
        <v>0.15</v>
      </c>
      <c r="Q465" t="s">
        <v>38</v>
      </c>
      <c r="R465" s="4">
        <f t="shared" si="7"/>
        <v>3.9400639445177923E-2</v>
      </c>
    </row>
    <row r="466" spans="1:18" x14ac:dyDescent="0.25">
      <c r="A466">
        <v>1810</v>
      </c>
      <c r="B466" s="1">
        <v>45274</v>
      </c>
      <c r="C466" t="s">
        <v>255</v>
      </c>
      <c r="D466" t="s">
        <v>17</v>
      </c>
      <c r="E466" t="s">
        <v>53</v>
      </c>
      <c r="F466" t="s">
        <v>34</v>
      </c>
      <c r="G466" t="s">
        <v>41</v>
      </c>
      <c r="H466" t="s">
        <v>63</v>
      </c>
      <c r="I466" t="s">
        <v>117</v>
      </c>
      <c r="J466">
        <v>4</v>
      </c>
      <c r="K466" s="3">
        <v>212.78</v>
      </c>
      <c r="L466" s="2">
        <v>151.85</v>
      </c>
      <c r="M466" s="2">
        <f>Table1[[#This Row],[UnitPrice]]*Table1[[#This Row],[Quantity]]</f>
        <v>851.12</v>
      </c>
      <c r="N466" s="2">
        <f>Table1[[#This Row],[CostPrice]]*Table1[[#This Row],[Quantity]]</f>
        <v>607.4</v>
      </c>
      <c r="O466" s="2">
        <v>226.7</v>
      </c>
      <c r="P466" s="4">
        <v>0.02</v>
      </c>
      <c r="Q466" t="s">
        <v>92</v>
      </c>
      <c r="R466" s="4">
        <f t="shared" si="7"/>
        <v>0.26635492057524202</v>
      </c>
    </row>
    <row r="467" spans="1:18" x14ac:dyDescent="0.25">
      <c r="A467">
        <v>1117</v>
      </c>
      <c r="B467" s="1">
        <v>45276</v>
      </c>
      <c r="C467" t="s">
        <v>173</v>
      </c>
      <c r="D467" t="s">
        <v>25</v>
      </c>
      <c r="E467" t="s">
        <v>26</v>
      </c>
      <c r="F467" t="s">
        <v>19</v>
      </c>
      <c r="G467" t="s">
        <v>20</v>
      </c>
      <c r="H467" t="s">
        <v>21</v>
      </c>
      <c r="I467" t="s">
        <v>54</v>
      </c>
      <c r="J467">
        <v>2</v>
      </c>
      <c r="K467" s="3">
        <v>510.15</v>
      </c>
      <c r="L467" s="2">
        <v>351.45</v>
      </c>
      <c r="M467" s="2">
        <f>Table1[[#This Row],[UnitPrice]]*Table1[[#This Row],[Quantity]]</f>
        <v>1020.3</v>
      </c>
      <c r="N467" s="2">
        <f>Table1[[#This Row],[CostPrice]]*Table1[[#This Row],[Quantity]]</f>
        <v>702.9</v>
      </c>
      <c r="O467" s="2">
        <v>92.93</v>
      </c>
      <c r="P467" s="4">
        <v>0.22</v>
      </c>
      <c r="Q467" t="s">
        <v>38</v>
      </c>
      <c r="R467" s="4">
        <f t="shared" si="7"/>
        <v>9.1081054591786739E-2</v>
      </c>
    </row>
    <row r="468" spans="1:18" x14ac:dyDescent="0.25">
      <c r="A468">
        <v>1648</v>
      </c>
      <c r="B468" s="1">
        <v>45276</v>
      </c>
      <c r="C468" t="s">
        <v>267</v>
      </c>
      <c r="D468" t="s">
        <v>17</v>
      </c>
      <c r="E468" t="s">
        <v>18</v>
      </c>
      <c r="F468" t="s">
        <v>34</v>
      </c>
      <c r="G468" t="s">
        <v>41</v>
      </c>
      <c r="H468" t="s">
        <v>42</v>
      </c>
      <c r="I468" t="s">
        <v>43</v>
      </c>
      <c r="J468">
        <v>1</v>
      </c>
      <c r="K468" s="3">
        <v>610.74</v>
      </c>
      <c r="L468" s="2">
        <v>306.27999999999997</v>
      </c>
      <c r="M468" s="2">
        <f>Table1[[#This Row],[UnitPrice]]*Table1[[#This Row],[Quantity]]</f>
        <v>610.74</v>
      </c>
      <c r="N468" s="2">
        <f>Table1[[#This Row],[CostPrice]]*Table1[[#This Row],[Quantity]]</f>
        <v>306.27999999999997</v>
      </c>
      <c r="O468" s="2">
        <v>304.45999999999998</v>
      </c>
      <c r="P468" s="4">
        <v>0</v>
      </c>
      <c r="Q468" t="s">
        <v>92</v>
      </c>
      <c r="R468" s="4">
        <f t="shared" si="7"/>
        <v>0.49851000425713066</v>
      </c>
    </row>
    <row r="469" spans="1:18" x14ac:dyDescent="0.25">
      <c r="A469">
        <v>1270</v>
      </c>
      <c r="B469" s="1">
        <v>45277</v>
      </c>
      <c r="C469" t="s">
        <v>233</v>
      </c>
      <c r="D469" t="s">
        <v>32</v>
      </c>
      <c r="E469" t="s">
        <v>26</v>
      </c>
      <c r="F469" t="s">
        <v>34</v>
      </c>
      <c r="G469" t="s">
        <v>41</v>
      </c>
      <c r="H469" t="s">
        <v>42</v>
      </c>
      <c r="I469" t="s">
        <v>68</v>
      </c>
      <c r="J469">
        <v>10</v>
      </c>
      <c r="K469" s="3">
        <v>985.35</v>
      </c>
      <c r="L469" s="2">
        <v>800.72</v>
      </c>
      <c r="M469" s="2">
        <f>Table1[[#This Row],[UnitPrice]]*Table1[[#This Row],[Quantity]]</f>
        <v>9853.5</v>
      </c>
      <c r="N469" s="2">
        <f>Table1[[#This Row],[CostPrice]]*Table1[[#This Row],[Quantity]]</f>
        <v>8007.2000000000007</v>
      </c>
      <c r="O469" s="2">
        <v>-222.93</v>
      </c>
      <c r="P469" s="4">
        <v>0.21</v>
      </c>
      <c r="Q469" t="s">
        <v>75</v>
      </c>
      <c r="R469" s="4">
        <f t="shared" si="7"/>
        <v>-2.2624448165626428E-2</v>
      </c>
    </row>
    <row r="470" spans="1:18" x14ac:dyDescent="0.25">
      <c r="A470">
        <v>1025</v>
      </c>
      <c r="B470" s="1">
        <v>45278</v>
      </c>
      <c r="C470" t="s">
        <v>91</v>
      </c>
      <c r="D470" t="s">
        <v>17</v>
      </c>
      <c r="E470" t="s">
        <v>18</v>
      </c>
      <c r="F470" t="s">
        <v>27</v>
      </c>
      <c r="G470" t="s">
        <v>35</v>
      </c>
      <c r="H470" t="s">
        <v>36</v>
      </c>
      <c r="I470" t="s">
        <v>87</v>
      </c>
      <c r="J470">
        <v>7</v>
      </c>
      <c r="K470" s="3">
        <v>830.2</v>
      </c>
      <c r="L470" s="2">
        <v>427.91</v>
      </c>
      <c r="M470" s="2">
        <f>Table1[[#This Row],[UnitPrice]]*Table1[[#This Row],[Quantity]]</f>
        <v>5811.4000000000005</v>
      </c>
      <c r="N470" s="2">
        <f>Table1[[#This Row],[CostPrice]]*Table1[[#This Row],[Quantity]]</f>
        <v>2995.3700000000003</v>
      </c>
      <c r="O470" s="2">
        <v>2234.89</v>
      </c>
      <c r="P470" s="4">
        <v>0.1</v>
      </c>
      <c r="Q470" t="s">
        <v>92</v>
      </c>
      <c r="R470" s="4">
        <f t="shared" si="7"/>
        <v>0.38456998313659352</v>
      </c>
    </row>
    <row r="471" spans="1:18" x14ac:dyDescent="0.25">
      <c r="A471">
        <v>1378</v>
      </c>
      <c r="B471" s="1">
        <v>45278</v>
      </c>
      <c r="C471" t="s">
        <v>214</v>
      </c>
      <c r="D471" t="s">
        <v>32</v>
      </c>
      <c r="E471" t="s">
        <v>53</v>
      </c>
      <c r="F471" t="s">
        <v>19</v>
      </c>
      <c r="G471" t="s">
        <v>35</v>
      </c>
      <c r="H471" t="s">
        <v>70</v>
      </c>
      <c r="I471" t="s">
        <v>71</v>
      </c>
      <c r="J471">
        <v>6</v>
      </c>
      <c r="K471" s="3">
        <v>855.05</v>
      </c>
      <c r="L471" s="2">
        <v>511.21</v>
      </c>
      <c r="M471" s="2">
        <f>Table1[[#This Row],[UnitPrice]]*Table1[[#This Row],[Quantity]]</f>
        <v>5130.2999999999993</v>
      </c>
      <c r="N471" s="2">
        <f>Table1[[#This Row],[CostPrice]]*Table1[[#This Row],[Quantity]]</f>
        <v>3067.2599999999998</v>
      </c>
      <c r="O471" s="2">
        <v>1806.52</v>
      </c>
      <c r="P471" s="4">
        <v>0.05</v>
      </c>
      <c r="Q471" t="s">
        <v>92</v>
      </c>
      <c r="R471" s="4">
        <f t="shared" si="7"/>
        <v>0.3521275558934176</v>
      </c>
    </row>
    <row r="472" spans="1:18" x14ac:dyDescent="0.25">
      <c r="A472">
        <v>1384</v>
      </c>
      <c r="B472" s="1">
        <v>45278</v>
      </c>
      <c r="C472" t="s">
        <v>208</v>
      </c>
      <c r="D472" t="s">
        <v>32</v>
      </c>
      <c r="E472" t="s">
        <v>18</v>
      </c>
      <c r="F472" t="s">
        <v>40</v>
      </c>
      <c r="G472" t="s">
        <v>41</v>
      </c>
      <c r="H472" t="s">
        <v>63</v>
      </c>
      <c r="I472" t="s">
        <v>117</v>
      </c>
      <c r="J472">
        <v>5</v>
      </c>
      <c r="K472" s="3">
        <v>888.25</v>
      </c>
      <c r="L472" s="2">
        <v>686.92</v>
      </c>
      <c r="M472" s="2">
        <f>Table1[[#This Row],[UnitPrice]]*Table1[[#This Row],[Quantity]]</f>
        <v>4441.25</v>
      </c>
      <c r="N472" s="2">
        <f>Table1[[#This Row],[CostPrice]]*Table1[[#This Row],[Quantity]]</f>
        <v>3434.6</v>
      </c>
      <c r="O472" s="2">
        <v>-236.9</v>
      </c>
      <c r="P472" s="4">
        <v>0.28000000000000003</v>
      </c>
      <c r="Q472" t="s">
        <v>125</v>
      </c>
      <c r="R472" s="4">
        <f t="shared" si="7"/>
        <v>-5.3340838727835634E-2</v>
      </c>
    </row>
    <row r="473" spans="1:18" x14ac:dyDescent="0.25">
      <c r="A473">
        <v>1470</v>
      </c>
      <c r="B473" s="1">
        <v>45279</v>
      </c>
      <c r="C473" t="s">
        <v>275</v>
      </c>
      <c r="D473" t="s">
        <v>25</v>
      </c>
      <c r="E473" t="s">
        <v>53</v>
      </c>
      <c r="F473" t="s">
        <v>19</v>
      </c>
      <c r="G473" t="s">
        <v>35</v>
      </c>
      <c r="H473" t="s">
        <v>36</v>
      </c>
      <c r="I473" t="s">
        <v>37</v>
      </c>
      <c r="J473">
        <v>9</v>
      </c>
      <c r="K473" s="3">
        <v>968.06</v>
      </c>
      <c r="L473" s="2">
        <v>484.32</v>
      </c>
      <c r="M473" s="2">
        <f>Table1[[#This Row],[UnitPrice]]*Table1[[#This Row],[Quantity]]</f>
        <v>8712.5399999999991</v>
      </c>
      <c r="N473" s="2">
        <f>Table1[[#This Row],[CostPrice]]*Table1[[#This Row],[Quantity]]</f>
        <v>4358.88</v>
      </c>
      <c r="O473" s="2">
        <v>2872.53</v>
      </c>
      <c r="P473" s="4">
        <v>0.17</v>
      </c>
      <c r="Q473" t="s">
        <v>85</v>
      </c>
      <c r="R473" s="4">
        <f t="shared" si="7"/>
        <v>0.32970063839018249</v>
      </c>
    </row>
    <row r="474" spans="1:18" x14ac:dyDescent="0.25">
      <c r="A474">
        <v>1032</v>
      </c>
      <c r="B474" s="1">
        <v>45280</v>
      </c>
      <c r="C474" t="s">
        <v>97</v>
      </c>
      <c r="D474" t="s">
        <v>32</v>
      </c>
      <c r="E474" t="s">
        <v>53</v>
      </c>
      <c r="F474" t="s">
        <v>34</v>
      </c>
      <c r="G474" t="s">
        <v>35</v>
      </c>
      <c r="H474" t="s">
        <v>70</v>
      </c>
      <c r="I474" t="s">
        <v>98</v>
      </c>
      <c r="J474">
        <v>5</v>
      </c>
      <c r="K474" s="3">
        <v>49.16</v>
      </c>
      <c r="L474" s="2">
        <v>32.08</v>
      </c>
      <c r="M474" s="2">
        <f>Table1[[#This Row],[UnitPrice]]*Table1[[#This Row],[Quantity]]</f>
        <v>245.79999999999998</v>
      </c>
      <c r="N474" s="2">
        <f>Table1[[#This Row],[CostPrice]]*Table1[[#This Row],[Quantity]]</f>
        <v>160.39999999999998</v>
      </c>
      <c r="O474" s="2">
        <v>46.07</v>
      </c>
      <c r="P474" s="4">
        <v>0.16</v>
      </c>
      <c r="Q474" t="s">
        <v>38</v>
      </c>
      <c r="R474" s="4">
        <f t="shared" si="7"/>
        <v>0.18742880390561434</v>
      </c>
    </row>
    <row r="475" spans="1:18" x14ac:dyDescent="0.25">
      <c r="A475">
        <v>1160</v>
      </c>
      <c r="B475" s="1">
        <v>45280</v>
      </c>
      <c r="C475" t="s">
        <v>167</v>
      </c>
      <c r="D475" t="s">
        <v>25</v>
      </c>
      <c r="E475" t="s">
        <v>18</v>
      </c>
      <c r="F475" t="s">
        <v>34</v>
      </c>
      <c r="G475" t="s">
        <v>35</v>
      </c>
      <c r="H475" t="s">
        <v>70</v>
      </c>
      <c r="I475" t="s">
        <v>98</v>
      </c>
      <c r="J475">
        <v>6</v>
      </c>
      <c r="K475" s="3">
        <v>924.39</v>
      </c>
      <c r="L475" s="2">
        <v>674.43</v>
      </c>
      <c r="M475" s="2">
        <f>Table1[[#This Row],[UnitPrice]]*Table1[[#This Row],[Quantity]]</f>
        <v>5546.34</v>
      </c>
      <c r="N475" s="2">
        <f>Table1[[#This Row],[CostPrice]]*Table1[[#This Row],[Quantity]]</f>
        <v>4046.58</v>
      </c>
      <c r="O475" s="2">
        <v>279.57</v>
      </c>
      <c r="P475" s="4">
        <v>0.22</v>
      </c>
      <c r="Q475" t="s">
        <v>23</v>
      </c>
      <c r="R475" s="4">
        <f t="shared" si="7"/>
        <v>5.0406213827497048E-2</v>
      </c>
    </row>
    <row r="476" spans="1:18" x14ac:dyDescent="0.25">
      <c r="A476">
        <v>1899</v>
      </c>
      <c r="B476" s="1">
        <v>45281</v>
      </c>
      <c r="C476" t="s">
        <v>118</v>
      </c>
      <c r="D476" t="s">
        <v>17</v>
      </c>
      <c r="E476" t="s">
        <v>33</v>
      </c>
      <c r="F476" t="s">
        <v>27</v>
      </c>
      <c r="G476" t="s">
        <v>20</v>
      </c>
      <c r="H476" t="s">
        <v>28</v>
      </c>
      <c r="I476" t="s">
        <v>90</v>
      </c>
      <c r="J476">
        <v>2</v>
      </c>
      <c r="K476" s="3">
        <v>40.42</v>
      </c>
      <c r="L476" s="2">
        <v>27.39</v>
      </c>
      <c r="M476" s="2">
        <f>Table1[[#This Row],[UnitPrice]]*Table1[[#This Row],[Quantity]]</f>
        <v>80.84</v>
      </c>
      <c r="N476" s="2">
        <f>Table1[[#This Row],[CostPrice]]*Table1[[#This Row],[Quantity]]</f>
        <v>54.78</v>
      </c>
      <c r="O476" s="2">
        <v>9.89</v>
      </c>
      <c r="P476" s="4">
        <v>0.2</v>
      </c>
      <c r="Q476" t="s">
        <v>75</v>
      </c>
      <c r="R476" s="4">
        <f t="shared" si="7"/>
        <v>0.12234042553191489</v>
      </c>
    </row>
    <row r="477" spans="1:18" x14ac:dyDescent="0.25">
      <c r="A477">
        <v>1931</v>
      </c>
      <c r="B477" s="1">
        <v>45282</v>
      </c>
      <c r="C477" t="s">
        <v>56</v>
      </c>
      <c r="D477" t="s">
        <v>25</v>
      </c>
      <c r="E477" t="s">
        <v>18</v>
      </c>
      <c r="F477" t="s">
        <v>40</v>
      </c>
      <c r="G477" t="s">
        <v>35</v>
      </c>
      <c r="H477" t="s">
        <v>49</v>
      </c>
      <c r="I477" t="s">
        <v>66</v>
      </c>
      <c r="J477">
        <v>3</v>
      </c>
      <c r="K477" s="3">
        <v>292.04000000000002</v>
      </c>
      <c r="L477" s="2">
        <v>239.82</v>
      </c>
      <c r="M477" s="2">
        <f>Table1[[#This Row],[UnitPrice]]*Table1[[#This Row],[Quantity]]</f>
        <v>876.12000000000012</v>
      </c>
      <c r="N477" s="2">
        <f>Table1[[#This Row],[CostPrice]]*Table1[[#This Row],[Quantity]]</f>
        <v>719.46</v>
      </c>
      <c r="O477" s="2">
        <v>-106.18</v>
      </c>
      <c r="P477" s="4">
        <v>0.3</v>
      </c>
      <c r="Q477" t="s">
        <v>44</v>
      </c>
      <c r="R477" s="4">
        <f t="shared" si="7"/>
        <v>-0.12119344382048121</v>
      </c>
    </row>
    <row r="478" spans="1:18" x14ac:dyDescent="0.25">
      <c r="A478">
        <v>1504</v>
      </c>
      <c r="B478" s="1">
        <v>45283</v>
      </c>
      <c r="C478" t="s">
        <v>280</v>
      </c>
      <c r="D478" t="s">
        <v>17</v>
      </c>
      <c r="E478" t="s">
        <v>26</v>
      </c>
      <c r="F478" t="s">
        <v>19</v>
      </c>
      <c r="G478" t="s">
        <v>20</v>
      </c>
      <c r="H478" t="s">
        <v>113</v>
      </c>
      <c r="I478" t="s">
        <v>114</v>
      </c>
      <c r="J478">
        <v>10</v>
      </c>
      <c r="K478" s="3">
        <v>365.09</v>
      </c>
      <c r="L478" s="2">
        <v>279.8</v>
      </c>
      <c r="M478" s="2">
        <f>Table1[[#This Row],[UnitPrice]]*Table1[[#This Row],[Quantity]]</f>
        <v>3650.8999999999996</v>
      </c>
      <c r="N478" s="2">
        <f>Table1[[#This Row],[CostPrice]]*Table1[[#This Row],[Quantity]]</f>
        <v>2798</v>
      </c>
      <c r="O478" s="2">
        <v>268.76</v>
      </c>
      <c r="P478" s="4">
        <v>0.16</v>
      </c>
      <c r="Q478" t="s">
        <v>23</v>
      </c>
      <c r="R478" s="4">
        <f t="shared" si="7"/>
        <v>7.3614725136267781E-2</v>
      </c>
    </row>
    <row r="479" spans="1:18" x14ac:dyDescent="0.25">
      <c r="A479">
        <v>1736</v>
      </c>
      <c r="B479" s="1">
        <v>45283</v>
      </c>
      <c r="C479" t="s">
        <v>272</v>
      </c>
      <c r="D479" t="s">
        <v>32</v>
      </c>
      <c r="E479" t="s">
        <v>33</v>
      </c>
      <c r="F479" t="s">
        <v>40</v>
      </c>
      <c r="G479" t="s">
        <v>35</v>
      </c>
      <c r="H479" t="s">
        <v>70</v>
      </c>
      <c r="I479" t="s">
        <v>98</v>
      </c>
      <c r="J479">
        <v>9</v>
      </c>
      <c r="K479" s="3">
        <v>396.8</v>
      </c>
      <c r="L479" s="2">
        <v>216.58</v>
      </c>
      <c r="M479" s="2">
        <f>Table1[[#This Row],[UnitPrice]]*Table1[[#This Row],[Quantity]]</f>
        <v>3571.2000000000003</v>
      </c>
      <c r="N479" s="2">
        <f>Table1[[#This Row],[CostPrice]]*Table1[[#This Row],[Quantity]]</f>
        <v>1949.22</v>
      </c>
      <c r="O479" s="2">
        <v>800.6</v>
      </c>
      <c r="P479" s="4">
        <v>0.23</v>
      </c>
      <c r="Q479" t="s">
        <v>125</v>
      </c>
      <c r="R479" s="4">
        <f t="shared" si="7"/>
        <v>0.22418234767025089</v>
      </c>
    </row>
    <row r="480" spans="1:18" x14ac:dyDescent="0.25">
      <c r="A480">
        <v>1030</v>
      </c>
      <c r="B480" s="1">
        <v>45285</v>
      </c>
      <c r="C480" t="s">
        <v>95</v>
      </c>
      <c r="D480" t="s">
        <v>25</v>
      </c>
      <c r="E480" t="s">
        <v>26</v>
      </c>
      <c r="F480" t="s">
        <v>34</v>
      </c>
      <c r="G480" t="s">
        <v>41</v>
      </c>
      <c r="H480" t="s">
        <v>42</v>
      </c>
      <c r="I480" t="s">
        <v>68</v>
      </c>
      <c r="J480">
        <v>6</v>
      </c>
      <c r="K480" s="3">
        <v>282.20999999999998</v>
      </c>
      <c r="L480" s="2">
        <v>147.96</v>
      </c>
      <c r="M480" s="2">
        <f>Table1[[#This Row],[UnitPrice]]*Table1[[#This Row],[Quantity]]</f>
        <v>1693.2599999999998</v>
      </c>
      <c r="N480" s="2">
        <f>Table1[[#This Row],[CostPrice]]*Table1[[#This Row],[Quantity]]</f>
        <v>887.76</v>
      </c>
      <c r="O480" s="2">
        <v>416.05</v>
      </c>
      <c r="P480" s="4">
        <v>0.23</v>
      </c>
      <c r="Q480" t="s">
        <v>85</v>
      </c>
      <c r="R480" s="4">
        <f t="shared" si="7"/>
        <v>0.24570945985849785</v>
      </c>
    </row>
    <row r="481" spans="1:18" x14ac:dyDescent="0.25">
      <c r="A481">
        <v>1268</v>
      </c>
      <c r="B481" s="1">
        <v>45285</v>
      </c>
      <c r="C481" t="s">
        <v>108</v>
      </c>
      <c r="D481" t="s">
        <v>25</v>
      </c>
      <c r="E481" t="s">
        <v>33</v>
      </c>
      <c r="F481" t="s">
        <v>34</v>
      </c>
      <c r="G481" t="s">
        <v>35</v>
      </c>
      <c r="H481" t="s">
        <v>49</v>
      </c>
      <c r="I481" t="s">
        <v>59</v>
      </c>
      <c r="J481">
        <v>7</v>
      </c>
      <c r="K481" s="3">
        <v>969.26</v>
      </c>
      <c r="L481" s="2">
        <v>784.71</v>
      </c>
      <c r="M481" s="2">
        <f>Table1[[#This Row],[UnitPrice]]*Table1[[#This Row],[Quantity]]</f>
        <v>6784.82</v>
      </c>
      <c r="N481" s="2">
        <f>Table1[[#This Row],[CostPrice]]*Table1[[#This Row],[Quantity]]</f>
        <v>5492.97</v>
      </c>
      <c r="O481" s="2">
        <v>274.13</v>
      </c>
      <c r="P481" s="4">
        <v>0.15</v>
      </c>
      <c r="Q481" t="s">
        <v>75</v>
      </c>
      <c r="R481" s="4">
        <f t="shared" si="7"/>
        <v>4.040343000993394E-2</v>
      </c>
    </row>
    <row r="482" spans="1:18" x14ac:dyDescent="0.25">
      <c r="A482">
        <v>1269</v>
      </c>
      <c r="B482" s="1">
        <v>45286</v>
      </c>
      <c r="C482" t="s">
        <v>96</v>
      </c>
      <c r="D482" t="s">
        <v>25</v>
      </c>
      <c r="E482" t="s">
        <v>53</v>
      </c>
      <c r="F482" t="s">
        <v>19</v>
      </c>
      <c r="G482" t="s">
        <v>20</v>
      </c>
      <c r="H482" t="s">
        <v>28</v>
      </c>
      <c r="I482" t="s">
        <v>90</v>
      </c>
      <c r="J482">
        <v>1</v>
      </c>
      <c r="K482" s="3">
        <v>298.43</v>
      </c>
      <c r="L482" s="2">
        <v>182.51</v>
      </c>
      <c r="M482" s="2">
        <f>Table1[[#This Row],[UnitPrice]]*Table1[[#This Row],[Quantity]]</f>
        <v>298.43</v>
      </c>
      <c r="N482" s="2">
        <f>Table1[[#This Row],[CostPrice]]*Table1[[#This Row],[Quantity]]</f>
        <v>182.51</v>
      </c>
      <c r="O482" s="2">
        <v>29.38</v>
      </c>
      <c r="P482" s="4">
        <v>0.28999999999999998</v>
      </c>
      <c r="Q482" t="s">
        <v>44</v>
      </c>
      <c r="R482" s="4">
        <f t="shared" si="7"/>
        <v>9.8448547398049785E-2</v>
      </c>
    </row>
    <row r="483" spans="1:18" x14ac:dyDescent="0.25">
      <c r="A483">
        <v>1829</v>
      </c>
      <c r="B483" s="1">
        <v>45286</v>
      </c>
      <c r="C483" t="s">
        <v>169</v>
      </c>
      <c r="D483" t="s">
        <v>32</v>
      </c>
      <c r="E483" t="s">
        <v>53</v>
      </c>
      <c r="F483" t="s">
        <v>27</v>
      </c>
      <c r="G483" t="s">
        <v>20</v>
      </c>
      <c r="H483" t="s">
        <v>28</v>
      </c>
      <c r="I483" t="s">
        <v>81</v>
      </c>
      <c r="J483">
        <v>9</v>
      </c>
      <c r="K483" s="3">
        <v>287.19</v>
      </c>
      <c r="L483" s="2">
        <v>232.01</v>
      </c>
      <c r="M483" s="2">
        <f>Table1[[#This Row],[UnitPrice]]*Table1[[#This Row],[Quantity]]</f>
        <v>2584.71</v>
      </c>
      <c r="N483" s="2">
        <f>Table1[[#This Row],[CostPrice]]*Table1[[#This Row],[Quantity]]</f>
        <v>2088.09</v>
      </c>
      <c r="O483" s="2">
        <v>289.83999999999997</v>
      </c>
      <c r="P483" s="4">
        <v>0.08</v>
      </c>
      <c r="Q483" t="s">
        <v>75</v>
      </c>
      <c r="R483" s="4">
        <f t="shared" si="7"/>
        <v>0.11213637119831624</v>
      </c>
    </row>
    <row r="484" spans="1:18" x14ac:dyDescent="0.25">
      <c r="A484">
        <v>1747</v>
      </c>
      <c r="B484" s="1">
        <v>45287</v>
      </c>
      <c r="C484" t="s">
        <v>93</v>
      </c>
      <c r="D484" t="s">
        <v>17</v>
      </c>
      <c r="E484" t="s">
        <v>26</v>
      </c>
      <c r="F484" t="s">
        <v>34</v>
      </c>
      <c r="G484" t="s">
        <v>41</v>
      </c>
      <c r="H484" t="s">
        <v>42</v>
      </c>
      <c r="I484" t="s">
        <v>77</v>
      </c>
      <c r="J484">
        <v>1</v>
      </c>
      <c r="K484" s="3">
        <v>192.13</v>
      </c>
      <c r="L484" s="2">
        <v>116.22</v>
      </c>
      <c r="M484" s="2">
        <f>Table1[[#This Row],[UnitPrice]]*Table1[[#This Row],[Quantity]]</f>
        <v>192.13</v>
      </c>
      <c r="N484" s="2">
        <f>Table1[[#This Row],[CostPrice]]*Table1[[#This Row],[Quantity]]</f>
        <v>116.22</v>
      </c>
      <c r="O484" s="2">
        <v>27.88</v>
      </c>
      <c r="P484" s="4">
        <v>0.25</v>
      </c>
      <c r="Q484" t="s">
        <v>92</v>
      </c>
      <c r="R484" s="4">
        <f t="shared" si="7"/>
        <v>0.14511008171550513</v>
      </c>
    </row>
    <row r="485" spans="1:18" x14ac:dyDescent="0.25">
      <c r="A485">
        <v>1524</v>
      </c>
      <c r="B485" s="1">
        <v>45288</v>
      </c>
      <c r="C485" t="s">
        <v>76</v>
      </c>
      <c r="D485" t="s">
        <v>25</v>
      </c>
      <c r="E485" t="s">
        <v>26</v>
      </c>
      <c r="F485" t="s">
        <v>40</v>
      </c>
      <c r="G485" t="s">
        <v>20</v>
      </c>
      <c r="H485" t="s">
        <v>21</v>
      </c>
      <c r="I485" t="s">
        <v>132</v>
      </c>
      <c r="J485">
        <v>3</v>
      </c>
      <c r="K485" s="3">
        <v>241.72</v>
      </c>
      <c r="L485" s="2">
        <v>124.34</v>
      </c>
      <c r="M485" s="2">
        <f>Table1[[#This Row],[UnitPrice]]*Table1[[#This Row],[Quantity]]</f>
        <v>725.16</v>
      </c>
      <c r="N485" s="2">
        <f>Table1[[#This Row],[CostPrice]]*Table1[[#This Row],[Quantity]]</f>
        <v>373.02</v>
      </c>
      <c r="O485" s="2">
        <v>286.88</v>
      </c>
      <c r="P485" s="4">
        <v>0.09</v>
      </c>
      <c r="Q485" t="s">
        <v>92</v>
      </c>
      <c r="R485" s="4">
        <f t="shared" si="7"/>
        <v>0.39560924485630761</v>
      </c>
    </row>
    <row r="486" spans="1:18" x14ac:dyDescent="0.25">
      <c r="A486">
        <v>1028</v>
      </c>
      <c r="B486" s="1">
        <v>45289</v>
      </c>
      <c r="C486" t="s">
        <v>67</v>
      </c>
      <c r="D486" t="s">
        <v>32</v>
      </c>
      <c r="E486" t="s">
        <v>26</v>
      </c>
      <c r="F486" t="s">
        <v>19</v>
      </c>
      <c r="G486" t="s">
        <v>20</v>
      </c>
      <c r="H486" t="s">
        <v>21</v>
      </c>
      <c r="I486" t="s">
        <v>79</v>
      </c>
      <c r="J486">
        <v>1</v>
      </c>
      <c r="K486" s="3">
        <v>183.46</v>
      </c>
      <c r="L486" s="2">
        <v>151.09</v>
      </c>
      <c r="M486" s="2">
        <f>Table1[[#This Row],[UnitPrice]]*Table1[[#This Row],[Quantity]]</f>
        <v>183.46</v>
      </c>
      <c r="N486" s="2">
        <f>Table1[[#This Row],[CostPrice]]*Table1[[#This Row],[Quantity]]</f>
        <v>151.09</v>
      </c>
      <c r="O486" s="2">
        <v>-9.83</v>
      </c>
      <c r="P486" s="4">
        <v>0.23</v>
      </c>
      <c r="Q486" t="s">
        <v>75</v>
      </c>
      <c r="R486" s="4">
        <f t="shared" si="7"/>
        <v>-5.3581162106181184E-2</v>
      </c>
    </row>
    <row r="487" spans="1:18" x14ac:dyDescent="0.25">
      <c r="A487">
        <v>1453</v>
      </c>
      <c r="B487" s="1">
        <v>45289</v>
      </c>
      <c r="C487" t="s">
        <v>109</v>
      </c>
      <c r="D487" t="s">
        <v>32</v>
      </c>
      <c r="E487" t="s">
        <v>33</v>
      </c>
      <c r="F487" t="s">
        <v>40</v>
      </c>
      <c r="G487" t="s">
        <v>35</v>
      </c>
      <c r="H487" t="s">
        <v>70</v>
      </c>
      <c r="I487" t="s">
        <v>84</v>
      </c>
      <c r="J487">
        <v>3</v>
      </c>
      <c r="K487" s="3">
        <v>573.13</v>
      </c>
      <c r="L487" s="2">
        <v>364.71</v>
      </c>
      <c r="M487" s="2">
        <f>Table1[[#This Row],[UnitPrice]]*Table1[[#This Row],[Quantity]]</f>
        <v>1719.3899999999999</v>
      </c>
      <c r="N487" s="2">
        <f>Table1[[#This Row],[CostPrice]]*Table1[[#This Row],[Quantity]]</f>
        <v>1094.1299999999999</v>
      </c>
      <c r="O487" s="2">
        <v>315.77</v>
      </c>
      <c r="P487" s="4">
        <v>0.18</v>
      </c>
      <c r="Q487" t="s">
        <v>30</v>
      </c>
      <c r="R487" s="4">
        <f t="shared" si="7"/>
        <v>0.18365234181890089</v>
      </c>
    </row>
    <row r="488" spans="1:18" x14ac:dyDescent="0.25">
      <c r="A488">
        <v>1253</v>
      </c>
      <c r="B488" s="1">
        <v>45291</v>
      </c>
      <c r="C488" t="s">
        <v>187</v>
      </c>
      <c r="D488" t="s">
        <v>25</v>
      </c>
      <c r="E488" t="s">
        <v>18</v>
      </c>
      <c r="F488" t="s">
        <v>40</v>
      </c>
      <c r="G488" t="s">
        <v>20</v>
      </c>
      <c r="H488" t="s">
        <v>21</v>
      </c>
      <c r="I488" t="s">
        <v>79</v>
      </c>
      <c r="J488">
        <v>8</v>
      </c>
      <c r="K488" s="3">
        <v>558.16999999999996</v>
      </c>
      <c r="L488" s="2">
        <v>386.56</v>
      </c>
      <c r="M488" s="2">
        <f>Table1[[#This Row],[UnitPrice]]*Table1[[#This Row],[Quantity]]</f>
        <v>4465.3599999999997</v>
      </c>
      <c r="N488" s="2">
        <f>Table1[[#This Row],[CostPrice]]*Table1[[#This Row],[Quantity]]</f>
        <v>3092.48</v>
      </c>
      <c r="O488" s="2">
        <v>1238.92</v>
      </c>
      <c r="P488" s="4">
        <v>0.03</v>
      </c>
      <c r="Q488" t="s">
        <v>44</v>
      </c>
      <c r="R488" s="4">
        <f t="shared" si="7"/>
        <v>0.27745131411577123</v>
      </c>
    </row>
    <row r="489" spans="1:18" x14ac:dyDescent="0.25">
      <c r="A489">
        <v>1762</v>
      </c>
      <c r="B489" s="1">
        <v>45291</v>
      </c>
      <c r="C489" t="s">
        <v>127</v>
      </c>
      <c r="D489" t="s">
        <v>32</v>
      </c>
      <c r="E489" t="s">
        <v>18</v>
      </c>
      <c r="F489" t="s">
        <v>40</v>
      </c>
      <c r="G489" t="s">
        <v>35</v>
      </c>
      <c r="H489" t="s">
        <v>36</v>
      </c>
      <c r="I489" t="s">
        <v>87</v>
      </c>
      <c r="J489">
        <v>6</v>
      </c>
      <c r="K489" s="3">
        <v>890.75</v>
      </c>
      <c r="L489" s="2">
        <v>503.41</v>
      </c>
      <c r="M489" s="2">
        <f>Table1[[#This Row],[UnitPrice]]*Table1[[#This Row],[Quantity]]</f>
        <v>5344.5</v>
      </c>
      <c r="N489" s="2">
        <f>Table1[[#This Row],[CostPrice]]*Table1[[#This Row],[Quantity]]</f>
        <v>3020.46</v>
      </c>
      <c r="O489" s="2">
        <v>1736.15</v>
      </c>
      <c r="P489" s="4">
        <v>0.11</v>
      </c>
      <c r="Q489" t="s">
        <v>44</v>
      </c>
      <c r="R489" s="4">
        <f t="shared" si="7"/>
        <v>0.32484797455327907</v>
      </c>
    </row>
    <row r="490" spans="1:18" x14ac:dyDescent="0.25">
      <c r="A490">
        <v>1996</v>
      </c>
      <c r="B490" s="1">
        <v>45292</v>
      </c>
      <c r="C490" t="s">
        <v>280</v>
      </c>
      <c r="D490" t="s">
        <v>32</v>
      </c>
      <c r="E490" t="s">
        <v>18</v>
      </c>
      <c r="F490" t="s">
        <v>40</v>
      </c>
      <c r="G490" t="s">
        <v>41</v>
      </c>
      <c r="H490" t="s">
        <v>42</v>
      </c>
      <c r="I490" t="s">
        <v>43</v>
      </c>
      <c r="J490">
        <v>2</v>
      </c>
      <c r="K490" s="3">
        <v>360.46</v>
      </c>
      <c r="L490" s="2">
        <v>184.85</v>
      </c>
      <c r="M490" s="2">
        <f>Table1[[#This Row],[UnitPrice]]*Table1[[#This Row],[Quantity]]</f>
        <v>720.92</v>
      </c>
      <c r="N490" s="2">
        <f>Table1[[#This Row],[CostPrice]]*Table1[[#This Row],[Quantity]]</f>
        <v>369.7</v>
      </c>
      <c r="O490" s="2">
        <v>192.62</v>
      </c>
      <c r="P490" s="4">
        <v>0.22</v>
      </c>
      <c r="Q490" t="s">
        <v>23</v>
      </c>
      <c r="R490" s="4">
        <f t="shared" si="7"/>
        <v>0.2671863729678744</v>
      </c>
    </row>
    <row r="491" spans="1:18" x14ac:dyDescent="0.25">
      <c r="A491">
        <v>1338</v>
      </c>
      <c r="B491" s="1">
        <v>45323</v>
      </c>
      <c r="C491" t="s">
        <v>186</v>
      </c>
      <c r="D491" t="s">
        <v>25</v>
      </c>
      <c r="E491" t="s">
        <v>18</v>
      </c>
      <c r="F491" t="s">
        <v>40</v>
      </c>
      <c r="G491" t="s">
        <v>41</v>
      </c>
      <c r="H491" t="s">
        <v>42</v>
      </c>
      <c r="I491" t="s">
        <v>68</v>
      </c>
      <c r="J491">
        <v>8</v>
      </c>
      <c r="K491" s="3">
        <v>384.51</v>
      </c>
      <c r="L491" s="2">
        <v>302.89</v>
      </c>
      <c r="M491" s="2">
        <f>Table1[[#This Row],[UnitPrice]]*Table1[[#This Row],[Quantity]]</f>
        <v>3076.08</v>
      </c>
      <c r="N491" s="2">
        <f>Table1[[#This Row],[CostPrice]]*Table1[[#This Row],[Quantity]]</f>
        <v>2423.12</v>
      </c>
      <c r="O491" s="2">
        <v>622.20000000000005</v>
      </c>
      <c r="P491" s="4">
        <v>0.01</v>
      </c>
      <c r="Q491" t="s">
        <v>92</v>
      </c>
      <c r="R491" s="4">
        <f t="shared" si="7"/>
        <v>0.20227042209565424</v>
      </c>
    </row>
    <row r="492" spans="1:18" x14ac:dyDescent="0.25">
      <c r="A492">
        <v>1412</v>
      </c>
      <c r="B492" s="1">
        <v>45383</v>
      </c>
      <c r="C492" t="s">
        <v>188</v>
      </c>
      <c r="D492" t="s">
        <v>32</v>
      </c>
      <c r="E492" t="s">
        <v>33</v>
      </c>
      <c r="F492" t="s">
        <v>34</v>
      </c>
      <c r="G492" t="s">
        <v>35</v>
      </c>
      <c r="H492" t="s">
        <v>70</v>
      </c>
      <c r="I492" t="s">
        <v>98</v>
      </c>
      <c r="J492">
        <v>9</v>
      </c>
      <c r="K492" s="3">
        <v>139.41</v>
      </c>
      <c r="L492" s="2">
        <v>113.15</v>
      </c>
      <c r="M492" s="2">
        <f>Table1[[#This Row],[UnitPrice]]*Table1[[#This Row],[Quantity]]</f>
        <v>1254.69</v>
      </c>
      <c r="N492" s="2">
        <f>Table1[[#This Row],[CostPrice]]*Table1[[#This Row],[Quantity]]</f>
        <v>1018.35</v>
      </c>
      <c r="O492" s="2">
        <v>236.34</v>
      </c>
      <c r="P492" s="4">
        <v>0</v>
      </c>
      <c r="Q492" t="s">
        <v>23</v>
      </c>
      <c r="R492" s="4">
        <f t="shared" si="7"/>
        <v>0.18836525356861056</v>
      </c>
    </row>
    <row r="493" spans="1:18" x14ac:dyDescent="0.25">
      <c r="A493">
        <v>1723</v>
      </c>
      <c r="B493" s="1">
        <v>45413</v>
      </c>
      <c r="C493" t="s">
        <v>160</v>
      </c>
      <c r="D493" t="s">
        <v>32</v>
      </c>
      <c r="E493" t="s">
        <v>33</v>
      </c>
      <c r="F493" t="s">
        <v>40</v>
      </c>
      <c r="G493" t="s">
        <v>35</v>
      </c>
      <c r="H493" t="s">
        <v>36</v>
      </c>
      <c r="I493" t="s">
        <v>87</v>
      </c>
      <c r="J493">
        <v>8</v>
      </c>
      <c r="K493" s="3">
        <v>871.19</v>
      </c>
      <c r="L493" s="2">
        <v>558.11</v>
      </c>
      <c r="M493" s="2">
        <f>Table1[[#This Row],[UnitPrice]]*Table1[[#This Row],[Quantity]]</f>
        <v>6969.52</v>
      </c>
      <c r="N493" s="2">
        <f>Table1[[#This Row],[CostPrice]]*Table1[[#This Row],[Quantity]]</f>
        <v>4464.88</v>
      </c>
      <c r="O493" s="2">
        <v>762.26</v>
      </c>
      <c r="P493" s="4">
        <v>0.25</v>
      </c>
      <c r="Q493" t="s">
        <v>92</v>
      </c>
      <c r="R493" s="4">
        <f t="shared" si="7"/>
        <v>0.10937051619049805</v>
      </c>
    </row>
    <row r="494" spans="1:18" x14ac:dyDescent="0.25">
      <c r="A494">
        <v>1923</v>
      </c>
      <c r="B494" s="1">
        <v>45444</v>
      </c>
      <c r="C494" t="s">
        <v>210</v>
      </c>
      <c r="D494" t="s">
        <v>17</v>
      </c>
      <c r="E494" t="s">
        <v>33</v>
      </c>
      <c r="F494" t="s">
        <v>40</v>
      </c>
      <c r="G494" t="s">
        <v>41</v>
      </c>
      <c r="H494" t="s">
        <v>46</v>
      </c>
      <c r="I494" t="s">
        <v>102</v>
      </c>
      <c r="J494">
        <v>4</v>
      </c>
      <c r="K494" s="3">
        <v>451.72</v>
      </c>
      <c r="L494" s="2">
        <v>292.08</v>
      </c>
      <c r="M494" s="2">
        <f>Table1[[#This Row],[UnitPrice]]*Table1[[#This Row],[Quantity]]</f>
        <v>1806.88</v>
      </c>
      <c r="N494" s="2">
        <f>Table1[[#This Row],[CostPrice]]*Table1[[#This Row],[Quantity]]</f>
        <v>1168.32</v>
      </c>
      <c r="O494" s="2">
        <v>331.39</v>
      </c>
      <c r="P494" s="4">
        <v>0.17</v>
      </c>
      <c r="Q494" t="s">
        <v>92</v>
      </c>
      <c r="R494" s="4">
        <f t="shared" si="7"/>
        <v>0.18340454263703176</v>
      </c>
    </row>
    <row r="495" spans="1:18" x14ac:dyDescent="0.25">
      <c r="A495">
        <v>1989</v>
      </c>
      <c r="B495" s="1">
        <v>45444</v>
      </c>
      <c r="C495" t="s">
        <v>154</v>
      </c>
      <c r="D495" t="s">
        <v>25</v>
      </c>
      <c r="E495" t="s">
        <v>53</v>
      </c>
      <c r="F495" t="s">
        <v>34</v>
      </c>
      <c r="G495" t="s">
        <v>41</v>
      </c>
      <c r="H495" t="s">
        <v>42</v>
      </c>
      <c r="I495" t="s">
        <v>77</v>
      </c>
      <c r="J495">
        <v>8</v>
      </c>
      <c r="K495" s="3">
        <v>192.03</v>
      </c>
      <c r="L495" s="2">
        <v>110.21</v>
      </c>
      <c r="M495" s="2">
        <f>Table1[[#This Row],[UnitPrice]]*Table1[[#This Row],[Quantity]]</f>
        <v>1536.24</v>
      </c>
      <c r="N495" s="2">
        <f>Table1[[#This Row],[CostPrice]]*Table1[[#This Row],[Quantity]]</f>
        <v>881.68</v>
      </c>
      <c r="O495" s="2">
        <v>454.85</v>
      </c>
      <c r="P495" s="4">
        <v>0.13</v>
      </c>
      <c r="Q495" t="s">
        <v>85</v>
      </c>
      <c r="R495" s="4">
        <f t="shared" si="7"/>
        <v>0.2960800395771494</v>
      </c>
    </row>
    <row r="496" spans="1:18" x14ac:dyDescent="0.25">
      <c r="A496">
        <v>1151</v>
      </c>
      <c r="B496" s="1">
        <v>45474</v>
      </c>
      <c r="C496" t="s">
        <v>88</v>
      </c>
      <c r="D496" t="s">
        <v>25</v>
      </c>
      <c r="E496" t="s">
        <v>53</v>
      </c>
      <c r="F496" t="s">
        <v>27</v>
      </c>
      <c r="G496" t="s">
        <v>41</v>
      </c>
      <c r="H496" t="s">
        <v>46</v>
      </c>
      <c r="I496" t="s">
        <v>102</v>
      </c>
      <c r="J496">
        <v>10</v>
      </c>
      <c r="K496" s="3">
        <v>123.22</v>
      </c>
      <c r="L496" s="2">
        <v>103.66</v>
      </c>
      <c r="M496" s="2">
        <f>Table1[[#This Row],[UnitPrice]]*Table1[[#This Row],[Quantity]]</f>
        <v>1232.2</v>
      </c>
      <c r="N496" s="2">
        <f>Table1[[#This Row],[CostPrice]]*Table1[[#This Row],[Quantity]]</f>
        <v>1036.5999999999999</v>
      </c>
      <c r="O496" s="2">
        <v>47.74</v>
      </c>
      <c r="P496" s="4">
        <v>0.12</v>
      </c>
      <c r="Q496" t="s">
        <v>85</v>
      </c>
      <c r="R496" s="4">
        <f t="shared" si="7"/>
        <v>3.874371043661743E-2</v>
      </c>
    </row>
    <row r="497" spans="1:18" x14ac:dyDescent="0.25">
      <c r="A497">
        <v>1773</v>
      </c>
      <c r="B497" s="1">
        <v>45505</v>
      </c>
      <c r="C497" t="s">
        <v>281</v>
      </c>
      <c r="D497" t="s">
        <v>25</v>
      </c>
      <c r="E497" t="s">
        <v>33</v>
      </c>
      <c r="F497" t="s">
        <v>34</v>
      </c>
      <c r="G497" t="s">
        <v>41</v>
      </c>
      <c r="H497" t="s">
        <v>63</v>
      </c>
      <c r="I497" t="s">
        <v>141</v>
      </c>
      <c r="J497">
        <v>6</v>
      </c>
      <c r="K497" s="3">
        <v>363.77</v>
      </c>
      <c r="L497" s="2">
        <v>285.02</v>
      </c>
      <c r="M497" s="2">
        <f>Table1[[#This Row],[UnitPrice]]*Table1[[#This Row],[Quantity]]</f>
        <v>2182.62</v>
      </c>
      <c r="N497" s="2">
        <f>Table1[[#This Row],[CostPrice]]*Table1[[#This Row],[Quantity]]</f>
        <v>1710.12</v>
      </c>
      <c r="O497" s="2">
        <v>-7.68</v>
      </c>
      <c r="P497" s="4">
        <v>0.22</v>
      </c>
      <c r="Q497" t="s">
        <v>125</v>
      </c>
      <c r="R497" s="4">
        <f t="shared" si="7"/>
        <v>-3.5187068752233555E-3</v>
      </c>
    </row>
    <row r="498" spans="1:18" x14ac:dyDescent="0.25">
      <c r="A498">
        <v>1119</v>
      </c>
      <c r="B498" s="1">
        <v>45536</v>
      </c>
      <c r="C498" t="s">
        <v>175</v>
      </c>
      <c r="D498" t="s">
        <v>25</v>
      </c>
      <c r="E498" t="s">
        <v>53</v>
      </c>
      <c r="F498" t="s">
        <v>40</v>
      </c>
      <c r="G498" t="s">
        <v>41</v>
      </c>
      <c r="H498" t="s">
        <v>46</v>
      </c>
      <c r="I498" t="s">
        <v>47</v>
      </c>
      <c r="J498">
        <v>9</v>
      </c>
      <c r="K498" s="3">
        <v>242.97</v>
      </c>
      <c r="L498" s="2">
        <v>203.6</v>
      </c>
      <c r="M498" s="2">
        <f>Table1[[#This Row],[UnitPrice]]*Table1[[#This Row],[Quantity]]</f>
        <v>2186.73</v>
      </c>
      <c r="N498" s="2">
        <f>Table1[[#This Row],[CostPrice]]*Table1[[#This Row],[Quantity]]</f>
        <v>1832.3999999999999</v>
      </c>
      <c r="O498" s="2">
        <v>-170.49</v>
      </c>
      <c r="P498" s="4">
        <v>0.24</v>
      </c>
      <c r="Q498" t="s">
        <v>23</v>
      </c>
      <c r="R498" s="4">
        <f t="shared" si="7"/>
        <v>-7.7965729651122917E-2</v>
      </c>
    </row>
    <row r="499" spans="1:18" x14ac:dyDescent="0.25">
      <c r="A499">
        <v>1347</v>
      </c>
      <c r="B499" s="1">
        <v>45566</v>
      </c>
      <c r="C499" t="s">
        <v>106</v>
      </c>
      <c r="D499" t="s">
        <v>17</v>
      </c>
      <c r="E499" t="s">
        <v>18</v>
      </c>
      <c r="F499" t="s">
        <v>19</v>
      </c>
      <c r="G499" t="s">
        <v>35</v>
      </c>
      <c r="H499" t="s">
        <v>70</v>
      </c>
      <c r="I499" t="s">
        <v>84</v>
      </c>
      <c r="J499">
        <v>2</v>
      </c>
      <c r="K499" s="3">
        <v>399.8</v>
      </c>
      <c r="L499" s="2">
        <v>270.17</v>
      </c>
      <c r="M499" s="2">
        <f>Table1[[#This Row],[UnitPrice]]*Table1[[#This Row],[Quantity]]</f>
        <v>799.6</v>
      </c>
      <c r="N499" s="2">
        <f>Table1[[#This Row],[CostPrice]]*Table1[[#This Row],[Quantity]]</f>
        <v>540.34</v>
      </c>
      <c r="O499" s="2">
        <v>99.34</v>
      </c>
      <c r="P499" s="4">
        <v>0.2</v>
      </c>
      <c r="Q499" t="s">
        <v>125</v>
      </c>
      <c r="R499" s="4">
        <f t="shared" si="7"/>
        <v>0.12423711855927964</v>
      </c>
    </row>
    <row r="500" spans="1:18" x14ac:dyDescent="0.25">
      <c r="A500">
        <v>1494</v>
      </c>
      <c r="B500" s="1">
        <v>45566</v>
      </c>
      <c r="C500" t="s">
        <v>209</v>
      </c>
      <c r="D500" t="s">
        <v>32</v>
      </c>
      <c r="E500" t="s">
        <v>33</v>
      </c>
      <c r="F500" t="s">
        <v>27</v>
      </c>
      <c r="G500" t="s">
        <v>35</v>
      </c>
      <c r="H500" t="s">
        <v>70</v>
      </c>
      <c r="I500" t="s">
        <v>98</v>
      </c>
      <c r="J500">
        <v>3</v>
      </c>
      <c r="K500" s="3">
        <v>556.70000000000005</v>
      </c>
      <c r="L500" s="2">
        <v>466.87</v>
      </c>
      <c r="M500" s="2">
        <f>Table1[[#This Row],[UnitPrice]]*Table1[[#This Row],[Quantity]]</f>
        <v>1670.1000000000001</v>
      </c>
      <c r="N500" s="2">
        <f>Table1[[#This Row],[CostPrice]]*Table1[[#This Row],[Quantity]]</f>
        <v>1400.6100000000001</v>
      </c>
      <c r="O500" s="2">
        <v>-64.53</v>
      </c>
      <c r="P500" s="4">
        <v>0.2</v>
      </c>
      <c r="Q500" t="s">
        <v>30</v>
      </c>
      <c r="R500" s="4">
        <f t="shared" si="7"/>
        <v>-3.8638404885934972E-2</v>
      </c>
    </row>
    <row r="501" spans="1:18" x14ac:dyDescent="0.25">
      <c r="A501">
        <v>1221</v>
      </c>
      <c r="B501" s="1">
        <v>45597</v>
      </c>
      <c r="C501" t="s">
        <v>209</v>
      </c>
      <c r="D501" t="s">
        <v>25</v>
      </c>
      <c r="E501" t="s">
        <v>53</v>
      </c>
      <c r="F501" t="s">
        <v>19</v>
      </c>
      <c r="G501" t="s">
        <v>35</v>
      </c>
      <c r="H501" t="s">
        <v>36</v>
      </c>
      <c r="I501" t="s">
        <v>100</v>
      </c>
      <c r="J501">
        <v>4</v>
      </c>
      <c r="K501" s="3">
        <v>301.22000000000003</v>
      </c>
      <c r="L501" s="2">
        <v>255.96</v>
      </c>
      <c r="M501" s="2">
        <f>Table1[[#This Row],[UnitPrice]]*Table1[[#This Row],[Quantity]]</f>
        <v>1204.8800000000001</v>
      </c>
      <c r="N501" s="2">
        <f>Table1[[#This Row],[CostPrice]]*Table1[[#This Row],[Quantity]]</f>
        <v>1023.84</v>
      </c>
      <c r="O501" s="2">
        <v>24.41</v>
      </c>
      <c r="P501" s="4">
        <v>0.13</v>
      </c>
      <c r="Q501" t="s">
        <v>85</v>
      </c>
      <c r="R501" s="4">
        <f t="shared" si="7"/>
        <v>2.0259278932341807E-2</v>
      </c>
    </row>
    <row r="502" spans="1:18" x14ac:dyDescent="0.25">
      <c r="A502">
        <v>1120</v>
      </c>
      <c r="B502" s="1">
        <v>45627</v>
      </c>
      <c r="C502" t="s">
        <v>155</v>
      </c>
      <c r="D502" t="s">
        <v>32</v>
      </c>
      <c r="E502" t="s">
        <v>53</v>
      </c>
      <c r="F502" t="s">
        <v>40</v>
      </c>
      <c r="G502" t="s">
        <v>35</v>
      </c>
      <c r="H502" t="s">
        <v>70</v>
      </c>
      <c r="I502" t="s">
        <v>84</v>
      </c>
      <c r="J502">
        <v>7</v>
      </c>
      <c r="K502" s="3">
        <v>966.44</v>
      </c>
      <c r="L502" s="2">
        <v>759.54</v>
      </c>
      <c r="M502" s="2">
        <f>Table1[[#This Row],[UnitPrice]]*Table1[[#This Row],[Quantity]]</f>
        <v>6765.08</v>
      </c>
      <c r="N502" s="2">
        <f>Table1[[#This Row],[CostPrice]]*Table1[[#This Row],[Quantity]]</f>
        <v>5316.78</v>
      </c>
      <c r="O502" s="2">
        <v>-175.32</v>
      </c>
      <c r="P502" s="4">
        <v>0.24</v>
      </c>
      <c r="Q502" t="s">
        <v>92</v>
      </c>
      <c r="R502" s="4">
        <f t="shared" si="7"/>
        <v>-2.5915436328912592E-2</v>
      </c>
    </row>
    <row r="503" spans="1:18" x14ac:dyDescent="0.25">
      <c r="A503">
        <v>1599</v>
      </c>
      <c r="B503" s="1">
        <v>45304</v>
      </c>
      <c r="C503" t="s">
        <v>185</v>
      </c>
      <c r="D503" t="s">
        <v>32</v>
      </c>
      <c r="E503" t="s">
        <v>53</v>
      </c>
      <c r="F503" t="s">
        <v>34</v>
      </c>
      <c r="G503" t="s">
        <v>20</v>
      </c>
      <c r="H503" t="s">
        <v>113</v>
      </c>
      <c r="I503" t="s">
        <v>153</v>
      </c>
      <c r="J503">
        <v>8</v>
      </c>
      <c r="K503" s="3">
        <v>678.06</v>
      </c>
      <c r="L503" s="2">
        <v>492.72</v>
      </c>
      <c r="M503" s="2">
        <f>Table1[[#This Row],[UnitPrice]]*Table1[[#This Row],[Quantity]]</f>
        <v>5424.48</v>
      </c>
      <c r="N503" s="2">
        <f>Table1[[#This Row],[CostPrice]]*Table1[[#This Row],[Quantity]]</f>
        <v>3941.76</v>
      </c>
      <c r="O503" s="2">
        <v>343.58</v>
      </c>
      <c r="P503" s="4">
        <v>0.21</v>
      </c>
      <c r="Q503" t="s">
        <v>55</v>
      </c>
      <c r="R503" s="4">
        <f t="shared" si="7"/>
        <v>6.3338790077574258E-2</v>
      </c>
    </row>
    <row r="504" spans="1:18" x14ac:dyDescent="0.25">
      <c r="A504">
        <v>1027</v>
      </c>
      <c r="B504" s="1">
        <v>45305</v>
      </c>
      <c r="C504" t="s">
        <v>93</v>
      </c>
      <c r="D504" t="s">
        <v>25</v>
      </c>
      <c r="E504" t="s">
        <v>53</v>
      </c>
      <c r="F504" t="s">
        <v>19</v>
      </c>
      <c r="G504" t="s">
        <v>20</v>
      </c>
      <c r="H504" t="s">
        <v>28</v>
      </c>
      <c r="I504" t="s">
        <v>29</v>
      </c>
      <c r="J504">
        <v>1</v>
      </c>
      <c r="K504" s="3">
        <v>899.43</v>
      </c>
      <c r="L504" s="2">
        <v>515.85</v>
      </c>
      <c r="M504" s="2">
        <f>Table1[[#This Row],[UnitPrice]]*Table1[[#This Row],[Quantity]]</f>
        <v>899.43</v>
      </c>
      <c r="N504" s="2">
        <f>Table1[[#This Row],[CostPrice]]*Table1[[#This Row],[Quantity]]</f>
        <v>515.85</v>
      </c>
      <c r="O504" s="2">
        <v>320.62</v>
      </c>
      <c r="P504" s="4">
        <v>7.0000000000000007E-2</v>
      </c>
      <c r="Q504" t="s">
        <v>44</v>
      </c>
      <c r="R504" s="4">
        <f t="shared" si="7"/>
        <v>0.35647020891008752</v>
      </c>
    </row>
    <row r="505" spans="1:18" x14ac:dyDescent="0.25">
      <c r="A505">
        <v>1375</v>
      </c>
      <c r="B505" s="1">
        <v>45307</v>
      </c>
      <c r="C505" t="s">
        <v>65</v>
      </c>
      <c r="D505" t="s">
        <v>32</v>
      </c>
      <c r="E505" t="s">
        <v>18</v>
      </c>
      <c r="F505" t="s">
        <v>27</v>
      </c>
      <c r="G505" t="s">
        <v>20</v>
      </c>
      <c r="H505" t="s">
        <v>113</v>
      </c>
      <c r="I505" t="s">
        <v>153</v>
      </c>
      <c r="J505">
        <v>7</v>
      </c>
      <c r="K505" s="3">
        <v>225.98</v>
      </c>
      <c r="L505" s="2">
        <v>158.6</v>
      </c>
      <c r="M505" s="2">
        <f>Table1[[#This Row],[UnitPrice]]*Table1[[#This Row],[Quantity]]</f>
        <v>1581.86</v>
      </c>
      <c r="N505" s="2">
        <f>Table1[[#This Row],[CostPrice]]*Table1[[#This Row],[Quantity]]</f>
        <v>1110.2</v>
      </c>
      <c r="O505" s="2">
        <v>440.02</v>
      </c>
      <c r="P505" s="4">
        <v>0.02</v>
      </c>
      <c r="Q505" t="s">
        <v>75</v>
      </c>
      <c r="R505" s="4">
        <f t="shared" si="7"/>
        <v>0.27816620939906189</v>
      </c>
    </row>
    <row r="506" spans="1:18" x14ac:dyDescent="0.25">
      <c r="A506">
        <v>1191</v>
      </c>
      <c r="B506" s="1">
        <v>45309</v>
      </c>
      <c r="C506" t="s">
        <v>127</v>
      </c>
      <c r="D506" t="s">
        <v>17</v>
      </c>
      <c r="E506" t="s">
        <v>53</v>
      </c>
      <c r="F506" t="s">
        <v>27</v>
      </c>
      <c r="G506" t="s">
        <v>20</v>
      </c>
      <c r="H506" t="s">
        <v>21</v>
      </c>
      <c r="I506" t="s">
        <v>79</v>
      </c>
      <c r="J506">
        <v>1</v>
      </c>
      <c r="K506" s="3">
        <v>21.64</v>
      </c>
      <c r="L506" s="2">
        <v>16.29</v>
      </c>
      <c r="M506" s="2">
        <f>Table1[[#This Row],[UnitPrice]]*Table1[[#This Row],[Quantity]]</f>
        <v>21.64</v>
      </c>
      <c r="N506" s="2">
        <f>Table1[[#This Row],[CostPrice]]*Table1[[#This Row],[Quantity]]</f>
        <v>16.29</v>
      </c>
      <c r="O506" s="2">
        <v>1.89</v>
      </c>
      <c r="P506" s="4">
        <v>0.16</v>
      </c>
      <c r="Q506" t="s">
        <v>30</v>
      </c>
      <c r="R506" s="4">
        <f t="shared" si="7"/>
        <v>8.7338262476894635E-2</v>
      </c>
    </row>
    <row r="507" spans="1:18" x14ac:dyDescent="0.25">
      <c r="A507">
        <v>1594</v>
      </c>
      <c r="B507" s="1">
        <v>45309</v>
      </c>
      <c r="C507" t="s">
        <v>193</v>
      </c>
      <c r="D507" t="s">
        <v>25</v>
      </c>
      <c r="E507" t="s">
        <v>18</v>
      </c>
      <c r="F507" t="s">
        <v>19</v>
      </c>
      <c r="G507" t="s">
        <v>20</v>
      </c>
      <c r="H507" t="s">
        <v>21</v>
      </c>
      <c r="I507" t="s">
        <v>79</v>
      </c>
      <c r="J507">
        <v>8</v>
      </c>
      <c r="K507" s="3">
        <v>456.79</v>
      </c>
      <c r="L507" s="2">
        <v>381.11</v>
      </c>
      <c r="M507" s="2">
        <f>Table1[[#This Row],[UnitPrice]]*Table1[[#This Row],[Quantity]]</f>
        <v>3654.32</v>
      </c>
      <c r="N507" s="2">
        <f>Table1[[#This Row],[CostPrice]]*Table1[[#This Row],[Quantity]]</f>
        <v>3048.88</v>
      </c>
      <c r="O507" s="2">
        <v>-52.34</v>
      </c>
      <c r="P507" s="4">
        <v>0.18</v>
      </c>
      <c r="Q507" t="s">
        <v>51</v>
      </c>
      <c r="R507" s="4">
        <f t="shared" si="7"/>
        <v>-1.4322774141290309E-2</v>
      </c>
    </row>
    <row r="508" spans="1:18" x14ac:dyDescent="0.25">
      <c r="A508">
        <v>1123</v>
      </c>
      <c r="B508" s="1">
        <v>45310</v>
      </c>
      <c r="C508" t="s">
        <v>178</v>
      </c>
      <c r="D508" t="s">
        <v>32</v>
      </c>
      <c r="E508" t="s">
        <v>33</v>
      </c>
      <c r="F508" t="s">
        <v>40</v>
      </c>
      <c r="G508" t="s">
        <v>20</v>
      </c>
      <c r="H508" t="s">
        <v>21</v>
      </c>
      <c r="I508" t="s">
        <v>22</v>
      </c>
      <c r="J508">
        <v>5</v>
      </c>
      <c r="K508" s="3">
        <v>917.81</v>
      </c>
      <c r="L508" s="2">
        <v>610.66999999999996</v>
      </c>
      <c r="M508" s="2">
        <f>Table1[[#This Row],[UnitPrice]]*Table1[[#This Row],[Quantity]]</f>
        <v>4589.0499999999993</v>
      </c>
      <c r="N508" s="2">
        <f>Table1[[#This Row],[CostPrice]]*Table1[[#This Row],[Quantity]]</f>
        <v>3053.35</v>
      </c>
      <c r="O508" s="2">
        <v>388.44</v>
      </c>
      <c r="P508" s="4">
        <v>0.25</v>
      </c>
      <c r="Q508" t="s">
        <v>55</v>
      </c>
      <c r="R508" s="4">
        <f t="shared" si="7"/>
        <v>8.4644970091849084E-2</v>
      </c>
    </row>
    <row r="509" spans="1:18" x14ac:dyDescent="0.25">
      <c r="A509">
        <v>1674</v>
      </c>
      <c r="B509" s="1">
        <v>45310</v>
      </c>
      <c r="C509" t="s">
        <v>207</v>
      </c>
      <c r="D509" t="s">
        <v>32</v>
      </c>
      <c r="E509" t="s">
        <v>26</v>
      </c>
      <c r="F509" t="s">
        <v>40</v>
      </c>
      <c r="G509" t="s">
        <v>41</v>
      </c>
      <c r="H509" t="s">
        <v>46</v>
      </c>
      <c r="I509" t="s">
        <v>102</v>
      </c>
      <c r="J509">
        <v>8</v>
      </c>
      <c r="K509" s="3">
        <v>717.07</v>
      </c>
      <c r="L509" s="2">
        <v>482.72</v>
      </c>
      <c r="M509" s="2">
        <f>Table1[[#This Row],[UnitPrice]]*Table1[[#This Row],[Quantity]]</f>
        <v>5736.56</v>
      </c>
      <c r="N509" s="2">
        <f>Table1[[#This Row],[CostPrice]]*Table1[[#This Row],[Quantity]]</f>
        <v>3861.76</v>
      </c>
      <c r="O509" s="2">
        <v>1415.88</v>
      </c>
      <c r="P509" s="4">
        <v>0.08</v>
      </c>
      <c r="Q509" t="s">
        <v>75</v>
      </c>
      <c r="R509" s="4">
        <f t="shared" si="7"/>
        <v>0.24681690769380954</v>
      </c>
    </row>
    <row r="510" spans="1:18" x14ac:dyDescent="0.25">
      <c r="A510">
        <v>1722</v>
      </c>
      <c r="B510" s="1">
        <v>45311</v>
      </c>
      <c r="C510" t="s">
        <v>93</v>
      </c>
      <c r="D510" t="s">
        <v>32</v>
      </c>
      <c r="E510" t="s">
        <v>53</v>
      </c>
      <c r="F510" t="s">
        <v>27</v>
      </c>
      <c r="G510" t="s">
        <v>35</v>
      </c>
      <c r="H510" t="s">
        <v>70</v>
      </c>
      <c r="I510" t="s">
        <v>71</v>
      </c>
      <c r="J510">
        <v>6</v>
      </c>
      <c r="K510" s="3">
        <v>373.93</v>
      </c>
      <c r="L510" s="2">
        <v>303.45999999999998</v>
      </c>
      <c r="M510" s="2">
        <f>Table1[[#This Row],[UnitPrice]]*Table1[[#This Row],[Quantity]]</f>
        <v>2243.58</v>
      </c>
      <c r="N510" s="2">
        <f>Table1[[#This Row],[CostPrice]]*Table1[[#This Row],[Quantity]]</f>
        <v>1820.7599999999998</v>
      </c>
      <c r="O510" s="2">
        <v>-250.25</v>
      </c>
      <c r="P510" s="4">
        <v>0.3</v>
      </c>
      <c r="Q510" t="s">
        <v>23</v>
      </c>
      <c r="R510" s="4">
        <f t="shared" si="7"/>
        <v>-0.11154048440438942</v>
      </c>
    </row>
    <row r="511" spans="1:18" x14ac:dyDescent="0.25">
      <c r="A511">
        <v>1116</v>
      </c>
      <c r="B511" s="1">
        <v>45312</v>
      </c>
      <c r="C511" t="s">
        <v>172</v>
      </c>
      <c r="D511" t="s">
        <v>32</v>
      </c>
      <c r="E511" t="s">
        <v>26</v>
      </c>
      <c r="F511" t="s">
        <v>34</v>
      </c>
      <c r="G511" t="s">
        <v>41</v>
      </c>
      <c r="H511" t="s">
        <v>63</v>
      </c>
      <c r="I511" t="s">
        <v>117</v>
      </c>
      <c r="J511">
        <v>9</v>
      </c>
      <c r="K511" s="3">
        <v>365.02</v>
      </c>
      <c r="L511" s="2">
        <v>228.83</v>
      </c>
      <c r="M511" s="2">
        <f>Table1[[#This Row],[UnitPrice]]*Table1[[#This Row],[Quantity]]</f>
        <v>3285.18</v>
      </c>
      <c r="N511" s="2">
        <f>Table1[[#This Row],[CostPrice]]*Table1[[#This Row],[Quantity]]</f>
        <v>2059.4700000000003</v>
      </c>
      <c r="O511" s="2">
        <v>1061.45</v>
      </c>
      <c r="P511" s="4">
        <v>0.05</v>
      </c>
      <c r="Q511" t="s">
        <v>23</v>
      </c>
      <c r="R511" s="4">
        <f t="shared" si="7"/>
        <v>0.32310253928247468</v>
      </c>
    </row>
    <row r="512" spans="1:18" x14ac:dyDescent="0.25">
      <c r="A512">
        <v>1929</v>
      </c>
      <c r="B512" s="1">
        <v>45315</v>
      </c>
      <c r="C512" t="s">
        <v>298</v>
      </c>
      <c r="D512" t="s">
        <v>25</v>
      </c>
      <c r="E512" t="s">
        <v>18</v>
      </c>
      <c r="F512" t="s">
        <v>34</v>
      </c>
      <c r="G512" t="s">
        <v>20</v>
      </c>
      <c r="H512" t="s">
        <v>28</v>
      </c>
      <c r="I512" t="s">
        <v>61</v>
      </c>
      <c r="J512">
        <v>6</v>
      </c>
      <c r="K512" s="3">
        <v>53.05</v>
      </c>
      <c r="L512" s="2">
        <v>36.14</v>
      </c>
      <c r="M512" s="2">
        <f>Table1[[#This Row],[UnitPrice]]*Table1[[#This Row],[Quantity]]</f>
        <v>318.29999999999995</v>
      </c>
      <c r="N512" s="2">
        <f>Table1[[#This Row],[CostPrice]]*Table1[[#This Row],[Quantity]]</f>
        <v>216.84</v>
      </c>
      <c r="O512" s="2">
        <v>50.53</v>
      </c>
      <c r="P512" s="4">
        <v>0.16</v>
      </c>
      <c r="Q512" t="s">
        <v>38</v>
      </c>
      <c r="R512" s="4">
        <f t="shared" si="7"/>
        <v>0.15874960728872137</v>
      </c>
    </row>
    <row r="513" spans="1:18" x14ac:dyDescent="0.25">
      <c r="A513">
        <v>1945</v>
      </c>
      <c r="B513" s="1">
        <v>45315</v>
      </c>
      <c r="C513" t="s">
        <v>182</v>
      </c>
      <c r="D513" t="s">
        <v>17</v>
      </c>
      <c r="E513" t="s">
        <v>18</v>
      </c>
      <c r="F513" t="s">
        <v>40</v>
      </c>
      <c r="G513" t="s">
        <v>41</v>
      </c>
      <c r="H513" t="s">
        <v>42</v>
      </c>
      <c r="I513" t="s">
        <v>43</v>
      </c>
      <c r="J513">
        <v>1</v>
      </c>
      <c r="K513" s="3">
        <v>521.05999999999995</v>
      </c>
      <c r="L513" s="2">
        <v>326.57</v>
      </c>
      <c r="M513" s="2">
        <f>Table1[[#This Row],[UnitPrice]]*Table1[[#This Row],[Quantity]]</f>
        <v>521.05999999999995</v>
      </c>
      <c r="N513" s="2">
        <f>Table1[[#This Row],[CostPrice]]*Table1[[#This Row],[Quantity]]</f>
        <v>326.57</v>
      </c>
      <c r="O513" s="2">
        <v>163.22999999999999</v>
      </c>
      <c r="P513" s="4">
        <v>0.06</v>
      </c>
      <c r="Q513" t="s">
        <v>92</v>
      </c>
      <c r="R513" s="4">
        <f t="shared" si="7"/>
        <v>0.31326526695582085</v>
      </c>
    </row>
    <row r="514" spans="1:18" x14ac:dyDescent="0.25">
      <c r="A514">
        <v>1105</v>
      </c>
      <c r="B514" s="1">
        <v>45316</v>
      </c>
      <c r="C514" t="s">
        <v>164</v>
      </c>
      <c r="D514" t="s">
        <v>25</v>
      </c>
      <c r="E514" t="s">
        <v>18</v>
      </c>
      <c r="F514" t="s">
        <v>34</v>
      </c>
      <c r="G514" t="s">
        <v>35</v>
      </c>
      <c r="H514" t="s">
        <v>70</v>
      </c>
      <c r="I514" t="s">
        <v>98</v>
      </c>
      <c r="J514">
        <v>7</v>
      </c>
      <c r="K514" s="3">
        <v>23.65</v>
      </c>
      <c r="L514" s="2">
        <v>19.45</v>
      </c>
      <c r="M514" s="2">
        <f>Table1[[#This Row],[UnitPrice]]*Table1[[#This Row],[Quantity]]</f>
        <v>165.54999999999998</v>
      </c>
      <c r="N514" s="2">
        <f>Table1[[#This Row],[CostPrice]]*Table1[[#This Row],[Quantity]]</f>
        <v>136.15</v>
      </c>
      <c r="O514" s="2">
        <v>-13.64</v>
      </c>
      <c r="P514" s="4">
        <v>0.26</v>
      </c>
      <c r="Q514" t="s">
        <v>125</v>
      </c>
      <c r="R514" s="4">
        <f t="shared" ref="R514:R577" si="8">O514/M514</f>
        <v>-8.2392026578073096E-2</v>
      </c>
    </row>
    <row r="515" spans="1:18" x14ac:dyDescent="0.25">
      <c r="A515">
        <v>1186</v>
      </c>
      <c r="B515" s="1">
        <v>45316</v>
      </c>
      <c r="C515" t="s">
        <v>207</v>
      </c>
      <c r="D515" t="s">
        <v>17</v>
      </c>
      <c r="E515" t="s">
        <v>18</v>
      </c>
      <c r="F515" t="s">
        <v>40</v>
      </c>
      <c r="G515" t="s">
        <v>35</v>
      </c>
      <c r="H515" t="s">
        <v>49</v>
      </c>
      <c r="I515" t="s">
        <v>59</v>
      </c>
      <c r="J515">
        <v>8</v>
      </c>
      <c r="K515" s="3">
        <v>468.67</v>
      </c>
      <c r="L515" s="2">
        <v>366.02</v>
      </c>
      <c r="M515" s="2">
        <f>Table1[[#This Row],[UnitPrice]]*Table1[[#This Row],[Quantity]]</f>
        <v>3749.36</v>
      </c>
      <c r="N515" s="2">
        <f>Table1[[#This Row],[CostPrice]]*Table1[[#This Row],[Quantity]]</f>
        <v>2928.16</v>
      </c>
      <c r="O515" s="2">
        <v>-3.66</v>
      </c>
      <c r="P515" s="4">
        <v>0.22</v>
      </c>
      <c r="Q515" t="s">
        <v>85</v>
      </c>
      <c r="R515" s="4">
        <f t="shared" si="8"/>
        <v>-9.7616659909957962E-4</v>
      </c>
    </row>
    <row r="516" spans="1:18" x14ac:dyDescent="0.25">
      <c r="A516">
        <v>1711</v>
      </c>
      <c r="B516" s="1">
        <v>45316</v>
      </c>
      <c r="C516" t="s">
        <v>195</v>
      </c>
      <c r="D516" t="s">
        <v>32</v>
      </c>
      <c r="E516" t="s">
        <v>18</v>
      </c>
      <c r="F516" t="s">
        <v>27</v>
      </c>
      <c r="G516" t="s">
        <v>41</v>
      </c>
      <c r="H516" t="s">
        <v>63</v>
      </c>
      <c r="I516" t="s">
        <v>117</v>
      </c>
      <c r="J516">
        <v>2</v>
      </c>
      <c r="K516" s="3">
        <v>336.57</v>
      </c>
      <c r="L516" s="2">
        <v>252.5</v>
      </c>
      <c r="M516" s="2">
        <f>Table1[[#This Row],[UnitPrice]]*Table1[[#This Row],[Quantity]]</f>
        <v>673.14</v>
      </c>
      <c r="N516" s="2">
        <f>Table1[[#This Row],[CostPrice]]*Table1[[#This Row],[Quantity]]</f>
        <v>505</v>
      </c>
      <c r="O516" s="2">
        <v>127.75</v>
      </c>
      <c r="P516" s="4">
        <v>0.06</v>
      </c>
      <c r="Q516" t="s">
        <v>23</v>
      </c>
      <c r="R516" s="4">
        <f t="shared" si="8"/>
        <v>0.18978221469530857</v>
      </c>
    </row>
    <row r="517" spans="1:18" x14ac:dyDescent="0.25">
      <c r="A517">
        <v>1804</v>
      </c>
      <c r="B517" s="1">
        <v>45316</v>
      </c>
      <c r="C517" t="s">
        <v>228</v>
      </c>
      <c r="D517" t="s">
        <v>32</v>
      </c>
      <c r="E517" t="s">
        <v>53</v>
      </c>
      <c r="F517" t="s">
        <v>19</v>
      </c>
      <c r="G517" t="s">
        <v>35</v>
      </c>
      <c r="H517" t="s">
        <v>36</v>
      </c>
      <c r="I517" t="s">
        <v>87</v>
      </c>
      <c r="J517">
        <v>2</v>
      </c>
      <c r="K517" s="3">
        <v>365.89</v>
      </c>
      <c r="L517" s="2">
        <v>282.68</v>
      </c>
      <c r="M517" s="2">
        <f>Table1[[#This Row],[UnitPrice]]*Table1[[#This Row],[Quantity]]</f>
        <v>731.78</v>
      </c>
      <c r="N517" s="2">
        <f>Table1[[#This Row],[CostPrice]]*Table1[[#This Row],[Quantity]]</f>
        <v>565.36</v>
      </c>
      <c r="O517" s="2">
        <v>93.24</v>
      </c>
      <c r="P517" s="4">
        <v>0.1</v>
      </c>
      <c r="Q517" t="s">
        <v>23</v>
      </c>
      <c r="R517" s="4">
        <f t="shared" si="8"/>
        <v>0.12741534340922134</v>
      </c>
    </row>
    <row r="518" spans="1:18" x14ac:dyDescent="0.25">
      <c r="A518">
        <v>1428</v>
      </c>
      <c r="B518" s="1">
        <v>45318</v>
      </c>
      <c r="C518" t="s">
        <v>247</v>
      </c>
      <c r="D518" t="s">
        <v>17</v>
      </c>
      <c r="E518" t="s">
        <v>26</v>
      </c>
      <c r="F518" t="s">
        <v>27</v>
      </c>
      <c r="G518" t="s">
        <v>20</v>
      </c>
      <c r="H518" t="s">
        <v>113</v>
      </c>
      <c r="I518" t="s">
        <v>114</v>
      </c>
      <c r="J518">
        <v>7</v>
      </c>
      <c r="K518" s="3">
        <v>970.68</v>
      </c>
      <c r="L518" s="2">
        <v>794.41</v>
      </c>
      <c r="M518" s="2">
        <f>Table1[[#This Row],[UnitPrice]]*Table1[[#This Row],[Quantity]]</f>
        <v>6794.7599999999993</v>
      </c>
      <c r="N518" s="2">
        <f>Table1[[#This Row],[CostPrice]]*Table1[[#This Row],[Quantity]]</f>
        <v>5560.87</v>
      </c>
      <c r="O518" s="2">
        <v>554.41</v>
      </c>
      <c r="P518" s="4">
        <v>0.1</v>
      </c>
      <c r="Q518" t="s">
        <v>38</v>
      </c>
      <c r="R518" s="4">
        <f t="shared" si="8"/>
        <v>8.1593757542576931E-2</v>
      </c>
    </row>
    <row r="519" spans="1:18" x14ac:dyDescent="0.25">
      <c r="A519">
        <v>1968</v>
      </c>
      <c r="B519" s="1">
        <v>45318</v>
      </c>
      <c r="C519" t="s">
        <v>214</v>
      </c>
      <c r="D519" t="s">
        <v>17</v>
      </c>
      <c r="E519" t="s">
        <v>33</v>
      </c>
      <c r="F519" t="s">
        <v>19</v>
      </c>
      <c r="G519" t="s">
        <v>35</v>
      </c>
      <c r="H519" t="s">
        <v>49</v>
      </c>
      <c r="I519" t="s">
        <v>59</v>
      </c>
      <c r="J519">
        <v>4</v>
      </c>
      <c r="K519" s="3">
        <v>10.59</v>
      </c>
      <c r="L519" s="2">
        <v>6.45</v>
      </c>
      <c r="M519" s="2">
        <f>Table1[[#This Row],[UnitPrice]]*Table1[[#This Row],[Quantity]]</f>
        <v>42.36</v>
      </c>
      <c r="N519" s="2">
        <f>Table1[[#This Row],[CostPrice]]*Table1[[#This Row],[Quantity]]</f>
        <v>25.8</v>
      </c>
      <c r="O519" s="2">
        <v>15.29</v>
      </c>
      <c r="P519" s="4">
        <v>0.03</v>
      </c>
      <c r="Q519" t="s">
        <v>85</v>
      </c>
      <c r="R519" s="4">
        <f t="shared" si="8"/>
        <v>0.3609537299338999</v>
      </c>
    </row>
    <row r="520" spans="1:18" x14ac:dyDescent="0.25">
      <c r="A520">
        <v>1298</v>
      </c>
      <c r="B520" s="1">
        <v>45319</v>
      </c>
      <c r="C520" t="s">
        <v>124</v>
      </c>
      <c r="D520" t="s">
        <v>17</v>
      </c>
      <c r="E520" t="s">
        <v>26</v>
      </c>
      <c r="F520" t="s">
        <v>40</v>
      </c>
      <c r="G520" t="s">
        <v>20</v>
      </c>
      <c r="H520" t="s">
        <v>28</v>
      </c>
      <c r="I520" t="s">
        <v>81</v>
      </c>
      <c r="J520">
        <v>1</v>
      </c>
      <c r="K520" s="3">
        <v>678.36</v>
      </c>
      <c r="L520" s="2">
        <v>487.97</v>
      </c>
      <c r="M520" s="2">
        <f>Table1[[#This Row],[UnitPrice]]*Table1[[#This Row],[Quantity]]</f>
        <v>678.36</v>
      </c>
      <c r="N520" s="2">
        <f>Table1[[#This Row],[CostPrice]]*Table1[[#This Row],[Quantity]]</f>
        <v>487.97</v>
      </c>
      <c r="O520" s="2">
        <v>142.9</v>
      </c>
      <c r="P520" s="4">
        <v>7.0000000000000007E-2</v>
      </c>
      <c r="Q520" t="s">
        <v>85</v>
      </c>
      <c r="R520" s="4">
        <f t="shared" si="8"/>
        <v>0.21065510938144938</v>
      </c>
    </row>
    <row r="521" spans="1:18" x14ac:dyDescent="0.25">
      <c r="A521">
        <v>1219</v>
      </c>
      <c r="B521" s="1">
        <v>45320</v>
      </c>
      <c r="C521" t="s">
        <v>218</v>
      </c>
      <c r="D521" t="s">
        <v>17</v>
      </c>
      <c r="E521" t="s">
        <v>53</v>
      </c>
      <c r="F521" t="s">
        <v>27</v>
      </c>
      <c r="G521" t="s">
        <v>41</v>
      </c>
      <c r="H521" t="s">
        <v>46</v>
      </c>
      <c r="I521" t="s">
        <v>57</v>
      </c>
      <c r="J521">
        <v>8</v>
      </c>
      <c r="K521" s="3">
        <v>491.26</v>
      </c>
      <c r="L521" s="2">
        <v>259.83999999999997</v>
      </c>
      <c r="M521" s="2">
        <f>Table1[[#This Row],[UnitPrice]]*Table1[[#This Row],[Quantity]]</f>
        <v>3930.08</v>
      </c>
      <c r="N521" s="2">
        <f>Table1[[#This Row],[CostPrice]]*Table1[[#This Row],[Quantity]]</f>
        <v>2078.7199999999998</v>
      </c>
      <c r="O521" s="2">
        <v>1812.06</v>
      </c>
      <c r="P521" s="4">
        <v>0.01</v>
      </c>
      <c r="Q521" t="s">
        <v>23</v>
      </c>
      <c r="R521" s="4">
        <f t="shared" si="8"/>
        <v>0.46107458372348653</v>
      </c>
    </row>
    <row r="522" spans="1:18" x14ac:dyDescent="0.25">
      <c r="A522">
        <v>1234</v>
      </c>
      <c r="B522" s="1">
        <v>45320</v>
      </c>
      <c r="C522" t="s">
        <v>223</v>
      </c>
      <c r="D522" t="s">
        <v>32</v>
      </c>
      <c r="E522" t="s">
        <v>26</v>
      </c>
      <c r="F522" t="s">
        <v>19</v>
      </c>
      <c r="G522" t="s">
        <v>35</v>
      </c>
      <c r="H522" t="s">
        <v>70</v>
      </c>
      <c r="I522" t="s">
        <v>98</v>
      </c>
      <c r="J522">
        <v>4</v>
      </c>
      <c r="K522" s="3">
        <v>555.63</v>
      </c>
      <c r="L522" s="2">
        <v>394.5</v>
      </c>
      <c r="M522" s="2">
        <f>Table1[[#This Row],[UnitPrice]]*Table1[[#This Row],[Quantity]]</f>
        <v>2222.52</v>
      </c>
      <c r="N522" s="2">
        <f>Table1[[#This Row],[CostPrice]]*Table1[[#This Row],[Quantity]]</f>
        <v>1578</v>
      </c>
      <c r="O522" s="2">
        <v>244.47</v>
      </c>
      <c r="P522" s="4">
        <v>0.18</v>
      </c>
      <c r="Q522" t="s">
        <v>51</v>
      </c>
      <c r="R522" s="4">
        <f t="shared" si="8"/>
        <v>0.10999676043410184</v>
      </c>
    </row>
    <row r="523" spans="1:18" x14ac:dyDescent="0.25">
      <c r="A523">
        <v>1691</v>
      </c>
      <c r="B523" s="1">
        <v>45320</v>
      </c>
      <c r="C523" t="s">
        <v>288</v>
      </c>
      <c r="D523" t="s">
        <v>25</v>
      </c>
      <c r="E523" t="s">
        <v>33</v>
      </c>
      <c r="F523" t="s">
        <v>27</v>
      </c>
      <c r="G523" t="s">
        <v>41</v>
      </c>
      <c r="H523" t="s">
        <v>42</v>
      </c>
      <c r="I523" t="s">
        <v>77</v>
      </c>
      <c r="J523">
        <v>3</v>
      </c>
      <c r="K523" s="3">
        <v>277.41000000000003</v>
      </c>
      <c r="L523" s="2">
        <v>199.69</v>
      </c>
      <c r="M523" s="2">
        <f>Table1[[#This Row],[UnitPrice]]*Table1[[#This Row],[Quantity]]</f>
        <v>832.23</v>
      </c>
      <c r="N523" s="2">
        <f>Table1[[#This Row],[CostPrice]]*Table1[[#This Row],[Quantity]]</f>
        <v>599.06999999999994</v>
      </c>
      <c r="O523" s="2">
        <v>158.26</v>
      </c>
      <c r="P523" s="4">
        <v>0.09</v>
      </c>
      <c r="Q523" t="s">
        <v>44</v>
      </c>
      <c r="R523" s="4">
        <f t="shared" si="8"/>
        <v>0.19016377684053687</v>
      </c>
    </row>
    <row r="524" spans="1:18" x14ac:dyDescent="0.25">
      <c r="A524">
        <v>1990</v>
      </c>
      <c r="B524" s="1">
        <v>45320</v>
      </c>
      <c r="C524" t="s">
        <v>48</v>
      </c>
      <c r="D524" t="s">
        <v>32</v>
      </c>
      <c r="E524" t="s">
        <v>26</v>
      </c>
      <c r="F524" t="s">
        <v>40</v>
      </c>
      <c r="G524" t="s">
        <v>35</v>
      </c>
      <c r="H524" t="s">
        <v>49</v>
      </c>
      <c r="I524" t="s">
        <v>59</v>
      </c>
      <c r="J524">
        <v>8</v>
      </c>
      <c r="K524" s="3">
        <v>39.65</v>
      </c>
      <c r="L524" s="2">
        <v>33.130000000000003</v>
      </c>
      <c r="M524" s="2">
        <f>Table1[[#This Row],[UnitPrice]]*Table1[[#This Row],[Quantity]]</f>
        <v>317.2</v>
      </c>
      <c r="N524" s="2">
        <f>Table1[[#This Row],[CostPrice]]*Table1[[#This Row],[Quantity]]</f>
        <v>265.04000000000002</v>
      </c>
      <c r="O524" s="2">
        <v>10.92</v>
      </c>
      <c r="P524" s="4">
        <v>0.13</v>
      </c>
      <c r="Q524" t="s">
        <v>92</v>
      </c>
      <c r="R524" s="4">
        <f t="shared" si="8"/>
        <v>3.4426229508196723E-2</v>
      </c>
    </row>
    <row r="525" spans="1:18" x14ac:dyDescent="0.25">
      <c r="A525">
        <v>1856</v>
      </c>
      <c r="B525" s="1">
        <v>45321</v>
      </c>
      <c r="C525" t="s">
        <v>220</v>
      </c>
      <c r="D525" t="s">
        <v>17</v>
      </c>
      <c r="E525" t="s">
        <v>26</v>
      </c>
      <c r="F525" t="s">
        <v>27</v>
      </c>
      <c r="G525" t="s">
        <v>20</v>
      </c>
      <c r="H525" t="s">
        <v>21</v>
      </c>
      <c r="I525" t="s">
        <v>54</v>
      </c>
      <c r="J525">
        <v>7</v>
      </c>
      <c r="K525" s="3">
        <v>168.38</v>
      </c>
      <c r="L525" s="2">
        <v>102.29</v>
      </c>
      <c r="M525" s="2">
        <f>Table1[[#This Row],[UnitPrice]]*Table1[[#This Row],[Quantity]]</f>
        <v>1178.6599999999999</v>
      </c>
      <c r="N525" s="2">
        <f>Table1[[#This Row],[CostPrice]]*Table1[[#This Row],[Quantity]]</f>
        <v>716.03000000000009</v>
      </c>
      <c r="O525" s="2">
        <v>156.18</v>
      </c>
      <c r="P525" s="4">
        <v>0.26</v>
      </c>
      <c r="Q525" t="s">
        <v>44</v>
      </c>
      <c r="R525" s="4">
        <f t="shared" si="8"/>
        <v>0.13250640557921711</v>
      </c>
    </row>
    <row r="526" spans="1:18" x14ac:dyDescent="0.25">
      <c r="A526">
        <v>1884</v>
      </c>
      <c r="B526" s="1">
        <v>45322</v>
      </c>
      <c r="C526" t="s">
        <v>97</v>
      </c>
      <c r="D526" t="s">
        <v>25</v>
      </c>
      <c r="E526" t="s">
        <v>53</v>
      </c>
      <c r="F526" t="s">
        <v>27</v>
      </c>
      <c r="G526" t="s">
        <v>35</v>
      </c>
      <c r="H526" t="s">
        <v>36</v>
      </c>
      <c r="I526" t="s">
        <v>87</v>
      </c>
      <c r="J526">
        <v>5</v>
      </c>
      <c r="K526" s="3">
        <v>459.8</v>
      </c>
      <c r="L526" s="2">
        <v>320.7</v>
      </c>
      <c r="M526" s="2">
        <f>Table1[[#This Row],[UnitPrice]]*Table1[[#This Row],[Quantity]]</f>
        <v>2299</v>
      </c>
      <c r="N526" s="2">
        <f>Table1[[#This Row],[CostPrice]]*Table1[[#This Row],[Quantity]]</f>
        <v>1603.5</v>
      </c>
      <c r="O526" s="2">
        <v>695.5</v>
      </c>
      <c r="P526" s="4">
        <v>0</v>
      </c>
      <c r="Q526" t="s">
        <v>30</v>
      </c>
      <c r="R526" s="4">
        <f t="shared" si="8"/>
        <v>0.30252283601565899</v>
      </c>
    </row>
    <row r="527" spans="1:18" x14ac:dyDescent="0.25">
      <c r="A527">
        <v>1114</v>
      </c>
      <c r="B527" s="1">
        <v>45293</v>
      </c>
      <c r="C527" t="s">
        <v>170</v>
      </c>
      <c r="D527" t="s">
        <v>32</v>
      </c>
      <c r="E527" t="s">
        <v>33</v>
      </c>
      <c r="F527" t="s">
        <v>40</v>
      </c>
      <c r="G527" t="s">
        <v>20</v>
      </c>
      <c r="H527" t="s">
        <v>28</v>
      </c>
      <c r="I527" t="s">
        <v>90</v>
      </c>
      <c r="J527">
        <v>9</v>
      </c>
      <c r="K527" s="3">
        <v>679.99</v>
      </c>
      <c r="L527" s="2">
        <v>407.62</v>
      </c>
      <c r="M527" s="2">
        <f>Table1[[#This Row],[UnitPrice]]*Table1[[#This Row],[Quantity]]</f>
        <v>6119.91</v>
      </c>
      <c r="N527" s="2">
        <f>Table1[[#This Row],[CostPrice]]*Table1[[#This Row],[Quantity]]</f>
        <v>3668.58</v>
      </c>
      <c r="O527" s="2">
        <v>1104.95</v>
      </c>
      <c r="P527" s="4">
        <v>0.22</v>
      </c>
      <c r="Q527" t="s">
        <v>125</v>
      </c>
      <c r="R527" s="4">
        <f t="shared" si="8"/>
        <v>0.18055004076857339</v>
      </c>
    </row>
    <row r="528" spans="1:18" x14ac:dyDescent="0.25">
      <c r="A528">
        <v>1137</v>
      </c>
      <c r="B528" s="1">
        <v>45293</v>
      </c>
      <c r="C528" t="s">
        <v>186</v>
      </c>
      <c r="D528" t="s">
        <v>25</v>
      </c>
      <c r="E528" t="s">
        <v>18</v>
      </c>
      <c r="F528" t="s">
        <v>40</v>
      </c>
      <c r="G528" t="s">
        <v>41</v>
      </c>
      <c r="H528" t="s">
        <v>46</v>
      </c>
      <c r="I528" t="s">
        <v>47</v>
      </c>
      <c r="J528">
        <v>10</v>
      </c>
      <c r="K528" s="3">
        <v>289.14999999999998</v>
      </c>
      <c r="L528" s="2">
        <v>237.32</v>
      </c>
      <c r="M528" s="2">
        <f>Table1[[#This Row],[UnitPrice]]*Table1[[#This Row],[Quantity]]</f>
        <v>2891.5</v>
      </c>
      <c r="N528" s="2">
        <f>Table1[[#This Row],[CostPrice]]*Table1[[#This Row],[Quantity]]</f>
        <v>2373.1999999999998</v>
      </c>
      <c r="O528" s="2">
        <v>84.58</v>
      </c>
      <c r="P528" s="4">
        <v>0.15</v>
      </c>
      <c r="Q528" t="s">
        <v>44</v>
      </c>
      <c r="R528" s="4">
        <f t="shared" si="8"/>
        <v>2.9251253674563375E-2</v>
      </c>
    </row>
    <row r="529" spans="1:18" x14ac:dyDescent="0.25">
      <c r="A529">
        <v>1321</v>
      </c>
      <c r="B529" s="1">
        <v>45293</v>
      </c>
      <c r="C529" t="s">
        <v>155</v>
      </c>
      <c r="D529" t="s">
        <v>17</v>
      </c>
      <c r="E529" t="s">
        <v>18</v>
      </c>
      <c r="F529" t="s">
        <v>27</v>
      </c>
      <c r="G529" t="s">
        <v>35</v>
      </c>
      <c r="H529" t="s">
        <v>70</v>
      </c>
      <c r="I529" t="s">
        <v>84</v>
      </c>
      <c r="J529">
        <v>4</v>
      </c>
      <c r="K529" s="3">
        <v>277.23</v>
      </c>
      <c r="L529" s="2">
        <v>232.11</v>
      </c>
      <c r="M529" s="2">
        <f>Table1[[#This Row],[UnitPrice]]*Table1[[#This Row],[Quantity]]</f>
        <v>1108.92</v>
      </c>
      <c r="N529" s="2">
        <f>Table1[[#This Row],[CostPrice]]*Table1[[#This Row],[Quantity]]</f>
        <v>928.44</v>
      </c>
      <c r="O529" s="2">
        <v>-141.11000000000001</v>
      </c>
      <c r="P529" s="4">
        <v>0.28999999999999998</v>
      </c>
      <c r="Q529" t="s">
        <v>55</v>
      </c>
      <c r="R529" s="4">
        <f t="shared" si="8"/>
        <v>-0.12724993687551853</v>
      </c>
    </row>
    <row r="530" spans="1:18" x14ac:dyDescent="0.25">
      <c r="A530">
        <v>1259</v>
      </c>
      <c r="B530" s="1">
        <v>45324</v>
      </c>
      <c r="C530" t="s">
        <v>56</v>
      </c>
      <c r="D530" t="s">
        <v>25</v>
      </c>
      <c r="E530" t="s">
        <v>18</v>
      </c>
      <c r="F530" t="s">
        <v>19</v>
      </c>
      <c r="G530" t="s">
        <v>20</v>
      </c>
      <c r="H530" t="s">
        <v>28</v>
      </c>
      <c r="I530" t="s">
        <v>90</v>
      </c>
      <c r="J530">
        <v>8</v>
      </c>
      <c r="K530" s="3">
        <v>531.79</v>
      </c>
      <c r="L530" s="2">
        <v>408.62</v>
      </c>
      <c r="M530" s="2">
        <f>Table1[[#This Row],[UnitPrice]]*Table1[[#This Row],[Quantity]]</f>
        <v>4254.32</v>
      </c>
      <c r="N530" s="2">
        <f>Table1[[#This Row],[CostPrice]]*Table1[[#This Row],[Quantity]]</f>
        <v>3268.96</v>
      </c>
      <c r="O530" s="2">
        <v>-290.94</v>
      </c>
      <c r="P530" s="4">
        <v>0.3</v>
      </c>
      <c r="Q530" t="s">
        <v>92</v>
      </c>
      <c r="R530" s="4">
        <f t="shared" si="8"/>
        <v>-6.8386957257564079E-2</v>
      </c>
    </row>
    <row r="531" spans="1:18" x14ac:dyDescent="0.25">
      <c r="A531">
        <v>1197</v>
      </c>
      <c r="B531" s="1">
        <v>45353</v>
      </c>
      <c r="C531" t="s">
        <v>212</v>
      </c>
      <c r="D531" t="s">
        <v>17</v>
      </c>
      <c r="E531" t="s">
        <v>18</v>
      </c>
      <c r="F531" t="s">
        <v>27</v>
      </c>
      <c r="G531" t="s">
        <v>41</v>
      </c>
      <c r="H531" t="s">
        <v>42</v>
      </c>
      <c r="I531" t="s">
        <v>43</v>
      </c>
      <c r="J531">
        <v>2</v>
      </c>
      <c r="K531" s="3">
        <v>503.29</v>
      </c>
      <c r="L531" s="2">
        <v>423.27</v>
      </c>
      <c r="M531" s="2">
        <f>Table1[[#This Row],[UnitPrice]]*Table1[[#This Row],[Quantity]]</f>
        <v>1006.58</v>
      </c>
      <c r="N531" s="2">
        <f>Table1[[#This Row],[CostPrice]]*Table1[[#This Row],[Quantity]]</f>
        <v>846.54</v>
      </c>
      <c r="O531" s="2">
        <v>139.91</v>
      </c>
      <c r="P531" s="4">
        <v>0.02</v>
      </c>
      <c r="Q531" t="s">
        <v>75</v>
      </c>
      <c r="R531" s="4">
        <f t="shared" si="8"/>
        <v>0.13899541020087822</v>
      </c>
    </row>
    <row r="532" spans="1:18" x14ac:dyDescent="0.25">
      <c r="A532">
        <v>1200</v>
      </c>
      <c r="B532" s="1">
        <v>45353</v>
      </c>
      <c r="C532" t="s">
        <v>134</v>
      </c>
      <c r="D532" t="s">
        <v>25</v>
      </c>
      <c r="E532" t="s">
        <v>33</v>
      </c>
      <c r="F532" t="s">
        <v>34</v>
      </c>
      <c r="G532" t="s">
        <v>35</v>
      </c>
      <c r="H532" t="s">
        <v>49</v>
      </c>
      <c r="I532" t="s">
        <v>50</v>
      </c>
      <c r="J532">
        <v>5</v>
      </c>
      <c r="K532" s="3">
        <v>106.72</v>
      </c>
      <c r="L532" s="2">
        <v>56.62</v>
      </c>
      <c r="M532" s="2">
        <f>Table1[[#This Row],[UnitPrice]]*Table1[[#This Row],[Quantity]]</f>
        <v>533.6</v>
      </c>
      <c r="N532" s="2">
        <f>Table1[[#This Row],[CostPrice]]*Table1[[#This Row],[Quantity]]</f>
        <v>283.09999999999997</v>
      </c>
      <c r="O532" s="2">
        <v>181.13</v>
      </c>
      <c r="P532" s="4">
        <v>0.13</v>
      </c>
      <c r="Q532" t="s">
        <v>38</v>
      </c>
      <c r="R532" s="4">
        <f t="shared" si="8"/>
        <v>0.33944902548725636</v>
      </c>
    </row>
    <row r="533" spans="1:18" x14ac:dyDescent="0.25">
      <c r="A533">
        <v>1469</v>
      </c>
      <c r="B533" s="1">
        <v>45384</v>
      </c>
      <c r="C533" t="s">
        <v>204</v>
      </c>
      <c r="D533" t="s">
        <v>32</v>
      </c>
      <c r="E533" t="s">
        <v>26</v>
      </c>
      <c r="F533" t="s">
        <v>19</v>
      </c>
      <c r="G533" t="s">
        <v>41</v>
      </c>
      <c r="H533" t="s">
        <v>46</v>
      </c>
      <c r="I533" t="s">
        <v>57</v>
      </c>
      <c r="J533">
        <v>10</v>
      </c>
      <c r="K533" s="3">
        <v>795.37</v>
      </c>
      <c r="L533" s="2">
        <v>586.86</v>
      </c>
      <c r="M533" s="2">
        <f>Table1[[#This Row],[UnitPrice]]*Table1[[#This Row],[Quantity]]</f>
        <v>7953.7</v>
      </c>
      <c r="N533" s="2">
        <f>Table1[[#This Row],[CostPrice]]*Table1[[#This Row],[Quantity]]</f>
        <v>5868.6</v>
      </c>
      <c r="O533" s="2">
        <v>-141.94</v>
      </c>
      <c r="P533" s="4">
        <v>0.28000000000000003</v>
      </c>
      <c r="Q533" t="s">
        <v>75</v>
      </c>
      <c r="R533" s="4">
        <f t="shared" si="8"/>
        <v>-1.7845782466022104E-2</v>
      </c>
    </row>
    <row r="534" spans="1:18" x14ac:dyDescent="0.25">
      <c r="A534">
        <v>1896</v>
      </c>
      <c r="B534" s="1">
        <v>45384</v>
      </c>
      <c r="C534" t="s">
        <v>157</v>
      </c>
      <c r="D534" t="s">
        <v>25</v>
      </c>
      <c r="E534" t="s">
        <v>26</v>
      </c>
      <c r="F534" t="s">
        <v>40</v>
      </c>
      <c r="G534" t="s">
        <v>20</v>
      </c>
      <c r="H534" t="s">
        <v>113</v>
      </c>
      <c r="I534" t="s">
        <v>161</v>
      </c>
      <c r="J534">
        <v>4</v>
      </c>
      <c r="K534" s="3">
        <v>853.93</v>
      </c>
      <c r="L534" s="2">
        <v>705.46</v>
      </c>
      <c r="M534" s="2">
        <f>Table1[[#This Row],[UnitPrice]]*Table1[[#This Row],[Quantity]]</f>
        <v>3415.72</v>
      </c>
      <c r="N534" s="2">
        <f>Table1[[#This Row],[CostPrice]]*Table1[[#This Row],[Quantity]]</f>
        <v>2821.84</v>
      </c>
      <c r="O534" s="2">
        <v>81.52</v>
      </c>
      <c r="P534" s="4">
        <v>0.15</v>
      </c>
      <c r="Q534" t="s">
        <v>75</v>
      </c>
      <c r="R534" s="4">
        <f t="shared" si="8"/>
        <v>2.386612485800944E-2</v>
      </c>
    </row>
    <row r="535" spans="1:18" x14ac:dyDescent="0.25">
      <c r="A535">
        <v>1239</v>
      </c>
      <c r="B535" s="1">
        <v>45414</v>
      </c>
      <c r="C535" t="s">
        <v>129</v>
      </c>
      <c r="D535" t="s">
        <v>17</v>
      </c>
      <c r="E535" t="s">
        <v>33</v>
      </c>
      <c r="F535" t="s">
        <v>40</v>
      </c>
      <c r="G535" t="s">
        <v>41</v>
      </c>
      <c r="H535" t="s">
        <v>46</v>
      </c>
      <c r="I535" t="s">
        <v>102</v>
      </c>
      <c r="J535">
        <v>4</v>
      </c>
      <c r="K535" s="3">
        <v>62.62</v>
      </c>
      <c r="L535" s="2">
        <v>33.200000000000003</v>
      </c>
      <c r="M535" s="2">
        <f>Table1[[#This Row],[UnitPrice]]*Table1[[#This Row],[Quantity]]</f>
        <v>250.48</v>
      </c>
      <c r="N535" s="2">
        <f>Table1[[#This Row],[CostPrice]]*Table1[[#This Row],[Quantity]]</f>
        <v>132.80000000000001</v>
      </c>
      <c r="O535" s="2">
        <v>85.12</v>
      </c>
      <c r="P535" s="4">
        <v>0.13</v>
      </c>
      <c r="Q535" t="s">
        <v>55</v>
      </c>
      <c r="R535" s="4">
        <f t="shared" si="8"/>
        <v>0.3398275311402108</v>
      </c>
    </row>
    <row r="536" spans="1:18" x14ac:dyDescent="0.25">
      <c r="A536">
        <v>1485</v>
      </c>
      <c r="B536" s="1">
        <v>45414</v>
      </c>
      <c r="C536" t="s">
        <v>104</v>
      </c>
      <c r="D536" t="s">
        <v>17</v>
      </c>
      <c r="E536" t="s">
        <v>26</v>
      </c>
      <c r="F536" t="s">
        <v>19</v>
      </c>
      <c r="G536" t="s">
        <v>41</v>
      </c>
      <c r="H536" t="s">
        <v>46</v>
      </c>
      <c r="I536" t="s">
        <v>102</v>
      </c>
      <c r="J536">
        <v>3</v>
      </c>
      <c r="K536" s="3">
        <v>316.7</v>
      </c>
      <c r="L536" s="2">
        <v>159.52000000000001</v>
      </c>
      <c r="M536" s="2">
        <f>Table1[[#This Row],[UnitPrice]]*Table1[[#This Row],[Quantity]]</f>
        <v>950.09999999999991</v>
      </c>
      <c r="N536" s="2">
        <f>Table1[[#This Row],[CostPrice]]*Table1[[#This Row],[Quantity]]</f>
        <v>478.56000000000006</v>
      </c>
      <c r="O536" s="2">
        <v>471.54</v>
      </c>
      <c r="P536" s="4">
        <v>0</v>
      </c>
      <c r="Q536" t="s">
        <v>44</v>
      </c>
      <c r="R536" s="4">
        <f t="shared" si="8"/>
        <v>0.4963056520366278</v>
      </c>
    </row>
    <row r="537" spans="1:18" x14ac:dyDescent="0.25">
      <c r="A537">
        <v>1149</v>
      </c>
      <c r="B537" s="1">
        <v>45475</v>
      </c>
      <c r="C537" t="s">
        <v>190</v>
      </c>
      <c r="D537" t="s">
        <v>25</v>
      </c>
      <c r="E537" t="s">
        <v>26</v>
      </c>
      <c r="F537" t="s">
        <v>40</v>
      </c>
      <c r="G537" t="s">
        <v>20</v>
      </c>
      <c r="H537" t="s">
        <v>21</v>
      </c>
      <c r="I537" t="s">
        <v>54</v>
      </c>
      <c r="J537">
        <v>8</v>
      </c>
      <c r="K537" s="3">
        <v>599.53</v>
      </c>
      <c r="L537" s="2">
        <v>476.62</v>
      </c>
      <c r="M537" s="2">
        <f>Table1[[#This Row],[UnitPrice]]*Table1[[#This Row],[Quantity]]</f>
        <v>4796.24</v>
      </c>
      <c r="N537" s="2">
        <f>Table1[[#This Row],[CostPrice]]*Table1[[#This Row],[Quantity]]</f>
        <v>3812.96</v>
      </c>
      <c r="O537" s="2">
        <v>24.03</v>
      </c>
      <c r="P537" s="4">
        <v>0.2</v>
      </c>
      <c r="Q537" t="s">
        <v>30</v>
      </c>
      <c r="R537" s="4">
        <f t="shared" si="8"/>
        <v>5.0101746367988264E-3</v>
      </c>
    </row>
    <row r="538" spans="1:18" x14ac:dyDescent="0.25">
      <c r="A538">
        <v>1206</v>
      </c>
      <c r="B538" s="1">
        <v>45475</v>
      </c>
      <c r="C538" t="s">
        <v>171</v>
      </c>
      <c r="D538" t="s">
        <v>17</v>
      </c>
      <c r="E538" t="s">
        <v>26</v>
      </c>
      <c r="F538" t="s">
        <v>19</v>
      </c>
      <c r="G538" t="s">
        <v>41</v>
      </c>
      <c r="H538" t="s">
        <v>63</v>
      </c>
      <c r="I538" t="s">
        <v>141</v>
      </c>
      <c r="J538">
        <v>8</v>
      </c>
      <c r="K538" s="3">
        <v>943.26</v>
      </c>
      <c r="L538" s="2">
        <v>540.84</v>
      </c>
      <c r="M538" s="2">
        <f>Table1[[#This Row],[UnitPrice]]*Table1[[#This Row],[Quantity]]</f>
        <v>7546.08</v>
      </c>
      <c r="N538" s="2">
        <f>Table1[[#This Row],[CostPrice]]*Table1[[#This Row],[Quantity]]</f>
        <v>4326.72</v>
      </c>
      <c r="O538" s="2">
        <v>1408.3</v>
      </c>
      <c r="P538" s="4">
        <v>0.24</v>
      </c>
      <c r="Q538" t="s">
        <v>44</v>
      </c>
      <c r="R538" s="4">
        <f t="shared" si="8"/>
        <v>0.18662669889532049</v>
      </c>
    </row>
    <row r="539" spans="1:18" x14ac:dyDescent="0.25">
      <c r="A539">
        <v>1256</v>
      </c>
      <c r="B539" s="1">
        <v>45537</v>
      </c>
      <c r="C539" t="s">
        <v>232</v>
      </c>
      <c r="D539" t="s">
        <v>32</v>
      </c>
      <c r="E539" t="s">
        <v>53</v>
      </c>
      <c r="F539" t="s">
        <v>19</v>
      </c>
      <c r="G539" t="s">
        <v>35</v>
      </c>
      <c r="H539" t="s">
        <v>36</v>
      </c>
      <c r="I539" t="s">
        <v>87</v>
      </c>
      <c r="J539">
        <v>5</v>
      </c>
      <c r="K539" s="3">
        <v>283.45999999999998</v>
      </c>
      <c r="L539" s="2">
        <v>229.38</v>
      </c>
      <c r="M539" s="2">
        <f>Table1[[#This Row],[UnitPrice]]*Table1[[#This Row],[Quantity]]</f>
        <v>1417.3</v>
      </c>
      <c r="N539" s="2">
        <f>Table1[[#This Row],[CostPrice]]*Table1[[#This Row],[Quantity]]</f>
        <v>1146.9000000000001</v>
      </c>
      <c r="O539" s="2">
        <v>256.23</v>
      </c>
      <c r="P539" s="4">
        <v>0.01</v>
      </c>
      <c r="Q539" t="s">
        <v>125</v>
      </c>
      <c r="R539" s="4">
        <f t="shared" si="8"/>
        <v>0.1807874126860933</v>
      </c>
    </row>
    <row r="540" spans="1:18" x14ac:dyDescent="0.25">
      <c r="A540">
        <v>1700</v>
      </c>
      <c r="B540" s="1">
        <v>45537</v>
      </c>
      <c r="C540" t="s">
        <v>225</v>
      </c>
      <c r="D540" t="s">
        <v>25</v>
      </c>
      <c r="E540" t="s">
        <v>26</v>
      </c>
      <c r="F540" t="s">
        <v>34</v>
      </c>
      <c r="G540" t="s">
        <v>35</v>
      </c>
      <c r="H540" t="s">
        <v>49</v>
      </c>
      <c r="I540" t="s">
        <v>66</v>
      </c>
      <c r="J540">
        <v>1</v>
      </c>
      <c r="K540" s="3">
        <v>405.13</v>
      </c>
      <c r="L540" s="2">
        <v>247.41</v>
      </c>
      <c r="M540" s="2">
        <f>Table1[[#This Row],[UnitPrice]]*Table1[[#This Row],[Quantity]]</f>
        <v>405.13</v>
      </c>
      <c r="N540" s="2">
        <f>Table1[[#This Row],[CostPrice]]*Table1[[#This Row],[Quantity]]</f>
        <v>247.41</v>
      </c>
      <c r="O540" s="2">
        <v>109.1</v>
      </c>
      <c r="P540" s="4">
        <v>0.12</v>
      </c>
      <c r="Q540" t="s">
        <v>55</v>
      </c>
      <c r="R540" s="4">
        <f t="shared" si="8"/>
        <v>0.26929627526966654</v>
      </c>
    </row>
    <row r="541" spans="1:18" x14ac:dyDescent="0.25">
      <c r="A541">
        <v>1985</v>
      </c>
      <c r="B541" s="1">
        <v>45567</v>
      </c>
      <c r="C541" t="s">
        <v>217</v>
      </c>
      <c r="D541" t="s">
        <v>25</v>
      </c>
      <c r="E541" t="s">
        <v>26</v>
      </c>
      <c r="F541" t="s">
        <v>19</v>
      </c>
      <c r="G541" t="s">
        <v>20</v>
      </c>
      <c r="H541" t="s">
        <v>28</v>
      </c>
      <c r="I541" t="s">
        <v>29</v>
      </c>
      <c r="J541">
        <v>2</v>
      </c>
      <c r="K541" s="3">
        <v>188.67</v>
      </c>
      <c r="L541" s="2">
        <v>150.97999999999999</v>
      </c>
      <c r="M541" s="2">
        <f>Table1[[#This Row],[UnitPrice]]*Table1[[#This Row],[Quantity]]</f>
        <v>377.34</v>
      </c>
      <c r="N541" s="2">
        <f>Table1[[#This Row],[CostPrice]]*Table1[[#This Row],[Quantity]]</f>
        <v>301.95999999999998</v>
      </c>
      <c r="O541" s="2">
        <v>26.33</v>
      </c>
      <c r="P541" s="4">
        <v>0.13</v>
      </c>
      <c r="Q541" t="s">
        <v>23</v>
      </c>
      <c r="R541" s="4">
        <f t="shared" si="8"/>
        <v>6.9777919118036782E-2</v>
      </c>
    </row>
    <row r="542" spans="1:18" x14ac:dyDescent="0.25">
      <c r="A542">
        <v>1193</v>
      </c>
      <c r="B542" s="1">
        <v>45598</v>
      </c>
      <c r="C542" t="s">
        <v>210</v>
      </c>
      <c r="D542" t="s">
        <v>32</v>
      </c>
      <c r="E542" t="s">
        <v>53</v>
      </c>
      <c r="F542" t="s">
        <v>19</v>
      </c>
      <c r="G542" t="s">
        <v>41</v>
      </c>
      <c r="H542" t="s">
        <v>42</v>
      </c>
      <c r="I542" t="s">
        <v>68</v>
      </c>
      <c r="J542">
        <v>2</v>
      </c>
      <c r="K542" s="3">
        <v>655.47</v>
      </c>
      <c r="L542" s="2">
        <v>524.62</v>
      </c>
      <c r="M542" s="2">
        <f>Table1[[#This Row],[UnitPrice]]*Table1[[#This Row],[Quantity]]</f>
        <v>1310.94</v>
      </c>
      <c r="N542" s="2">
        <f>Table1[[#This Row],[CostPrice]]*Table1[[#This Row],[Quantity]]</f>
        <v>1049.24</v>
      </c>
      <c r="O542" s="2">
        <v>-39.82</v>
      </c>
      <c r="P542" s="4">
        <v>0.23</v>
      </c>
      <c r="Q542" t="s">
        <v>44</v>
      </c>
      <c r="R542" s="4">
        <f t="shared" si="8"/>
        <v>-3.0375150655255007E-2</v>
      </c>
    </row>
    <row r="543" spans="1:18" x14ac:dyDescent="0.25">
      <c r="A543">
        <v>1386</v>
      </c>
      <c r="B543" s="1">
        <v>45598</v>
      </c>
      <c r="C543" t="s">
        <v>251</v>
      </c>
      <c r="D543" t="s">
        <v>25</v>
      </c>
      <c r="E543" t="s">
        <v>53</v>
      </c>
      <c r="F543" t="s">
        <v>34</v>
      </c>
      <c r="G543" t="s">
        <v>20</v>
      </c>
      <c r="H543" t="s">
        <v>28</v>
      </c>
      <c r="I543" t="s">
        <v>90</v>
      </c>
      <c r="J543">
        <v>2</v>
      </c>
      <c r="K543" s="3">
        <v>266.14</v>
      </c>
      <c r="L543" s="2">
        <v>147.53</v>
      </c>
      <c r="M543" s="2">
        <f>Table1[[#This Row],[UnitPrice]]*Table1[[#This Row],[Quantity]]</f>
        <v>532.28</v>
      </c>
      <c r="N543" s="2">
        <f>Table1[[#This Row],[CostPrice]]*Table1[[#This Row],[Quantity]]</f>
        <v>295.06</v>
      </c>
      <c r="O543" s="2">
        <v>130.76</v>
      </c>
      <c r="P543" s="4">
        <v>0.2</v>
      </c>
      <c r="Q543" t="s">
        <v>75</v>
      </c>
      <c r="R543" s="4">
        <f t="shared" si="8"/>
        <v>0.24566017885323513</v>
      </c>
    </row>
    <row r="544" spans="1:18" x14ac:dyDescent="0.25">
      <c r="A544">
        <v>1530</v>
      </c>
      <c r="B544" s="1">
        <v>45628</v>
      </c>
      <c r="C544" t="s">
        <v>73</v>
      </c>
      <c r="D544" t="s">
        <v>32</v>
      </c>
      <c r="E544" t="s">
        <v>18</v>
      </c>
      <c r="F544" t="s">
        <v>27</v>
      </c>
      <c r="G544" t="s">
        <v>35</v>
      </c>
      <c r="H544" t="s">
        <v>36</v>
      </c>
      <c r="I544" t="s">
        <v>37</v>
      </c>
      <c r="J544">
        <v>6</v>
      </c>
      <c r="K544" s="3">
        <v>354.6</v>
      </c>
      <c r="L544" s="2">
        <v>298.62</v>
      </c>
      <c r="M544" s="2">
        <f>Table1[[#This Row],[UnitPrice]]*Table1[[#This Row],[Quantity]]</f>
        <v>2127.6000000000004</v>
      </c>
      <c r="N544" s="2">
        <f>Table1[[#This Row],[CostPrice]]*Table1[[#This Row],[Quantity]]</f>
        <v>1791.72</v>
      </c>
      <c r="O544" s="2">
        <v>-217.3</v>
      </c>
      <c r="P544" s="4">
        <v>0.26</v>
      </c>
      <c r="Q544" t="s">
        <v>44</v>
      </c>
      <c r="R544" s="4">
        <f t="shared" si="8"/>
        <v>-0.10213385974807293</v>
      </c>
    </row>
    <row r="545" spans="1:18" x14ac:dyDescent="0.25">
      <c r="A545">
        <v>1778</v>
      </c>
      <c r="B545" s="1">
        <v>45628</v>
      </c>
      <c r="C545" t="s">
        <v>201</v>
      </c>
      <c r="D545" t="s">
        <v>17</v>
      </c>
      <c r="E545" t="s">
        <v>33</v>
      </c>
      <c r="F545" t="s">
        <v>19</v>
      </c>
      <c r="G545" t="s">
        <v>35</v>
      </c>
      <c r="H545" t="s">
        <v>70</v>
      </c>
      <c r="I545" t="s">
        <v>71</v>
      </c>
      <c r="J545">
        <v>9</v>
      </c>
      <c r="K545" s="3">
        <v>780.48</v>
      </c>
      <c r="L545" s="2">
        <v>499.74</v>
      </c>
      <c r="M545" s="2">
        <f>Table1[[#This Row],[UnitPrice]]*Table1[[#This Row],[Quantity]]</f>
        <v>7024.32</v>
      </c>
      <c r="N545" s="2">
        <f>Table1[[#This Row],[CostPrice]]*Table1[[#This Row],[Quantity]]</f>
        <v>4497.66</v>
      </c>
      <c r="O545" s="2">
        <v>1964.71</v>
      </c>
      <c r="P545" s="4">
        <v>0.08</v>
      </c>
      <c r="Q545" t="s">
        <v>92</v>
      </c>
      <c r="R545" s="4">
        <f t="shared" si="8"/>
        <v>0.27970109562206735</v>
      </c>
    </row>
    <row r="546" spans="1:18" x14ac:dyDescent="0.25">
      <c r="A546">
        <v>1904</v>
      </c>
      <c r="B546" s="1">
        <v>45628</v>
      </c>
      <c r="C546" t="s">
        <v>201</v>
      </c>
      <c r="D546" t="s">
        <v>25</v>
      </c>
      <c r="E546" t="s">
        <v>33</v>
      </c>
      <c r="F546" t="s">
        <v>34</v>
      </c>
      <c r="G546" t="s">
        <v>35</v>
      </c>
      <c r="H546" t="s">
        <v>70</v>
      </c>
      <c r="I546" t="s">
        <v>98</v>
      </c>
      <c r="J546">
        <v>8</v>
      </c>
      <c r="K546" s="3">
        <v>706.73</v>
      </c>
      <c r="L546" s="2">
        <v>554.57000000000005</v>
      </c>
      <c r="M546" s="2">
        <f>Table1[[#This Row],[UnitPrice]]*Table1[[#This Row],[Quantity]]</f>
        <v>5653.84</v>
      </c>
      <c r="N546" s="2">
        <f>Table1[[#This Row],[CostPrice]]*Table1[[#This Row],[Quantity]]</f>
        <v>4436.5600000000004</v>
      </c>
      <c r="O546" s="2">
        <v>-309.26</v>
      </c>
      <c r="P546" s="4">
        <v>0.27</v>
      </c>
      <c r="Q546" t="s">
        <v>23</v>
      </c>
      <c r="R546" s="4">
        <f t="shared" si="8"/>
        <v>-5.4699107155490777E-2</v>
      </c>
    </row>
    <row r="547" spans="1:18" x14ac:dyDescent="0.25">
      <c r="A547">
        <v>1991</v>
      </c>
      <c r="B547" s="1">
        <v>45628</v>
      </c>
      <c r="C547" t="s">
        <v>256</v>
      </c>
      <c r="D547" t="s">
        <v>25</v>
      </c>
      <c r="E547" t="s">
        <v>53</v>
      </c>
      <c r="F547" t="s">
        <v>34</v>
      </c>
      <c r="G547" t="s">
        <v>35</v>
      </c>
      <c r="H547" t="s">
        <v>70</v>
      </c>
      <c r="I547" t="s">
        <v>84</v>
      </c>
      <c r="J547">
        <v>2</v>
      </c>
      <c r="K547" s="3">
        <v>657.59</v>
      </c>
      <c r="L547" s="2">
        <v>421.89</v>
      </c>
      <c r="M547" s="2">
        <f>Table1[[#This Row],[UnitPrice]]*Table1[[#This Row],[Quantity]]</f>
        <v>1315.18</v>
      </c>
      <c r="N547" s="2">
        <f>Table1[[#This Row],[CostPrice]]*Table1[[#This Row],[Quantity]]</f>
        <v>843.78</v>
      </c>
      <c r="O547" s="2">
        <v>155.76</v>
      </c>
      <c r="P547" s="4">
        <v>0.24</v>
      </c>
      <c r="Q547" t="s">
        <v>92</v>
      </c>
      <c r="R547" s="4">
        <f t="shared" si="8"/>
        <v>0.11843245791450599</v>
      </c>
    </row>
    <row r="548" spans="1:18" x14ac:dyDescent="0.25">
      <c r="A548">
        <v>1749</v>
      </c>
      <c r="B548" s="1">
        <v>45336</v>
      </c>
      <c r="C548" t="s">
        <v>135</v>
      </c>
      <c r="D548" t="s">
        <v>32</v>
      </c>
      <c r="E548" t="s">
        <v>53</v>
      </c>
      <c r="F548" t="s">
        <v>19</v>
      </c>
      <c r="G548" t="s">
        <v>41</v>
      </c>
      <c r="H548" t="s">
        <v>42</v>
      </c>
      <c r="I548" t="s">
        <v>77</v>
      </c>
      <c r="J548">
        <v>5</v>
      </c>
      <c r="K548" s="3">
        <v>995.38</v>
      </c>
      <c r="L548" s="2">
        <v>740.44</v>
      </c>
      <c r="M548" s="2">
        <f>Table1[[#This Row],[UnitPrice]]*Table1[[#This Row],[Quantity]]</f>
        <v>4976.8999999999996</v>
      </c>
      <c r="N548" s="2">
        <f>Table1[[#This Row],[CostPrice]]*Table1[[#This Row],[Quantity]]</f>
        <v>3702.2000000000003</v>
      </c>
      <c r="O548" s="2">
        <v>976.09</v>
      </c>
      <c r="P548" s="4">
        <v>0.06</v>
      </c>
      <c r="Q548" t="s">
        <v>85</v>
      </c>
      <c r="R548" s="4">
        <f t="shared" si="8"/>
        <v>0.19612409331109729</v>
      </c>
    </row>
    <row r="549" spans="1:18" x14ac:dyDescent="0.25">
      <c r="A549">
        <v>1465</v>
      </c>
      <c r="B549" s="1">
        <v>45337</v>
      </c>
      <c r="C549" t="s">
        <v>165</v>
      </c>
      <c r="D549" t="s">
        <v>25</v>
      </c>
      <c r="E549" t="s">
        <v>26</v>
      </c>
      <c r="F549" t="s">
        <v>19</v>
      </c>
      <c r="G549" t="s">
        <v>35</v>
      </c>
      <c r="H549" t="s">
        <v>49</v>
      </c>
      <c r="I549" t="s">
        <v>66</v>
      </c>
      <c r="J549">
        <v>6</v>
      </c>
      <c r="K549" s="3">
        <v>212.2</v>
      </c>
      <c r="L549" s="2">
        <v>157.65</v>
      </c>
      <c r="M549" s="2">
        <f>Table1[[#This Row],[UnitPrice]]*Table1[[#This Row],[Quantity]]</f>
        <v>1273.1999999999998</v>
      </c>
      <c r="N549" s="2">
        <f>Table1[[#This Row],[CostPrice]]*Table1[[#This Row],[Quantity]]</f>
        <v>945.90000000000009</v>
      </c>
      <c r="O549" s="2">
        <v>161.78</v>
      </c>
      <c r="P549" s="4">
        <v>0.13</v>
      </c>
      <c r="Q549" t="s">
        <v>75</v>
      </c>
      <c r="R549" s="4">
        <f t="shared" si="8"/>
        <v>0.12706566132579331</v>
      </c>
    </row>
    <row r="550" spans="1:18" x14ac:dyDescent="0.25">
      <c r="A550">
        <v>1803</v>
      </c>
      <c r="B550" s="1">
        <v>45337</v>
      </c>
      <c r="C550" t="s">
        <v>179</v>
      </c>
      <c r="D550" t="s">
        <v>25</v>
      </c>
      <c r="E550" t="s">
        <v>53</v>
      </c>
      <c r="F550" t="s">
        <v>19</v>
      </c>
      <c r="G550" t="s">
        <v>41</v>
      </c>
      <c r="H550" t="s">
        <v>63</v>
      </c>
      <c r="I550" t="s">
        <v>64</v>
      </c>
      <c r="J550">
        <v>2</v>
      </c>
      <c r="K550" s="3">
        <v>817.48</v>
      </c>
      <c r="L550" s="2">
        <v>542.77</v>
      </c>
      <c r="M550" s="2">
        <f>Table1[[#This Row],[UnitPrice]]*Table1[[#This Row],[Quantity]]</f>
        <v>1634.96</v>
      </c>
      <c r="N550" s="2">
        <f>Table1[[#This Row],[CostPrice]]*Table1[[#This Row],[Quantity]]</f>
        <v>1085.54</v>
      </c>
      <c r="O550" s="2">
        <v>402.27</v>
      </c>
      <c r="P550" s="4">
        <v>0.09</v>
      </c>
      <c r="Q550" t="s">
        <v>75</v>
      </c>
      <c r="R550" s="4">
        <f t="shared" si="8"/>
        <v>0.24604271664138572</v>
      </c>
    </row>
    <row r="551" spans="1:18" x14ac:dyDescent="0.25">
      <c r="A551">
        <v>1094</v>
      </c>
      <c r="B551" s="1">
        <v>45338</v>
      </c>
      <c r="C551" t="s">
        <v>156</v>
      </c>
      <c r="D551" t="s">
        <v>25</v>
      </c>
      <c r="E551" t="s">
        <v>53</v>
      </c>
      <c r="F551" t="s">
        <v>27</v>
      </c>
      <c r="G551" t="s">
        <v>20</v>
      </c>
      <c r="H551" t="s">
        <v>21</v>
      </c>
      <c r="I551" t="s">
        <v>54</v>
      </c>
      <c r="J551">
        <v>10</v>
      </c>
      <c r="K551" s="3">
        <v>152.59</v>
      </c>
      <c r="L551" s="2">
        <v>83.03</v>
      </c>
      <c r="M551" s="2">
        <f>Table1[[#This Row],[UnitPrice]]*Table1[[#This Row],[Quantity]]</f>
        <v>1525.9</v>
      </c>
      <c r="N551" s="2">
        <f>Table1[[#This Row],[CostPrice]]*Table1[[#This Row],[Quantity]]</f>
        <v>830.3</v>
      </c>
      <c r="O551" s="2">
        <v>405.68</v>
      </c>
      <c r="P551" s="4">
        <v>0.19</v>
      </c>
      <c r="Q551" t="s">
        <v>125</v>
      </c>
      <c r="R551" s="4">
        <f t="shared" si="8"/>
        <v>0.26586276951307425</v>
      </c>
    </row>
    <row r="552" spans="1:18" x14ac:dyDescent="0.25">
      <c r="A552">
        <v>1564</v>
      </c>
      <c r="B552" s="1">
        <v>45338</v>
      </c>
      <c r="C552" t="s">
        <v>105</v>
      </c>
      <c r="D552" t="s">
        <v>17</v>
      </c>
      <c r="E552" t="s">
        <v>33</v>
      </c>
      <c r="F552" t="s">
        <v>34</v>
      </c>
      <c r="G552" t="s">
        <v>41</v>
      </c>
      <c r="H552" t="s">
        <v>46</v>
      </c>
      <c r="I552" t="s">
        <v>57</v>
      </c>
      <c r="J552">
        <v>2</v>
      </c>
      <c r="K552" s="3">
        <v>568.6</v>
      </c>
      <c r="L552" s="2">
        <v>389.99</v>
      </c>
      <c r="M552" s="2">
        <f>Table1[[#This Row],[UnitPrice]]*Table1[[#This Row],[Quantity]]</f>
        <v>1137.2</v>
      </c>
      <c r="N552" s="2">
        <f>Table1[[#This Row],[CostPrice]]*Table1[[#This Row],[Quantity]]</f>
        <v>779.98</v>
      </c>
      <c r="O552" s="2">
        <v>209.38</v>
      </c>
      <c r="P552" s="4">
        <v>0.13</v>
      </c>
      <c r="Q552" t="s">
        <v>85</v>
      </c>
      <c r="R552" s="4">
        <f t="shared" si="8"/>
        <v>0.1841188884980654</v>
      </c>
    </row>
    <row r="553" spans="1:18" x14ac:dyDescent="0.25">
      <c r="A553">
        <v>1817</v>
      </c>
      <c r="B553" s="1">
        <v>45338</v>
      </c>
      <c r="C553" t="s">
        <v>171</v>
      </c>
      <c r="D553" t="s">
        <v>32</v>
      </c>
      <c r="E553" t="s">
        <v>18</v>
      </c>
      <c r="F553" t="s">
        <v>27</v>
      </c>
      <c r="G553" t="s">
        <v>20</v>
      </c>
      <c r="H553" t="s">
        <v>113</v>
      </c>
      <c r="I553" t="s">
        <v>161</v>
      </c>
      <c r="J553">
        <v>8</v>
      </c>
      <c r="K553" s="3">
        <v>118.75</v>
      </c>
      <c r="L553" s="2">
        <v>78.27</v>
      </c>
      <c r="M553" s="2">
        <f>Table1[[#This Row],[UnitPrice]]*Table1[[#This Row],[Quantity]]</f>
        <v>950</v>
      </c>
      <c r="N553" s="2">
        <f>Table1[[#This Row],[CostPrice]]*Table1[[#This Row],[Quantity]]</f>
        <v>626.16</v>
      </c>
      <c r="O553" s="2">
        <v>171.84</v>
      </c>
      <c r="P553" s="4">
        <v>0.16</v>
      </c>
      <c r="Q553" t="s">
        <v>55</v>
      </c>
      <c r="R553" s="4">
        <f t="shared" si="8"/>
        <v>0.18088421052631579</v>
      </c>
    </row>
    <row r="554" spans="1:18" x14ac:dyDescent="0.25">
      <c r="A554">
        <v>1226</v>
      </c>
      <c r="B554" s="1">
        <v>45339</v>
      </c>
      <c r="C554" t="s">
        <v>164</v>
      </c>
      <c r="D554" t="s">
        <v>32</v>
      </c>
      <c r="E554" t="s">
        <v>18</v>
      </c>
      <c r="F554" t="s">
        <v>27</v>
      </c>
      <c r="G554" t="s">
        <v>35</v>
      </c>
      <c r="H554" t="s">
        <v>49</v>
      </c>
      <c r="I554" t="s">
        <v>59</v>
      </c>
      <c r="J554">
        <v>1</v>
      </c>
      <c r="K554" s="3">
        <v>869.56</v>
      </c>
      <c r="L554" s="2">
        <v>692.61</v>
      </c>
      <c r="M554" s="2">
        <f>Table1[[#This Row],[UnitPrice]]*Table1[[#This Row],[Quantity]]</f>
        <v>869.56</v>
      </c>
      <c r="N554" s="2">
        <f>Table1[[#This Row],[CostPrice]]*Table1[[#This Row],[Quantity]]</f>
        <v>692.61</v>
      </c>
      <c r="O554" s="2">
        <v>150.86000000000001</v>
      </c>
      <c r="P554" s="4">
        <v>0.03</v>
      </c>
      <c r="Q554" t="s">
        <v>55</v>
      </c>
      <c r="R554" s="4">
        <f t="shared" si="8"/>
        <v>0.17349004094024567</v>
      </c>
    </row>
    <row r="555" spans="1:18" x14ac:dyDescent="0.25">
      <c r="A555">
        <v>1680</v>
      </c>
      <c r="B555" s="1">
        <v>45340</v>
      </c>
      <c r="C555" t="s">
        <v>147</v>
      </c>
      <c r="D555" t="s">
        <v>17</v>
      </c>
      <c r="E555" t="s">
        <v>33</v>
      </c>
      <c r="F555" t="s">
        <v>27</v>
      </c>
      <c r="G555" t="s">
        <v>41</v>
      </c>
      <c r="H555" t="s">
        <v>63</v>
      </c>
      <c r="I555" t="s">
        <v>141</v>
      </c>
      <c r="J555">
        <v>7</v>
      </c>
      <c r="K555" s="3">
        <v>231.44</v>
      </c>
      <c r="L555" s="2">
        <v>174.31</v>
      </c>
      <c r="M555" s="2">
        <f>Table1[[#This Row],[UnitPrice]]*Table1[[#This Row],[Quantity]]</f>
        <v>1620.08</v>
      </c>
      <c r="N555" s="2">
        <f>Table1[[#This Row],[CostPrice]]*Table1[[#This Row],[Quantity]]</f>
        <v>1220.17</v>
      </c>
      <c r="O555" s="2">
        <v>302.70999999999998</v>
      </c>
      <c r="P555" s="4">
        <v>0.06</v>
      </c>
      <c r="Q555" t="s">
        <v>23</v>
      </c>
      <c r="R555" s="4">
        <f t="shared" si="8"/>
        <v>0.18684879759024245</v>
      </c>
    </row>
    <row r="556" spans="1:18" x14ac:dyDescent="0.25">
      <c r="A556">
        <v>1194</v>
      </c>
      <c r="B556" s="1">
        <v>45342</v>
      </c>
      <c r="C556" t="s">
        <v>211</v>
      </c>
      <c r="D556" t="s">
        <v>17</v>
      </c>
      <c r="E556" t="s">
        <v>53</v>
      </c>
      <c r="F556" t="s">
        <v>34</v>
      </c>
      <c r="G556" t="s">
        <v>41</v>
      </c>
      <c r="H556" t="s">
        <v>42</v>
      </c>
      <c r="I556" t="s">
        <v>43</v>
      </c>
      <c r="J556">
        <v>3</v>
      </c>
      <c r="K556" s="3">
        <v>87.27</v>
      </c>
      <c r="L556" s="2">
        <v>69.459999999999994</v>
      </c>
      <c r="M556" s="2">
        <f>Table1[[#This Row],[UnitPrice]]*Table1[[#This Row],[Quantity]]</f>
        <v>261.81</v>
      </c>
      <c r="N556" s="2">
        <f>Table1[[#This Row],[CostPrice]]*Table1[[#This Row],[Quantity]]</f>
        <v>208.38</v>
      </c>
      <c r="O556" s="2">
        <v>3.69</v>
      </c>
      <c r="P556" s="4">
        <v>0.19</v>
      </c>
      <c r="Q556" t="s">
        <v>85</v>
      </c>
      <c r="R556" s="4">
        <f t="shared" si="8"/>
        <v>1.4094190443451357E-2</v>
      </c>
    </row>
    <row r="557" spans="1:18" x14ac:dyDescent="0.25">
      <c r="A557">
        <v>1368</v>
      </c>
      <c r="B557" s="1">
        <v>45342</v>
      </c>
      <c r="C557" t="s">
        <v>72</v>
      </c>
      <c r="D557" t="s">
        <v>17</v>
      </c>
      <c r="E557" t="s">
        <v>33</v>
      </c>
      <c r="F557" t="s">
        <v>34</v>
      </c>
      <c r="G557" t="s">
        <v>20</v>
      </c>
      <c r="H557" t="s">
        <v>113</v>
      </c>
      <c r="I557" t="s">
        <v>153</v>
      </c>
      <c r="J557">
        <v>9</v>
      </c>
      <c r="K557" s="3">
        <v>915.43</v>
      </c>
      <c r="L557" s="2">
        <v>569.24</v>
      </c>
      <c r="M557" s="2">
        <f>Table1[[#This Row],[UnitPrice]]*Table1[[#This Row],[Quantity]]</f>
        <v>8238.869999999999</v>
      </c>
      <c r="N557" s="2">
        <f>Table1[[#This Row],[CostPrice]]*Table1[[#This Row],[Quantity]]</f>
        <v>5123.16</v>
      </c>
      <c r="O557" s="2">
        <v>726.44</v>
      </c>
      <c r="P557" s="4">
        <v>0.28999999999999998</v>
      </c>
      <c r="Q557" t="s">
        <v>30</v>
      </c>
      <c r="R557" s="4">
        <f t="shared" si="8"/>
        <v>8.8172285762489297E-2</v>
      </c>
    </row>
    <row r="558" spans="1:18" x14ac:dyDescent="0.25">
      <c r="A558">
        <v>1571</v>
      </c>
      <c r="B558" s="1">
        <v>45343</v>
      </c>
      <c r="C558" t="s">
        <v>230</v>
      </c>
      <c r="D558" t="s">
        <v>17</v>
      </c>
      <c r="E558" t="s">
        <v>33</v>
      </c>
      <c r="F558" t="s">
        <v>27</v>
      </c>
      <c r="G558" t="s">
        <v>41</v>
      </c>
      <c r="H558" t="s">
        <v>42</v>
      </c>
      <c r="I558" t="s">
        <v>77</v>
      </c>
      <c r="J558">
        <v>2</v>
      </c>
      <c r="K558" s="3">
        <v>573.12</v>
      </c>
      <c r="L558" s="2">
        <v>386.91</v>
      </c>
      <c r="M558" s="2">
        <f>Table1[[#This Row],[UnitPrice]]*Table1[[#This Row],[Quantity]]</f>
        <v>1146.24</v>
      </c>
      <c r="N558" s="2">
        <f>Table1[[#This Row],[CostPrice]]*Table1[[#This Row],[Quantity]]</f>
        <v>773.82</v>
      </c>
      <c r="O558" s="2">
        <v>326.57</v>
      </c>
      <c r="P558" s="4">
        <v>0.04</v>
      </c>
      <c r="Q558" t="s">
        <v>125</v>
      </c>
      <c r="R558" s="4">
        <f t="shared" si="8"/>
        <v>0.28490542992741485</v>
      </c>
    </row>
    <row r="559" spans="1:18" x14ac:dyDescent="0.25">
      <c r="A559">
        <v>1061</v>
      </c>
      <c r="B559" s="1">
        <v>45345</v>
      </c>
      <c r="C559" t="s">
        <v>128</v>
      </c>
      <c r="D559" t="s">
        <v>17</v>
      </c>
      <c r="E559" t="s">
        <v>53</v>
      </c>
      <c r="F559" t="s">
        <v>40</v>
      </c>
      <c r="G559" t="s">
        <v>20</v>
      </c>
      <c r="H559" t="s">
        <v>21</v>
      </c>
      <c r="I559" t="s">
        <v>54</v>
      </c>
      <c r="J559">
        <v>5</v>
      </c>
      <c r="K559" s="3">
        <v>704.47</v>
      </c>
      <c r="L559" s="2">
        <v>464.18</v>
      </c>
      <c r="M559" s="2">
        <f>Table1[[#This Row],[UnitPrice]]*Table1[[#This Row],[Quantity]]</f>
        <v>3522.3500000000004</v>
      </c>
      <c r="N559" s="2">
        <f>Table1[[#This Row],[CostPrice]]*Table1[[#This Row],[Quantity]]</f>
        <v>2320.9</v>
      </c>
      <c r="O559" s="2">
        <v>461.76</v>
      </c>
      <c r="P559" s="4">
        <v>0.21</v>
      </c>
      <c r="Q559" t="s">
        <v>30</v>
      </c>
      <c r="R559" s="4">
        <f t="shared" si="8"/>
        <v>0.13109429784093005</v>
      </c>
    </row>
    <row r="560" spans="1:18" x14ac:dyDescent="0.25">
      <c r="A560">
        <v>1066</v>
      </c>
      <c r="B560" s="1">
        <v>45345</v>
      </c>
      <c r="C560" t="s">
        <v>134</v>
      </c>
      <c r="D560" t="s">
        <v>17</v>
      </c>
      <c r="E560" t="s">
        <v>33</v>
      </c>
      <c r="F560" t="s">
        <v>19</v>
      </c>
      <c r="G560" t="s">
        <v>35</v>
      </c>
      <c r="H560" t="s">
        <v>49</v>
      </c>
      <c r="I560" t="s">
        <v>59</v>
      </c>
      <c r="J560">
        <v>8</v>
      </c>
      <c r="K560" s="3">
        <v>291.77999999999997</v>
      </c>
      <c r="L560" s="2">
        <v>242.42</v>
      </c>
      <c r="M560" s="2">
        <f>Table1[[#This Row],[UnitPrice]]*Table1[[#This Row],[Quantity]]</f>
        <v>2334.2399999999998</v>
      </c>
      <c r="N560" s="2">
        <f>Table1[[#This Row],[CostPrice]]*Table1[[#This Row],[Quantity]]</f>
        <v>1939.36</v>
      </c>
      <c r="O560" s="2">
        <v>-165.34</v>
      </c>
      <c r="P560" s="4">
        <v>0.24</v>
      </c>
      <c r="Q560" t="s">
        <v>38</v>
      </c>
      <c r="R560" s="4">
        <f t="shared" si="8"/>
        <v>-7.0832476523408058E-2</v>
      </c>
    </row>
    <row r="561" spans="1:18" x14ac:dyDescent="0.25">
      <c r="A561">
        <v>1207</v>
      </c>
      <c r="B561" s="1">
        <v>45345</v>
      </c>
      <c r="C561" t="s">
        <v>136</v>
      </c>
      <c r="D561" t="s">
        <v>25</v>
      </c>
      <c r="E561" t="s">
        <v>18</v>
      </c>
      <c r="F561" t="s">
        <v>19</v>
      </c>
      <c r="G561" t="s">
        <v>35</v>
      </c>
      <c r="H561" t="s">
        <v>70</v>
      </c>
      <c r="I561" t="s">
        <v>98</v>
      </c>
      <c r="J561">
        <v>7</v>
      </c>
      <c r="K561" s="3">
        <v>790.13</v>
      </c>
      <c r="L561" s="2">
        <v>415.52</v>
      </c>
      <c r="M561" s="2">
        <f>Table1[[#This Row],[UnitPrice]]*Table1[[#This Row],[Quantity]]</f>
        <v>5530.91</v>
      </c>
      <c r="N561" s="2">
        <f>Table1[[#This Row],[CostPrice]]*Table1[[#This Row],[Quantity]]</f>
        <v>2908.64</v>
      </c>
      <c r="O561" s="2">
        <v>963</v>
      </c>
      <c r="P561" s="4">
        <v>0.3</v>
      </c>
      <c r="Q561" t="s">
        <v>55</v>
      </c>
      <c r="R561" s="4">
        <f t="shared" si="8"/>
        <v>0.17411239741742318</v>
      </c>
    </row>
    <row r="562" spans="1:18" x14ac:dyDescent="0.25">
      <c r="A562">
        <v>1713</v>
      </c>
      <c r="B562" s="1">
        <v>45345</v>
      </c>
      <c r="C562" t="s">
        <v>227</v>
      </c>
      <c r="D562" t="s">
        <v>25</v>
      </c>
      <c r="E562" t="s">
        <v>53</v>
      </c>
      <c r="F562" t="s">
        <v>19</v>
      </c>
      <c r="G562" t="s">
        <v>20</v>
      </c>
      <c r="H562" t="s">
        <v>28</v>
      </c>
      <c r="I562" t="s">
        <v>29</v>
      </c>
      <c r="J562">
        <v>6</v>
      </c>
      <c r="K562" s="3">
        <v>512.05999999999995</v>
      </c>
      <c r="L562" s="2">
        <v>343.6</v>
      </c>
      <c r="M562" s="2">
        <f>Table1[[#This Row],[UnitPrice]]*Table1[[#This Row],[Quantity]]</f>
        <v>3072.3599999999997</v>
      </c>
      <c r="N562" s="2">
        <f>Table1[[#This Row],[CostPrice]]*Table1[[#This Row],[Quantity]]</f>
        <v>2061.6000000000004</v>
      </c>
      <c r="O562" s="2">
        <v>365.56</v>
      </c>
      <c r="P562" s="4">
        <v>0.21</v>
      </c>
      <c r="Q562" t="s">
        <v>51</v>
      </c>
      <c r="R562" s="4">
        <f t="shared" si="8"/>
        <v>0.1189834524599982</v>
      </c>
    </row>
    <row r="563" spans="1:18" x14ac:dyDescent="0.25">
      <c r="A563">
        <v>1687</v>
      </c>
      <c r="B563" s="1">
        <v>45347</v>
      </c>
      <c r="C563" t="s">
        <v>205</v>
      </c>
      <c r="D563" t="s">
        <v>25</v>
      </c>
      <c r="E563" t="s">
        <v>26</v>
      </c>
      <c r="F563" t="s">
        <v>27</v>
      </c>
      <c r="G563" t="s">
        <v>35</v>
      </c>
      <c r="H563" t="s">
        <v>70</v>
      </c>
      <c r="I563" t="s">
        <v>98</v>
      </c>
      <c r="J563">
        <v>7</v>
      </c>
      <c r="K563" s="3">
        <v>955.32</v>
      </c>
      <c r="L563" s="2">
        <v>767.12</v>
      </c>
      <c r="M563" s="2">
        <f>Table1[[#This Row],[UnitPrice]]*Table1[[#This Row],[Quantity]]</f>
        <v>6687.2400000000007</v>
      </c>
      <c r="N563" s="2">
        <f>Table1[[#This Row],[CostPrice]]*Table1[[#This Row],[Quantity]]</f>
        <v>5369.84</v>
      </c>
      <c r="O563" s="2">
        <v>1049.9100000000001</v>
      </c>
      <c r="P563" s="4">
        <v>0.04</v>
      </c>
      <c r="Q563" t="s">
        <v>23</v>
      </c>
      <c r="R563" s="4">
        <f t="shared" si="8"/>
        <v>0.1570019918531412</v>
      </c>
    </row>
    <row r="564" spans="1:18" x14ac:dyDescent="0.25">
      <c r="A564">
        <v>1540</v>
      </c>
      <c r="B564" s="1">
        <v>45348</v>
      </c>
      <c r="C564" t="s">
        <v>274</v>
      </c>
      <c r="D564" t="s">
        <v>25</v>
      </c>
      <c r="E564" t="s">
        <v>33</v>
      </c>
      <c r="F564" t="s">
        <v>19</v>
      </c>
      <c r="G564" t="s">
        <v>20</v>
      </c>
      <c r="H564" t="s">
        <v>113</v>
      </c>
      <c r="I564" t="s">
        <v>114</v>
      </c>
      <c r="J564">
        <v>4</v>
      </c>
      <c r="K564" s="3">
        <v>796.13</v>
      </c>
      <c r="L564" s="2">
        <v>553.73</v>
      </c>
      <c r="M564" s="2">
        <f>Table1[[#This Row],[UnitPrice]]*Table1[[#This Row],[Quantity]]</f>
        <v>3184.52</v>
      </c>
      <c r="N564" s="2">
        <f>Table1[[#This Row],[CostPrice]]*Table1[[#This Row],[Quantity]]</f>
        <v>2214.92</v>
      </c>
      <c r="O564" s="2">
        <v>300.85000000000002</v>
      </c>
      <c r="P564" s="4">
        <v>0.21</v>
      </c>
      <c r="Q564" t="s">
        <v>38</v>
      </c>
      <c r="R564" s="4">
        <f t="shared" si="8"/>
        <v>9.4472636378480912E-2</v>
      </c>
    </row>
    <row r="565" spans="1:18" x14ac:dyDescent="0.25">
      <c r="A565">
        <v>1202</v>
      </c>
      <c r="B565" s="1">
        <v>45350</v>
      </c>
      <c r="C565" t="s">
        <v>170</v>
      </c>
      <c r="D565" t="s">
        <v>25</v>
      </c>
      <c r="E565" t="s">
        <v>26</v>
      </c>
      <c r="F565" t="s">
        <v>19</v>
      </c>
      <c r="G565" t="s">
        <v>41</v>
      </c>
      <c r="H565" t="s">
        <v>46</v>
      </c>
      <c r="I565" t="s">
        <v>47</v>
      </c>
      <c r="J565">
        <v>3</v>
      </c>
      <c r="K565" s="3">
        <v>272.57</v>
      </c>
      <c r="L565" s="2">
        <v>161.88999999999999</v>
      </c>
      <c r="M565" s="2">
        <f>Table1[[#This Row],[UnitPrice]]*Table1[[#This Row],[Quantity]]</f>
        <v>817.71</v>
      </c>
      <c r="N565" s="2">
        <f>Table1[[#This Row],[CostPrice]]*Table1[[#This Row],[Quantity]]</f>
        <v>485.66999999999996</v>
      </c>
      <c r="O565" s="2">
        <v>299.33</v>
      </c>
      <c r="P565" s="4">
        <v>0.04</v>
      </c>
      <c r="Q565" t="s">
        <v>92</v>
      </c>
      <c r="R565" s="4">
        <f t="shared" si="8"/>
        <v>0.36605887172714041</v>
      </c>
    </row>
    <row r="566" spans="1:18" x14ac:dyDescent="0.25">
      <c r="A566">
        <v>1649</v>
      </c>
      <c r="B566" s="1">
        <v>45350</v>
      </c>
      <c r="C566" t="s">
        <v>224</v>
      </c>
      <c r="D566" t="s">
        <v>17</v>
      </c>
      <c r="E566" t="s">
        <v>53</v>
      </c>
      <c r="F566" t="s">
        <v>27</v>
      </c>
      <c r="G566" t="s">
        <v>41</v>
      </c>
      <c r="H566" t="s">
        <v>42</v>
      </c>
      <c r="I566" t="s">
        <v>43</v>
      </c>
      <c r="J566">
        <v>2</v>
      </c>
      <c r="K566" s="3">
        <v>540.96</v>
      </c>
      <c r="L566" s="2">
        <v>439.48</v>
      </c>
      <c r="M566" s="2">
        <f>Table1[[#This Row],[UnitPrice]]*Table1[[#This Row],[Quantity]]</f>
        <v>1081.92</v>
      </c>
      <c r="N566" s="2">
        <f>Table1[[#This Row],[CostPrice]]*Table1[[#This Row],[Quantity]]</f>
        <v>878.96</v>
      </c>
      <c r="O566" s="2">
        <v>-56.7</v>
      </c>
      <c r="P566" s="4">
        <v>0.24</v>
      </c>
      <c r="Q566" t="s">
        <v>55</v>
      </c>
      <c r="R566" s="4">
        <f t="shared" si="8"/>
        <v>-5.2406832298136648E-2</v>
      </c>
    </row>
    <row r="567" spans="1:18" x14ac:dyDescent="0.25">
      <c r="A567">
        <v>1103</v>
      </c>
      <c r="B567" s="1">
        <v>45351</v>
      </c>
      <c r="C567" t="s">
        <v>163</v>
      </c>
      <c r="D567" t="s">
        <v>17</v>
      </c>
      <c r="E567" t="s">
        <v>33</v>
      </c>
      <c r="F567" t="s">
        <v>40</v>
      </c>
      <c r="G567" t="s">
        <v>35</v>
      </c>
      <c r="H567" t="s">
        <v>36</v>
      </c>
      <c r="I567" t="s">
        <v>37</v>
      </c>
      <c r="J567">
        <v>10</v>
      </c>
      <c r="K567" s="3">
        <v>489.2</v>
      </c>
      <c r="L567" s="2">
        <v>358.83</v>
      </c>
      <c r="M567" s="2">
        <f>Table1[[#This Row],[UnitPrice]]*Table1[[#This Row],[Quantity]]</f>
        <v>4892</v>
      </c>
      <c r="N567" s="2">
        <f>Table1[[#This Row],[CostPrice]]*Table1[[#This Row],[Quantity]]</f>
        <v>3588.2999999999997</v>
      </c>
      <c r="O567" s="2">
        <v>1254.78</v>
      </c>
      <c r="P567" s="4">
        <v>0.01</v>
      </c>
      <c r="Q567" t="s">
        <v>75</v>
      </c>
      <c r="R567" s="4">
        <f t="shared" si="8"/>
        <v>0.25649632052330334</v>
      </c>
    </row>
    <row r="568" spans="1:18" x14ac:dyDescent="0.25">
      <c r="A568">
        <v>1146</v>
      </c>
      <c r="B568" s="1">
        <v>45294</v>
      </c>
      <c r="C568" t="s">
        <v>188</v>
      </c>
      <c r="D568" t="s">
        <v>25</v>
      </c>
      <c r="E568" t="s">
        <v>18</v>
      </c>
      <c r="F568" t="s">
        <v>19</v>
      </c>
      <c r="G568" t="s">
        <v>35</v>
      </c>
      <c r="H568" t="s">
        <v>70</v>
      </c>
      <c r="I568" t="s">
        <v>71</v>
      </c>
      <c r="J568">
        <v>6</v>
      </c>
      <c r="K568" s="3">
        <v>975.5</v>
      </c>
      <c r="L568" s="2">
        <v>532.4</v>
      </c>
      <c r="M568" s="2">
        <f>Table1[[#This Row],[UnitPrice]]*Table1[[#This Row],[Quantity]]</f>
        <v>5853</v>
      </c>
      <c r="N568" s="2">
        <f>Table1[[#This Row],[CostPrice]]*Table1[[#This Row],[Quantity]]</f>
        <v>3194.3999999999996</v>
      </c>
      <c r="O568" s="2">
        <v>2014.77</v>
      </c>
      <c r="P568" s="4">
        <v>0.11</v>
      </c>
      <c r="Q568" t="s">
        <v>38</v>
      </c>
      <c r="R568" s="4">
        <f t="shared" si="8"/>
        <v>0.34422860071758071</v>
      </c>
    </row>
    <row r="569" spans="1:18" x14ac:dyDescent="0.25">
      <c r="A569">
        <v>1211</v>
      </c>
      <c r="B569" s="1">
        <v>45294</v>
      </c>
      <c r="C569" t="s">
        <v>215</v>
      </c>
      <c r="D569" t="s">
        <v>25</v>
      </c>
      <c r="E569" t="s">
        <v>26</v>
      </c>
      <c r="F569" t="s">
        <v>40</v>
      </c>
      <c r="G569" t="s">
        <v>35</v>
      </c>
      <c r="H569" t="s">
        <v>49</v>
      </c>
      <c r="I569" t="s">
        <v>50</v>
      </c>
      <c r="J569">
        <v>4</v>
      </c>
      <c r="K569" s="3">
        <v>523.51</v>
      </c>
      <c r="L569" s="2">
        <v>325.57</v>
      </c>
      <c r="M569" s="2">
        <f>Table1[[#This Row],[UnitPrice]]*Table1[[#This Row],[Quantity]]</f>
        <v>2094.04</v>
      </c>
      <c r="N569" s="2">
        <f>Table1[[#This Row],[CostPrice]]*Table1[[#This Row],[Quantity]]</f>
        <v>1302.28</v>
      </c>
      <c r="O569" s="2">
        <v>728.94</v>
      </c>
      <c r="P569" s="4">
        <v>0.03</v>
      </c>
      <c r="Q569" t="s">
        <v>55</v>
      </c>
      <c r="R569" s="4">
        <f t="shared" si="8"/>
        <v>0.34810223300414511</v>
      </c>
    </row>
    <row r="570" spans="1:18" x14ac:dyDescent="0.25">
      <c r="A570">
        <v>1331</v>
      </c>
      <c r="B570" s="1">
        <v>45294</v>
      </c>
      <c r="C570" t="s">
        <v>218</v>
      </c>
      <c r="D570" t="s">
        <v>32</v>
      </c>
      <c r="E570" t="s">
        <v>33</v>
      </c>
      <c r="F570" t="s">
        <v>40</v>
      </c>
      <c r="G570" t="s">
        <v>20</v>
      </c>
      <c r="H570" t="s">
        <v>21</v>
      </c>
      <c r="I570" t="s">
        <v>54</v>
      </c>
      <c r="J570">
        <v>6</v>
      </c>
      <c r="K570" s="3">
        <v>363.99</v>
      </c>
      <c r="L570" s="2">
        <v>209.82</v>
      </c>
      <c r="M570" s="2">
        <f>Table1[[#This Row],[UnitPrice]]*Table1[[#This Row],[Quantity]]</f>
        <v>2183.94</v>
      </c>
      <c r="N570" s="2">
        <f>Table1[[#This Row],[CostPrice]]*Table1[[#This Row],[Quantity]]</f>
        <v>1258.92</v>
      </c>
      <c r="O570" s="2">
        <v>422.71</v>
      </c>
      <c r="P570" s="4">
        <v>0.23</v>
      </c>
      <c r="Q570" t="s">
        <v>38</v>
      </c>
      <c r="R570" s="4">
        <f t="shared" si="8"/>
        <v>0.19355385221205709</v>
      </c>
    </row>
    <row r="571" spans="1:18" x14ac:dyDescent="0.25">
      <c r="A571">
        <v>1609</v>
      </c>
      <c r="B571" s="1">
        <v>45294</v>
      </c>
      <c r="C571" t="s">
        <v>111</v>
      </c>
      <c r="D571" t="s">
        <v>17</v>
      </c>
      <c r="E571" t="s">
        <v>18</v>
      </c>
      <c r="F571" t="s">
        <v>34</v>
      </c>
      <c r="G571" t="s">
        <v>35</v>
      </c>
      <c r="H571" t="s">
        <v>49</v>
      </c>
      <c r="I571" t="s">
        <v>50</v>
      </c>
      <c r="J571">
        <v>9</v>
      </c>
      <c r="K571" s="3">
        <v>593.08000000000004</v>
      </c>
      <c r="L571" s="2">
        <v>423.47</v>
      </c>
      <c r="M571" s="2">
        <f>Table1[[#This Row],[UnitPrice]]*Table1[[#This Row],[Quantity]]</f>
        <v>5337.72</v>
      </c>
      <c r="N571" s="2">
        <f>Table1[[#This Row],[CostPrice]]*Table1[[#This Row],[Quantity]]</f>
        <v>3811.2300000000005</v>
      </c>
      <c r="O571" s="2">
        <v>458.95</v>
      </c>
      <c r="P571" s="4">
        <v>0.2</v>
      </c>
      <c r="Q571" t="s">
        <v>55</v>
      </c>
      <c r="R571" s="4">
        <f t="shared" si="8"/>
        <v>8.5982404472321514E-2</v>
      </c>
    </row>
    <row r="572" spans="1:18" x14ac:dyDescent="0.25">
      <c r="A572">
        <v>1614</v>
      </c>
      <c r="B572" s="1">
        <v>45294</v>
      </c>
      <c r="C572" t="s">
        <v>195</v>
      </c>
      <c r="D572" t="s">
        <v>25</v>
      </c>
      <c r="E572" t="s">
        <v>26</v>
      </c>
      <c r="F572" t="s">
        <v>34</v>
      </c>
      <c r="G572" t="s">
        <v>20</v>
      </c>
      <c r="H572" t="s">
        <v>28</v>
      </c>
      <c r="I572" t="s">
        <v>29</v>
      </c>
      <c r="J572">
        <v>6</v>
      </c>
      <c r="K572" s="3">
        <v>678.54</v>
      </c>
      <c r="L572" s="2">
        <v>380.76</v>
      </c>
      <c r="M572" s="2">
        <f>Table1[[#This Row],[UnitPrice]]*Table1[[#This Row],[Quantity]]</f>
        <v>4071.24</v>
      </c>
      <c r="N572" s="2">
        <f>Table1[[#This Row],[CostPrice]]*Table1[[#This Row],[Quantity]]</f>
        <v>2284.56</v>
      </c>
      <c r="O572" s="2">
        <v>728.16</v>
      </c>
      <c r="P572" s="4">
        <v>0.26</v>
      </c>
      <c r="Q572" t="s">
        <v>38</v>
      </c>
      <c r="R572" s="4">
        <f t="shared" si="8"/>
        <v>0.1788545995814543</v>
      </c>
    </row>
    <row r="573" spans="1:18" x14ac:dyDescent="0.25">
      <c r="A573">
        <v>1603</v>
      </c>
      <c r="B573" s="1">
        <v>45325</v>
      </c>
      <c r="C573" t="s">
        <v>284</v>
      </c>
      <c r="D573" t="s">
        <v>32</v>
      </c>
      <c r="E573" t="s">
        <v>18</v>
      </c>
      <c r="F573" t="s">
        <v>27</v>
      </c>
      <c r="G573" t="s">
        <v>41</v>
      </c>
      <c r="H573" t="s">
        <v>46</v>
      </c>
      <c r="I573" t="s">
        <v>102</v>
      </c>
      <c r="J573">
        <v>5</v>
      </c>
      <c r="K573" s="3">
        <v>344.63</v>
      </c>
      <c r="L573" s="2">
        <v>283.06</v>
      </c>
      <c r="M573" s="2">
        <f>Table1[[#This Row],[UnitPrice]]*Table1[[#This Row],[Quantity]]</f>
        <v>1723.15</v>
      </c>
      <c r="N573" s="2">
        <f>Table1[[#This Row],[CostPrice]]*Table1[[#This Row],[Quantity]]</f>
        <v>1415.3</v>
      </c>
      <c r="O573" s="2">
        <v>-105.71</v>
      </c>
      <c r="P573" s="4">
        <v>0.24</v>
      </c>
      <c r="Q573" t="s">
        <v>23</v>
      </c>
      <c r="R573" s="4">
        <f t="shared" si="8"/>
        <v>-6.1346951803383329E-2</v>
      </c>
    </row>
    <row r="574" spans="1:18" x14ac:dyDescent="0.25">
      <c r="A574">
        <v>1800</v>
      </c>
      <c r="B574" s="1">
        <v>45325</v>
      </c>
      <c r="C574" t="s">
        <v>107</v>
      </c>
      <c r="D574" t="s">
        <v>25</v>
      </c>
      <c r="E574" t="s">
        <v>53</v>
      </c>
      <c r="F574" t="s">
        <v>19</v>
      </c>
      <c r="G574" t="s">
        <v>41</v>
      </c>
      <c r="H574" t="s">
        <v>63</v>
      </c>
      <c r="I574" t="s">
        <v>64</v>
      </c>
      <c r="J574">
        <v>5</v>
      </c>
      <c r="K574" s="3">
        <v>472.83</v>
      </c>
      <c r="L574" s="2">
        <v>355.99</v>
      </c>
      <c r="M574" s="2">
        <f>Table1[[#This Row],[UnitPrice]]*Table1[[#This Row],[Quantity]]</f>
        <v>2364.15</v>
      </c>
      <c r="N574" s="2">
        <f>Table1[[#This Row],[CostPrice]]*Table1[[#This Row],[Quantity]]</f>
        <v>1779.95</v>
      </c>
      <c r="O574" s="2">
        <v>276.86</v>
      </c>
      <c r="P574" s="4">
        <v>0.13</v>
      </c>
      <c r="Q574" t="s">
        <v>51</v>
      </c>
      <c r="R574" s="4">
        <f t="shared" si="8"/>
        <v>0.11710762853456845</v>
      </c>
    </row>
    <row r="575" spans="1:18" x14ac:dyDescent="0.25">
      <c r="A575">
        <v>1125</v>
      </c>
      <c r="B575" s="1">
        <v>45415</v>
      </c>
      <c r="C575" t="s">
        <v>172</v>
      </c>
      <c r="D575" t="s">
        <v>17</v>
      </c>
      <c r="E575" t="s">
        <v>53</v>
      </c>
      <c r="F575" t="s">
        <v>34</v>
      </c>
      <c r="G575" t="s">
        <v>20</v>
      </c>
      <c r="H575" t="s">
        <v>28</v>
      </c>
      <c r="I575" t="s">
        <v>90</v>
      </c>
      <c r="J575">
        <v>9</v>
      </c>
      <c r="K575" s="3">
        <v>577.16999999999996</v>
      </c>
      <c r="L575" s="2">
        <v>433.74</v>
      </c>
      <c r="M575" s="2">
        <f>Table1[[#This Row],[UnitPrice]]*Table1[[#This Row],[Quantity]]</f>
        <v>5194.53</v>
      </c>
      <c r="N575" s="2">
        <f>Table1[[#This Row],[CostPrice]]*Table1[[#This Row],[Quantity]]</f>
        <v>3903.66</v>
      </c>
      <c r="O575" s="2">
        <v>823.36</v>
      </c>
      <c r="P575" s="4">
        <v>0.09</v>
      </c>
      <c r="Q575" t="s">
        <v>51</v>
      </c>
      <c r="R575" s="4">
        <f t="shared" si="8"/>
        <v>0.15850519681280117</v>
      </c>
    </row>
    <row r="576" spans="1:18" x14ac:dyDescent="0.25">
      <c r="A576">
        <v>1508</v>
      </c>
      <c r="B576" s="1">
        <v>45415</v>
      </c>
      <c r="C576" t="s">
        <v>69</v>
      </c>
      <c r="D576" t="s">
        <v>17</v>
      </c>
      <c r="E576" t="s">
        <v>18</v>
      </c>
      <c r="F576" t="s">
        <v>19</v>
      </c>
      <c r="G576" t="s">
        <v>20</v>
      </c>
      <c r="H576" t="s">
        <v>28</v>
      </c>
      <c r="I576" t="s">
        <v>81</v>
      </c>
      <c r="J576">
        <v>2</v>
      </c>
      <c r="K576" s="3">
        <v>240.93</v>
      </c>
      <c r="L576" s="2">
        <v>155.26</v>
      </c>
      <c r="M576" s="2">
        <f>Table1[[#This Row],[UnitPrice]]*Table1[[#This Row],[Quantity]]</f>
        <v>481.86</v>
      </c>
      <c r="N576" s="2">
        <f>Table1[[#This Row],[CostPrice]]*Table1[[#This Row],[Quantity]]</f>
        <v>310.52</v>
      </c>
      <c r="O576" s="2">
        <v>142.43</v>
      </c>
      <c r="P576" s="4">
        <v>0.06</v>
      </c>
      <c r="Q576" t="s">
        <v>23</v>
      </c>
      <c r="R576" s="4">
        <f t="shared" si="8"/>
        <v>0.29558377952102272</v>
      </c>
    </row>
    <row r="577" spans="1:18" x14ac:dyDescent="0.25">
      <c r="A577">
        <v>1683</v>
      </c>
      <c r="B577" s="1">
        <v>45415</v>
      </c>
      <c r="C577" t="s">
        <v>156</v>
      </c>
      <c r="D577" t="s">
        <v>32</v>
      </c>
      <c r="E577" t="s">
        <v>18</v>
      </c>
      <c r="F577" t="s">
        <v>40</v>
      </c>
      <c r="G577" t="s">
        <v>41</v>
      </c>
      <c r="H577" t="s">
        <v>42</v>
      </c>
      <c r="I577" t="s">
        <v>43</v>
      </c>
      <c r="J577">
        <v>1</v>
      </c>
      <c r="K577" s="3">
        <v>922.53</v>
      </c>
      <c r="L577" s="2">
        <v>510.89</v>
      </c>
      <c r="M577" s="2">
        <f>Table1[[#This Row],[UnitPrice]]*Table1[[#This Row],[Quantity]]</f>
        <v>922.53</v>
      </c>
      <c r="N577" s="2">
        <f>Table1[[#This Row],[CostPrice]]*Table1[[#This Row],[Quantity]]</f>
        <v>510.89</v>
      </c>
      <c r="O577" s="2">
        <v>144.11000000000001</v>
      </c>
      <c r="P577" s="4">
        <v>0.28999999999999998</v>
      </c>
      <c r="Q577" t="s">
        <v>85</v>
      </c>
      <c r="R577" s="4">
        <f t="shared" si="8"/>
        <v>0.15621172211201806</v>
      </c>
    </row>
    <row r="578" spans="1:18" x14ac:dyDescent="0.25">
      <c r="A578">
        <v>1777</v>
      </c>
      <c r="B578" s="1">
        <v>45415</v>
      </c>
      <c r="C578" t="s">
        <v>224</v>
      </c>
      <c r="D578" t="s">
        <v>17</v>
      </c>
      <c r="E578" t="s">
        <v>33</v>
      </c>
      <c r="F578" t="s">
        <v>19</v>
      </c>
      <c r="G578" t="s">
        <v>41</v>
      </c>
      <c r="H578" t="s">
        <v>46</v>
      </c>
      <c r="I578" t="s">
        <v>102</v>
      </c>
      <c r="J578">
        <v>3</v>
      </c>
      <c r="K578" s="3">
        <v>293.20999999999998</v>
      </c>
      <c r="L578" s="2">
        <v>244.69</v>
      </c>
      <c r="M578" s="2">
        <f>Table1[[#This Row],[UnitPrice]]*Table1[[#This Row],[Quantity]]</f>
        <v>879.62999999999988</v>
      </c>
      <c r="N578" s="2">
        <f>Table1[[#This Row],[CostPrice]]*Table1[[#This Row],[Quantity]]</f>
        <v>734.06999999999994</v>
      </c>
      <c r="O578" s="2">
        <v>127.97</v>
      </c>
      <c r="P578" s="4">
        <v>0.02</v>
      </c>
      <c r="Q578" t="s">
        <v>23</v>
      </c>
      <c r="R578" s="4">
        <f t="shared" ref="R578:R641" si="9">O578/M578</f>
        <v>0.14548162295510614</v>
      </c>
    </row>
    <row r="579" spans="1:18" x14ac:dyDescent="0.25">
      <c r="A579">
        <v>1395</v>
      </c>
      <c r="B579" s="1">
        <v>45446</v>
      </c>
      <c r="C579" t="s">
        <v>108</v>
      </c>
      <c r="D579" t="s">
        <v>32</v>
      </c>
      <c r="E579" t="s">
        <v>18</v>
      </c>
      <c r="F579" t="s">
        <v>27</v>
      </c>
      <c r="G579" t="s">
        <v>41</v>
      </c>
      <c r="H579" t="s">
        <v>42</v>
      </c>
      <c r="I579" t="s">
        <v>68</v>
      </c>
      <c r="J579">
        <v>2</v>
      </c>
      <c r="K579" s="3">
        <v>844.33</v>
      </c>
      <c r="L579" s="2">
        <v>703.39</v>
      </c>
      <c r="M579" s="2">
        <f>Table1[[#This Row],[UnitPrice]]*Table1[[#This Row],[Quantity]]</f>
        <v>1688.66</v>
      </c>
      <c r="N579" s="2">
        <f>Table1[[#This Row],[CostPrice]]*Table1[[#This Row],[Quantity]]</f>
        <v>1406.78</v>
      </c>
      <c r="O579" s="2">
        <v>248.11</v>
      </c>
      <c r="P579" s="4">
        <v>0.02</v>
      </c>
      <c r="Q579" t="s">
        <v>75</v>
      </c>
      <c r="R579" s="4">
        <f t="shared" si="9"/>
        <v>0.14692714933734441</v>
      </c>
    </row>
    <row r="580" spans="1:18" x14ac:dyDescent="0.25">
      <c r="A580">
        <v>1478</v>
      </c>
      <c r="B580" s="1">
        <v>45476</v>
      </c>
      <c r="C580" t="s">
        <v>192</v>
      </c>
      <c r="D580" t="s">
        <v>32</v>
      </c>
      <c r="E580" t="s">
        <v>18</v>
      </c>
      <c r="F580" t="s">
        <v>19</v>
      </c>
      <c r="G580" t="s">
        <v>20</v>
      </c>
      <c r="H580" t="s">
        <v>113</v>
      </c>
      <c r="I580" t="s">
        <v>161</v>
      </c>
      <c r="J580">
        <v>5</v>
      </c>
      <c r="K580" s="3">
        <v>728.34</v>
      </c>
      <c r="L580" s="2">
        <v>507.87</v>
      </c>
      <c r="M580" s="2">
        <f>Table1[[#This Row],[UnitPrice]]*Table1[[#This Row],[Quantity]]</f>
        <v>3641.7000000000003</v>
      </c>
      <c r="N580" s="2">
        <f>Table1[[#This Row],[CostPrice]]*Table1[[#This Row],[Quantity]]</f>
        <v>2539.35</v>
      </c>
      <c r="O580" s="2">
        <v>1029.52</v>
      </c>
      <c r="P580" s="4">
        <v>0.02</v>
      </c>
      <c r="Q580" t="s">
        <v>55</v>
      </c>
      <c r="R580" s="4">
        <f t="shared" si="9"/>
        <v>0.28270313315209927</v>
      </c>
    </row>
    <row r="581" spans="1:18" x14ac:dyDescent="0.25">
      <c r="A581">
        <v>1626</v>
      </c>
      <c r="B581" s="1">
        <v>45507</v>
      </c>
      <c r="C581" t="s">
        <v>253</v>
      </c>
      <c r="D581" t="s">
        <v>17</v>
      </c>
      <c r="E581" t="s">
        <v>33</v>
      </c>
      <c r="F581" t="s">
        <v>40</v>
      </c>
      <c r="G581" t="s">
        <v>35</v>
      </c>
      <c r="H581" t="s">
        <v>70</v>
      </c>
      <c r="I581" t="s">
        <v>84</v>
      </c>
      <c r="J581">
        <v>6</v>
      </c>
      <c r="K581" s="3">
        <v>128.19</v>
      </c>
      <c r="L581" s="2">
        <v>98.04</v>
      </c>
      <c r="M581" s="2">
        <f>Table1[[#This Row],[UnitPrice]]*Table1[[#This Row],[Quantity]]</f>
        <v>769.14</v>
      </c>
      <c r="N581" s="2">
        <f>Table1[[#This Row],[CostPrice]]*Table1[[#This Row],[Quantity]]</f>
        <v>588.24</v>
      </c>
      <c r="O581" s="2">
        <v>-34.46</v>
      </c>
      <c r="P581" s="4">
        <v>0.28000000000000003</v>
      </c>
      <c r="Q581" t="s">
        <v>55</v>
      </c>
      <c r="R581" s="4">
        <f t="shared" si="9"/>
        <v>-4.4803286787840964E-2</v>
      </c>
    </row>
    <row r="582" spans="1:18" x14ac:dyDescent="0.25">
      <c r="A582">
        <v>1665</v>
      </c>
      <c r="B582" s="1">
        <v>45507</v>
      </c>
      <c r="C582" t="s">
        <v>180</v>
      </c>
      <c r="D582" t="s">
        <v>25</v>
      </c>
      <c r="E582" t="s">
        <v>26</v>
      </c>
      <c r="F582" t="s">
        <v>34</v>
      </c>
      <c r="G582" t="s">
        <v>35</v>
      </c>
      <c r="H582" t="s">
        <v>36</v>
      </c>
      <c r="I582" t="s">
        <v>100</v>
      </c>
      <c r="J582">
        <v>8</v>
      </c>
      <c r="K582" s="3">
        <v>696.31</v>
      </c>
      <c r="L582" s="2">
        <v>587.46</v>
      </c>
      <c r="M582" s="2">
        <f>Table1[[#This Row],[UnitPrice]]*Table1[[#This Row],[Quantity]]</f>
        <v>5570.48</v>
      </c>
      <c r="N582" s="2">
        <f>Table1[[#This Row],[CostPrice]]*Table1[[#This Row],[Quantity]]</f>
        <v>4699.68</v>
      </c>
      <c r="O582" s="2">
        <v>-131.88999999999999</v>
      </c>
      <c r="P582" s="4">
        <v>0.18</v>
      </c>
      <c r="Q582" t="s">
        <v>85</v>
      </c>
      <c r="R582" s="4">
        <f t="shared" si="9"/>
        <v>-2.367659519466904E-2</v>
      </c>
    </row>
    <row r="583" spans="1:18" x14ac:dyDescent="0.25">
      <c r="A583">
        <v>1999</v>
      </c>
      <c r="B583" s="1">
        <v>45507</v>
      </c>
      <c r="C583" t="s">
        <v>280</v>
      </c>
      <c r="D583" t="s">
        <v>25</v>
      </c>
      <c r="E583" t="s">
        <v>18</v>
      </c>
      <c r="F583" t="s">
        <v>34</v>
      </c>
      <c r="G583" t="s">
        <v>35</v>
      </c>
      <c r="H583" t="s">
        <v>36</v>
      </c>
      <c r="I583" t="s">
        <v>87</v>
      </c>
      <c r="J583">
        <v>10</v>
      </c>
      <c r="K583" s="3">
        <v>264.67</v>
      </c>
      <c r="L583" s="2">
        <v>160.41999999999999</v>
      </c>
      <c r="M583" s="2">
        <f>Table1[[#This Row],[UnitPrice]]*Table1[[#This Row],[Quantity]]</f>
        <v>2646.7000000000003</v>
      </c>
      <c r="N583" s="2">
        <f>Table1[[#This Row],[CostPrice]]*Table1[[#This Row],[Quantity]]</f>
        <v>1604.1999999999998</v>
      </c>
      <c r="O583" s="2">
        <v>645.5</v>
      </c>
      <c r="P583" s="4">
        <v>0.15</v>
      </c>
      <c r="Q583" t="s">
        <v>23</v>
      </c>
      <c r="R583" s="4">
        <f t="shared" si="9"/>
        <v>0.24388861601239276</v>
      </c>
    </row>
    <row r="584" spans="1:18" x14ac:dyDescent="0.25">
      <c r="A584">
        <v>1420</v>
      </c>
      <c r="B584" s="1">
        <v>45538</v>
      </c>
      <c r="C584" t="s">
        <v>134</v>
      </c>
      <c r="D584" t="s">
        <v>25</v>
      </c>
      <c r="E584" t="s">
        <v>18</v>
      </c>
      <c r="F584" t="s">
        <v>40</v>
      </c>
      <c r="G584" t="s">
        <v>41</v>
      </c>
      <c r="H584" t="s">
        <v>63</v>
      </c>
      <c r="I584" t="s">
        <v>141</v>
      </c>
      <c r="J584">
        <v>5</v>
      </c>
      <c r="K584" s="3">
        <v>173.41</v>
      </c>
      <c r="L584" s="2">
        <v>107.93</v>
      </c>
      <c r="M584" s="2">
        <f>Table1[[#This Row],[UnitPrice]]*Table1[[#This Row],[Quantity]]</f>
        <v>867.05</v>
      </c>
      <c r="N584" s="2">
        <f>Table1[[#This Row],[CostPrice]]*Table1[[#This Row],[Quantity]]</f>
        <v>539.65000000000009</v>
      </c>
      <c r="O584" s="2">
        <v>110.64</v>
      </c>
      <c r="P584" s="4">
        <v>0.25</v>
      </c>
      <c r="Q584" t="s">
        <v>55</v>
      </c>
      <c r="R584" s="4">
        <f t="shared" si="9"/>
        <v>0.12760509774522807</v>
      </c>
    </row>
    <row r="585" spans="1:18" x14ac:dyDescent="0.25">
      <c r="A585">
        <v>1716</v>
      </c>
      <c r="B585" s="1">
        <v>45538</v>
      </c>
      <c r="C585" t="s">
        <v>291</v>
      </c>
      <c r="D585" t="s">
        <v>32</v>
      </c>
      <c r="E585" t="s">
        <v>18</v>
      </c>
      <c r="F585" t="s">
        <v>40</v>
      </c>
      <c r="G585" t="s">
        <v>41</v>
      </c>
      <c r="H585" t="s">
        <v>63</v>
      </c>
      <c r="I585" t="s">
        <v>64</v>
      </c>
      <c r="J585">
        <v>7</v>
      </c>
      <c r="K585" s="3">
        <v>588.15</v>
      </c>
      <c r="L585" s="2">
        <v>445.16</v>
      </c>
      <c r="M585" s="2">
        <f>Table1[[#This Row],[UnitPrice]]*Table1[[#This Row],[Quantity]]</f>
        <v>4117.05</v>
      </c>
      <c r="N585" s="2">
        <f>Table1[[#This Row],[CostPrice]]*Table1[[#This Row],[Quantity]]</f>
        <v>3116.1200000000003</v>
      </c>
      <c r="O585" s="2">
        <v>54.01</v>
      </c>
      <c r="P585" s="4">
        <v>0.23</v>
      </c>
      <c r="Q585" t="s">
        <v>44</v>
      </c>
      <c r="R585" s="4">
        <f t="shared" si="9"/>
        <v>1.3118616485104624E-2</v>
      </c>
    </row>
    <row r="586" spans="1:18" x14ac:dyDescent="0.25">
      <c r="A586">
        <v>1548</v>
      </c>
      <c r="B586" s="1">
        <v>45568</v>
      </c>
      <c r="C586" t="s">
        <v>229</v>
      </c>
      <c r="D586" t="s">
        <v>25</v>
      </c>
      <c r="E586" t="s">
        <v>53</v>
      </c>
      <c r="F586" t="s">
        <v>34</v>
      </c>
      <c r="G586" t="s">
        <v>35</v>
      </c>
      <c r="H586" t="s">
        <v>36</v>
      </c>
      <c r="I586" t="s">
        <v>37</v>
      </c>
      <c r="J586">
        <v>2</v>
      </c>
      <c r="K586" s="3">
        <v>522.13</v>
      </c>
      <c r="L586" s="2">
        <v>351.67</v>
      </c>
      <c r="M586" s="2">
        <f>Table1[[#This Row],[UnitPrice]]*Table1[[#This Row],[Quantity]]</f>
        <v>1044.26</v>
      </c>
      <c r="N586" s="2">
        <f>Table1[[#This Row],[CostPrice]]*Table1[[#This Row],[Quantity]]</f>
        <v>703.34</v>
      </c>
      <c r="O586" s="2">
        <v>226.05</v>
      </c>
      <c r="P586" s="4">
        <v>0.11</v>
      </c>
      <c r="Q586" t="s">
        <v>30</v>
      </c>
      <c r="R586" s="4">
        <f t="shared" si="9"/>
        <v>0.21646907858196235</v>
      </c>
    </row>
    <row r="587" spans="1:18" x14ac:dyDescent="0.25">
      <c r="A587">
        <v>1957</v>
      </c>
      <c r="B587" s="1">
        <v>45568</v>
      </c>
      <c r="C587" t="s">
        <v>246</v>
      </c>
      <c r="D587" t="s">
        <v>17</v>
      </c>
      <c r="E587" t="s">
        <v>53</v>
      </c>
      <c r="F587" t="s">
        <v>19</v>
      </c>
      <c r="G587" t="s">
        <v>41</v>
      </c>
      <c r="H587" t="s">
        <v>63</v>
      </c>
      <c r="I587" t="s">
        <v>117</v>
      </c>
      <c r="J587">
        <v>7</v>
      </c>
      <c r="K587" s="3">
        <v>14.21</v>
      </c>
      <c r="L587" s="2">
        <v>7.69</v>
      </c>
      <c r="M587" s="2">
        <f>Table1[[#This Row],[UnitPrice]]*Table1[[#This Row],[Quantity]]</f>
        <v>99.47</v>
      </c>
      <c r="N587" s="2">
        <f>Table1[[#This Row],[CostPrice]]*Table1[[#This Row],[Quantity]]</f>
        <v>53.830000000000005</v>
      </c>
      <c r="O587" s="2">
        <v>15.8</v>
      </c>
      <c r="P587" s="4">
        <v>0.3</v>
      </c>
      <c r="Q587" t="s">
        <v>30</v>
      </c>
      <c r="R587" s="4">
        <f t="shared" si="9"/>
        <v>0.15884186186789989</v>
      </c>
    </row>
    <row r="588" spans="1:18" x14ac:dyDescent="0.25">
      <c r="A588">
        <v>1513</v>
      </c>
      <c r="B588" s="1">
        <v>45599</v>
      </c>
      <c r="C588" t="s">
        <v>96</v>
      </c>
      <c r="D588" t="s">
        <v>32</v>
      </c>
      <c r="E588" t="s">
        <v>33</v>
      </c>
      <c r="F588" t="s">
        <v>27</v>
      </c>
      <c r="G588" t="s">
        <v>35</v>
      </c>
      <c r="H588" t="s">
        <v>36</v>
      </c>
      <c r="I588" t="s">
        <v>87</v>
      </c>
      <c r="J588">
        <v>9</v>
      </c>
      <c r="K588" s="3">
        <v>754.31</v>
      </c>
      <c r="L588" s="2">
        <v>560.16</v>
      </c>
      <c r="M588" s="2">
        <f>Table1[[#This Row],[UnitPrice]]*Table1[[#This Row],[Quantity]]</f>
        <v>6788.7899999999991</v>
      </c>
      <c r="N588" s="2">
        <f>Table1[[#This Row],[CostPrice]]*Table1[[#This Row],[Quantity]]</f>
        <v>5041.4399999999996</v>
      </c>
      <c r="O588" s="2">
        <v>932.7</v>
      </c>
      <c r="P588" s="4">
        <v>0.12</v>
      </c>
      <c r="Q588" t="s">
        <v>23</v>
      </c>
      <c r="R588" s="4">
        <f t="shared" si="9"/>
        <v>0.13738825328224916</v>
      </c>
    </row>
    <row r="589" spans="1:18" x14ac:dyDescent="0.25">
      <c r="A589">
        <v>1956</v>
      </c>
      <c r="B589" s="1">
        <v>45599</v>
      </c>
      <c r="C589" t="s">
        <v>60</v>
      </c>
      <c r="D589" t="s">
        <v>32</v>
      </c>
      <c r="E589" t="s">
        <v>26</v>
      </c>
      <c r="F589" t="s">
        <v>34</v>
      </c>
      <c r="G589" t="s">
        <v>20</v>
      </c>
      <c r="H589" t="s">
        <v>113</v>
      </c>
      <c r="I589" t="s">
        <v>161</v>
      </c>
      <c r="J589">
        <v>2</v>
      </c>
      <c r="K589" s="3">
        <v>170.37</v>
      </c>
      <c r="L589" s="2">
        <v>111.28</v>
      </c>
      <c r="M589" s="2">
        <f>Table1[[#This Row],[UnitPrice]]*Table1[[#This Row],[Quantity]]</f>
        <v>340.74</v>
      </c>
      <c r="N589" s="2">
        <f>Table1[[#This Row],[CostPrice]]*Table1[[#This Row],[Quantity]]</f>
        <v>222.56</v>
      </c>
      <c r="O589" s="2">
        <v>19.37</v>
      </c>
      <c r="P589" s="4">
        <v>0.28999999999999998</v>
      </c>
      <c r="Q589" t="s">
        <v>51</v>
      </c>
      <c r="R589" s="4">
        <f t="shared" si="9"/>
        <v>5.6846862710571114E-2</v>
      </c>
    </row>
    <row r="590" spans="1:18" x14ac:dyDescent="0.25">
      <c r="A590">
        <v>1965</v>
      </c>
      <c r="B590" s="1">
        <v>45599</v>
      </c>
      <c r="C590" t="s">
        <v>136</v>
      </c>
      <c r="D590" t="s">
        <v>32</v>
      </c>
      <c r="E590" t="s">
        <v>18</v>
      </c>
      <c r="F590" t="s">
        <v>34</v>
      </c>
      <c r="G590" t="s">
        <v>20</v>
      </c>
      <c r="H590" t="s">
        <v>113</v>
      </c>
      <c r="I590" t="s">
        <v>153</v>
      </c>
      <c r="J590">
        <v>7</v>
      </c>
      <c r="K590" s="3">
        <v>775.05</v>
      </c>
      <c r="L590" s="2">
        <v>579.11</v>
      </c>
      <c r="M590" s="2">
        <f>Table1[[#This Row],[UnitPrice]]*Table1[[#This Row],[Quantity]]</f>
        <v>5425.3499999999995</v>
      </c>
      <c r="N590" s="2">
        <f>Table1[[#This Row],[CostPrice]]*Table1[[#This Row],[Quantity]]</f>
        <v>4053.77</v>
      </c>
      <c r="O590" s="2">
        <v>774.79</v>
      </c>
      <c r="P590" s="4">
        <v>0.11</v>
      </c>
      <c r="Q590" t="s">
        <v>38</v>
      </c>
      <c r="R590" s="4">
        <f t="shared" si="9"/>
        <v>0.14280921968167953</v>
      </c>
    </row>
    <row r="591" spans="1:18" x14ac:dyDescent="0.25">
      <c r="A591">
        <v>1307</v>
      </c>
      <c r="B591" s="1">
        <v>45629</v>
      </c>
      <c r="C591" t="s">
        <v>60</v>
      </c>
      <c r="D591" t="s">
        <v>25</v>
      </c>
      <c r="E591" t="s">
        <v>33</v>
      </c>
      <c r="F591" t="s">
        <v>34</v>
      </c>
      <c r="G591" t="s">
        <v>20</v>
      </c>
      <c r="H591" t="s">
        <v>113</v>
      </c>
      <c r="I591" t="s">
        <v>161</v>
      </c>
      <c r="J591">
        <v>3</v>
      </c>
      <c r="K591" s="3">
        <v>332.02</v>
      </c>
      <c r="L591" s="2">
        <v>269.95999999999998</v>
      </c>
      <c r="M591" s="2">
        <f>Table1[[#This Row],[UnitPrice]]*Table1[[#This Row],[Quantity]]</f>
        <v>996.06</v>
      </c>
      <c r="N591" s="2">
        <f>Table1[[#This Row],[CostPrice]]*Table1[[#This Row],[Quantity]]</f>
        <v>809.87999999999988</v>
      </c>
      <c r="O591" s="2">
        <v>-102.68</v>
      </c>
      <c r="P591" s="4">
        <v>0.28999999999999998</v>
      </c>
      <c r="Q591" t="s">
        <v>30</v>
      </c>
      <c r="R591" s="4">
        <f t="shared" si="9"/>
        <v>-0.10308615946830514</v>
      </c>
    </row>
    <row r="592" spans="1:18" x14ac:dyDescent="0.25">
      <c r="A592">
        <v>1461</v>
      </c>
      <c r="B592" s="1">
        <v>45629</v>
      </c>
      <c r="C592" t="s">
        <v>205</v>
      </c>
      <c r="D592" t="s">
        <v>17</v>
      </c>
      <c r="E592" t="s">
        <v>53</v>
      </c>
      <c r="F592" t="s">
        <v>40</v>
      </c>
      <c r="G592" t="s">
        <v>35</v>
      </c>
      <c r="H592" t="s">
        <v>49</v>
      </c>
      <c r="I592" t="s">
        <v>66</v>
      </c>
      <c r="J592">
        <v>9</v>
      </c>
      <c r="K592" s="3">
        <v>83.15</v>
      </c>
      <c r="L592" s="2">
        <v>68.430000000000007</v>
      </c>
      <c r="M592" s="2">
        <f>Table1[[#This Row],[UnitPrice]]*Table1[[#This Row],[Quantity]]</f>
        <v>748.35</v>
      </c>
      <c r="N592" s="2">
        <f>Table1[[#This Row],[CostPrice]]*Table1[[#This Row],[Quantity]]</f>
        <v>615.87000000000012</v>
      </c>
      <c r="O592" s="2">
        <v>-39.64</v>
      </c>
      <c r="P592" s="4">
        <v>0.23</v>
      </c>
      <c r="Q592" t="s">
        <v>125</v>
      </c>
      <c r="R592" s="4">
        <f t="shared" si="9"/>
        <v>-5.296986704082314E-2</v>
      </c>
    </row>
    <row r="593" spans="1:18" x14ac:dyDescent="0.25">
      <c r="A593">
        <v>1771</v>
      </c>
      <c r="B593" s="1">
        <v>45629</v>
      </c>
      <c r="C593" t="s">
        <v>232</v>
      </c>
      <c r="D593" t="s">
        <v>17</v>
      </c>
      <c r="E593" t="s">
        <v>53</v>
      </c>
      <c r="F593" t="s">
        <v>34</v>
      </c>
      <c r="G593" t="s">
        <v>35</v>
      </c>
      <c r="H593" t="s">
        <v>36</v>
      </c>
      <c r="I593" t="s">
        <v>37</v>
      </c>
      <c r="J593">
        <v>6</v>
      </c>
      <c r="K593" s="3">
        <v>284.14999999999998</v>
      </c>
      <c r="L593" s="2">
        <v>176.99</v>
      </c>
      <c r="M593" s="2">
        <f>Table1[[#This Row],[UnitPrice]]*Table1[[#This Row],[Quantity]]</f>
        <v>1704.8999999999999</v>
      </c>
      <c r="N593" s="2">
        <f>Table1[[#This Row],[CostPrice]]*Table1[[#This Row],[Quantity]]</f>
        <v>1061.94</v>
      </c>
      <c r="O593" s="2">
        <v>421.32</v>
      </c>
      <c r="P593" s="4">
        <v>0.13</v>
      </c>
      <c r="Q593" t="s">
        <v>85</v>
      </c>
      <c r="R593" s="4">
        <f t="shared" si="9"/>
        <v>0.24712299841632943</v>
      </c>
    </row>
    <row r="594" spans="1:18" x14ac:dyDescent="0.25">
      <c r="A594">
        <v>1930</v>
      </c>
      <c r="B594" s="1">
        <v>45629</v>
      </c>
      <c r="C594" t="s">
        <v>255</v>
      </c>
      <c r="D594" t="s">
        <v>32</v>
      </c>
      <c r="E594" t="s">
        <v>18</v>
      </c>
      <c r="F594" t="s">
        <v>19</v>
      </c>
      <c r="G594" t="s">
        <v>20</v>
      </c>
      <c r="H594" t="s">
        <v>21</v>
      </c>
      <c r="I594" t="s">
        <v>132</v>
      </c>
      <c r="J594">
        <v>7</v>
      </c>
      <c r="K594" s="3">
        <v>521.54</v>
      </c>
      <c r="L594" s="2">
        <v>365.76</v>
      </c>
      <c r="M594" s="2">
        <f>Table1[[#This Row],[UnitPrice]]*Table1[[#This Row],[Quantity]]</f>
        <v>3650.7799999999997</v>
      </c>
      <c r="N594" s="2">
        <f>Table1[[#This Row],[CostPrice]]*Table1[[#This Row],[Quantity]]</f>
        <v>2560.3199999999997</v>
      </c>
      <c r="O594" s="2">
        <v>433.32</v>
      </c>
      <c r="P594" s="4">
        <v>0.18</v>
      </c>
      <c r="Q594" t="s">
        <v>44</v>
      </c>
      <c r="R594" s="4">
        <f t="shared" si="9"/>
        <v>0.11869244380652902</v>
      </c>
    </row>
    <row r="595" spans="1:18" x14ac:dyDescent="0.25">
      <c r="A595">
        <v>1435</v>
      </c>
      <c r="B595" s="1">
        <v>45364</v>
      </c>
      <c r="C595" t="s">
        <v>170</v>
      </c>
      <c r="D595" t="s">
        <v>25</v>
      </c>
      <c r="E595" t="s">
        <v>53</v>
      </c>
      <c r="F595" t="s">
        <v>40</v>
      </c>
      <c r="G595" t="s">
        <v>35</v>
      </c>
      <c r="H595" t="s">
        <v>70</v>
      </c>
      <c r="I595" t="s">
        <v>84</v>
      </c>
      <c r="J595">
        <v>10</v>
      </c>
      <c r="K595" s="3">
        <v>595.84</v>
      </c>
      <c r="L595" s="2">
        <v>407.45</v>
      </c>
      <c r="M595" s="2">
        <f>Table1[[#This Row],[UnitPrice]]*Table1[[#This Row],[Quantity]]</f>
        <v>5958.4000000000005</v>
      </c>
      <c r="N595" s="2">
        <f>Table1[[#This Row],[CostPrice]]*Table1[[#This Row],[Quantity]]</f>
        <v>4074.5</v>
      </c>
      <c r="O595" s="2">
        <v>334.72</v>
      </c>
      <c r="P595" s="4">
        <v>0.26</v>
      </c>
      <c r="Q595" t="s">
        <v>51</v>
      </c>
      <c r="R595" s="4">
        <f t="shared" si="9"/>
        <v>5.617615467239527E-2</v>
      </c>
    </row>
    <row r="596" spans="1:18" x14ac:dyDescent="0.25">
      <c r="A596">
        <v>1229</v>
      </c>
      <c r="B596" s="1">
        <v>45365</v>
      </c>
      <c r="C596" t="s">
        <v>69</v>
      </c>
      <c r="D596" t="s">
        <v>25</v>
      </c>
      <c r="E596" t="s">
        <v>18</v>
      </c>
      <c r="F596" t="s">
        <v>19</v>
      </c>
      <c r="G596" t="s">
        <v>35</v>
      </c>
      <c r="H596" t="s">
        <v>36</v>
      </c>
      <c r="I596" t="s">
        <v>100</v>
      </c>
      <c r="J596">
        <v>6</v>
      </c>
      <c r="K596" s="3">
        <v>254.14</v>
      </c>
      <c r="L596" s="2">
        <v>160.15</v>
      </c>
      <c r="M596" s="2">
        <f>Table1[[#This Row],[UnitPrice]]*Table1[[#This Row],[Quantity]]</f>
        <v>1524.84</v>
      </c>
      <c r="N596" s="2">
        <f>Table1[[#This Row],[CostPrice]]*Table1[[#This Row],[Quantity]]</f>
        <v>960.90000000000009</v>
      </c>
      <c r="O596" s="2">
        <v>152.22999999999999</v>
      </c>
      <c r="P596" s="4">
        <v>0.27</v>
      </c>
      <c r="Q596" t="s">
        <v>92</v>
      </c>
      <c r="R596" s="4">
        <f t="shared" si="9"/>
        <v>9.9833425146244853E-2</v>
      </c>
    </row>
    <row r="597" spans="1:18" x14ac:dyDescent="0.25">
      <c r="A597">
        <v>1560</v>
      </c>
      <c r="B597" s="1">
        <v>45365</v>
      </c>
      <c r="C597" t="s">
        <v>134</v>
      </c>
      <c r="D597" t="s">
        <v>32</v>
      </c>
      <c r="E597" t="s">
        <v>18</v>
      </c>
      <c r="F597" t="s">
        <v>34</v>
      </c>
      <c r="G597" t="s">
        <v>41</v>
      </c>
      <c r="H597" t="s">
        <v>42</v>
      </c>
      <c r="I597" t="s">
        <v>77</v>
      </c>
      <c r="J597">
        <v>4</v>
      </c>
      <c r="K597" s="3">
        <v>649.84</v>
      </c>
      <c r="L597" s="2">
        <v>459.69</v>
      </c>
      <c r="M597" s="2">
        <f>Table1[[#This Row],[UnitPrice]]*Table1[[#This Row],[Quantity]]</f>
        <v>2599.36</v>
      </c>
      <c r="N597" s="2">
        <f>Table1[[#This Row],[CostPrice]]*Table1[[#This Row],[Quantity]]</f>
        <v>1838.76</v>
      </c>
      <c r="O597" s="2">
        <v>58.77</v>
      </c>
      <c r="P597" s="4">
        <v>0.27</v>
      </c>
      <c r="Q597" t="s">
        <v>44</v>
      </c>
      <c r="R597" s="4">
        <f t="shared" si="9"/>
        <v>2.2609411547457835E-2</v>
      </c>
    </row>
    <row r="598" spans="1:18" x14ac:dyDescent="0.25">
      <c r="A598">
        <v>1106</v>
      </c>
      <c r="B598" s="1">
        <v>45366</v>
      </c>
      <c r="C598" t="s">
        <v>165</v>
      </c>
      <c r="D598" t="s">
        <v>17</v>
      </c>
      <c r="E598" t="s">
        <v>53</v>
      </c>
      <c r="F598" t="s">
        <v>40</v>
      </c>
      <c r="G598" t="s">
        <v>20</v>
      </c>
      <c r="H598" t="s">
        <v>28</v>
      </c>
      <c r="I598" t="s">
        <v>90</v>
      </c>
      <c r="J598">
        <v>6</v>
      </c>
      <c r="K598" s="3">
        <v>176.01</v>
      </c>
      <c r="L598" s="2">
        <v>146.38</v>
      </c>
      <c r="M598" s="2">
        <f>Table1[[#This Row],[UnitPrice]]*Table1[[#This Row],[Quantity]]</f>
        <v>1056.06</v>
      </c>
      <c r="N598" s="2">
        <f>Table1[[#This Row],[CostPrice]]*Table1[[#This Row],[Quantity]]</f>
        <v>878.28</v>
      </c>
      <c r="O598" s="2">
        <v>29.93</v>
      </c>
      <c r="P598" s="4">
        <v>0.14000000000000001</v>
      </c>
      <c r="Q598" t="s">
        <v>85</v>
      </c>
      <c r="R598" s="4">
        <f t="shared" si="9"/>
        <v>2.8341192735261256E-2</v>
      </c>
    </row>
    <row r="599" spans="1:18" x14ac:dyDescent="0.25">
      <c r="A599">
        <v>1359</v>
      </c>
      <c r="B599" s="1">
        <v>45366</v>
      </c>
      <c r="C599" t="s">
        <v>31</v>
      </c>
      <c r="D599" t="s">
        <v>32</v>
      </c>
      <c r="E599" t="s">
        <v>53</v>
      </c>
      <c r="F599" t="s">
        <v>40</v>
      </c>
      <c r="G599" t="s">
        <v>41</v>
      </c>
      <c r="H599" t="s">
        <v>63</v>
      </c>
      <c r="I599" t="s">
        <v>64</v>
      </c>
      <c r="J599">
        <v>10</v>
      </c>
      <c r="K599" s="3">
        <v>102.23</v>
      </c>
      <c r="L599" s="2">
        <v>55.91</v>
      </c>
      <c r="M599" s="2">
        <f>Table1[[#This Row],[UnitPrice]]*Table1[[#This Row],[Quantity]]</f>
        <v>1022.3000000000001</v>
      </c>
      <c r="N599" s="2">
        <f>Table1[[#This Row],[CostPrice]]*Table1[[#This Row],[Quantity]]</f>
        <v>559.09999999999991</v>
      </c>
      <c r="O599" s="2">
        <v>320.08</v>
      </c>
      <c r="P599" s="4">
        <v>0.14000000000000001</v>
      </c>
      <c r="Q599" t="s">
        <v>23</v>
      </c>
      <c r="R599" s="4">
        <f t="shared" si="9"/>
        <v>0.31309791646287777</v>
      </c>
    </row>
    <row r="600" spans="1:18" x14ac:dyDescent="0.25">
      <c r="A600">
        <v>1844</v>
      </c>
      <c r="B600" s="1">
        <v>45366</v>
      </c>
      <c r="C600" t="s">
        <v>62</v>
      </c>
      <c r="D600" t="s">
        <v>32</v>
      </c>
      <c r="E600" t="s">
        <v>26</v>
      </c>
      <c r="F600" t="s">
        <v>34</v>
      </c>
      <c r="G600" t="s">
        <v>20</v>
      </c>
      <c r="H600" t="s">
        <v>113</v>
      </c>
      <c r="I600" t="s">
        <v>153</v>
      </c>
      <c r="J600">
        <v>6</v>
      </c>
      <c r="K600" s="3">
        <v>149.31</v>
      </c>
      <c r="L600" s="2">
        <v>91.09</v>
      </c>
      <c r="M600" s="2">
        <f>Table1[[#This Row],[UnitPrice]]*Table1[[#This Row],[Quantity]]</f>
        <v>895.86</v>
      </c>
      <c r="N600" s="2">
        <f>Table1[[#This Row],[CostPrice]]*Table1[[#This Row],[Quantity]]</f>
        <v>546.54</v>
      </c>
      <c r="O600" s="2">
        <v>349.32</v>
      </c>
      <c r="P600" s="4">
        <v>0</v>
      </c>
      <c r="Q600" t="s">
        <v>51</v>
      </c>
      <c r="R600" s="4">
        <f t="shared" si="9"/>
        <v>0.38992699752193422</v>
      </c>
    </row>
    <row r="601" spans="1:18" x14ac:dyDescent="0.25">
      <c r="A601">
        <v>1831</v>
      </c>
      <c r="B601" s="1">
        <v>45367</v>
      </c>
      <c r="C601" t="s">
        <v>229</v>
      </c>
      <c r="D601" t="s">
        <v>32</v>
      </c>
      <c r="E601" t="s">
        <v>26</v>
      </c>
      <c r="F601" t="s">
        <v>27</v>
      </c>
      <c r="G601" t="s">
        <v>20</v>
      </c>
      <c r="H601" t="s">
        <v>113</v>
      </c>
      <c r="I601" t="s">
        <v>153</v>
      </c>
      <c r="J601">
        <v>3</v>
      </c>
      <c r="K601" s="3">
        <v>939.69</v>
      </c>
      <c r="L601" s="2">
        <v>598.25</v>
      </c>
      <c r="M601" s="2">
        <f>Table1[[#This Row],[UnitPrice]]*Table1[[#This Row],[Quantity]]</f>
        <v>2819.07</v>
      </c>
      <c r="N601" s="2">
        <f>Table1[[#This Row],[CostPrice]]*Table1[[#This Row],[Quantity]]</f>
        <v>1794.75</v>
      </c>
      <c r="O601" s="2">
        <v>404.12</v>
      </c>
      <c r="P601" s="4">
        <v>0.22</v>
      </c>
      <c r="Q601" t="s">
        <v>75</v>
      </c>
      <c r="R601" s="4">
        <f t="shared" si="9"/>
        <v>0.14335224027782212</v>
      </c>
    </row>
    <row r="602" spans="1:18" x14ac:dyDescent="0.25">
      <c r="A602">
        <v>1901</v>
      </c>
      <c r="B602" s="1">
        <v>45367</v>
      </c>
      <c r="C602" t="s">
        <v>290</v>
      </c>
      <c r="D602" t="s">
        <v>17</v>
      </c>
      <c r="E602" t="s">
        <v>26</v>
      </c>
      <c r="F602" t="s">
        <v>34</v>
      </c>
      <c r="G602" t="s">
        <v>35</v>
      </c>
      <c r="H602" t="s">
        <v>36</v>
      </c>
      <c r="I602" t="s">
        <v>100</v>
      </c>
      <c r="J602">
        <v>6</v>
      </c>
      <c r="K602" s="3">
        <v>355.03</v>
      </c>
      <c r="L602" s="2">
        <v>220.15</v>
      </c>
      <c r="M602" s="2">
        <f>Table1[[#This Row],[UnitPrice]]*Table1[[#This Row],[Quantity]]</f>
        <v>2130.1799999999998</v>
      </c>
      <c r="N602" s="2">
        <f>Table1[[#This Row],[CostPrice]]*Table1[[#This Row],[Quantity]]</f>
        <v>1320.9</v>
      </c>
      <c r="O602" s="2">
        <v>212.83</v>
      </c>
      <c r="P602" s="4">
        <v>0.28000000000000003</v>
      </c>
      <c r="Q602" t="s">
        <v>23</v>
      </c>
      <c r="R602" s="4">
        <f t="shared" si="9"/>
        <v>9.9911744547409156E-2</v>
      </c>
    </row>
    <row r="603" spans="1:18" x14ac:dyDescent="0.25">
      <c r="A603">
        <v>1763</v>
      </c>
      <c r="B603" s="1">
        <v>45368</v>
      </c>
      <c r="C603" t="s">
        <v>264</v>
      </c>
      <c r="D603" t="s">
        <v>25</v>
      </c>
      <c r="E603" t="s">
        <v>26</v>
      </c>
      <c r="F603" t="s">
        <v>27</v>
      </c>
      <c r="G603" t="s">
        <v>20</v>
      </c>
      <c r="H603" t="s">
        <v>28</v>
      </c>
      <c r="I603" t="s">
        <v>90</v>
      </c>
      <c r="J603">
        <v>3</v>
      </c>
      <c r="K603" s="3">
        <v>770.6</v>
      </c>
      <c r="L603" s="2">
        <v>452.76</v>
      </c>
      <c r="M603" s="2">
        <f>Table1[[#This Row],[UnitPrice]]*Table1[[#This Row],[Quantity]]</f>
        <v>2311.8000000000002</v>
      </c>
      <c r="N603" s="2">
        <f>Table1[[#This Row],[CostPrice]]*Table1[[#This Row],[Quantity]]</f>
        <v>1358.28</v>
      </c>
      <c r="O603" s="2">
        <v>629.87</v>
      </c>
      <c r="P603" s="4">
        <v>0.14000000000000001</v>
      </c>
      <c r="Q603" t="s">
        <v>85</v>
      </c>
      <c r="R603" s="4">
        <f t="shared" si="9"/>
        <v>0.27245869019811403</v>
      </c>
    </row>
    <row r="604" spans="1:18" x14ac:dyDescent="0.25">
      <c r="A604">
        <v>1337</v>
      </c>
      <c r="B604" s="1">
        <v>45370</v>
      </c>
      <c r="C604" t="s">
        <v>252</v>
      </c>
      <c r="D604" t="s">
        <v>32</v>
      </c>
      <c r="E604" t="s">
        <v>33</v>
      </c>
      <c r="F604" t="s">
        <v>34</v>
      </c>
      <c r="G604" t="s">
        <v>41</v>
      </c>
      <c r="H604" t="s">
        <v>63</v>
      </c>
      <c r="I604" t="s">
        <v>64</v>
      </c>
      <c r="J604">
        <v>2</v>
      </c>
      <c r="K604" s="3">
        <v>757.18</v>
      </c>
      <c r="L604" s="2">
        <v>533.78</v>
      </c>
      <c r="M604" s="2">
        <f>Table1[[#This Row],[UnitPrice]]*Table1[[#This Row],[Quantity]]</f>
        <v>1514.36</v>
      </c>
      <c r="N604" s="2">
        <f>Table1[[#This Row],[CostPrice]]*Table1[[#This Row],[Quantity]]</f>
        <v>1067.56</v>
      </c>
      <c r="O604" s="2">
        <v>128.78</v>
      </c>
      <c r="P604" s="4">
        <v>0.21</v>
      </c>
      <c r="Q604" t="s">
        <v>44</v>
      </c>
      <c r="R604" s="4">
        <f t="shared" si="9"/>
        <v>8.5039224490874032E-2</v>
      </c>
    </row>
    <row r="605" spans="1:18" x14ac:dyDescent="0.25">
      <c r="A605">
        <v>1203</v>
      </c>
      <c r="B605" s="1">
        <v>45372</v>
      </c>
      <c r="C605" t="s">
        <v>86</v>
      </c>
      <c r="D605" t="s">
        <v>32</v>
      </c>
      <c r="E605" t="s">
        <v>53</v>
      </c>
      <c r="F605" t="s">
        <v>34</v>
      </c>
      <c r="G605" t="s">
        <v>35</v>
      </c>
      <c r="H605" t="s">
        <v>49</v>
      </c>
      <c r="I605" t="s">
        <v>66</v>
      </c>
      <c r="J605">
        <v>8</v>
      </c>
      <c r="K605" s="3">
        <v>595.84</v>
      </c>
      <c r="L605" s="2">
        <v>338.7</v>
      </c>
      <c r="M605" s="2">
        <f>Table1[[#This Row],[UnitPrice]]*Table1[[#This Row],[Quantity]]</f>
        <v>4766.72</v>
      </c>
      <c r="N605" s="2">
        <f>Table1[[#This Row],[CostPrice]]*Table1[[#This Row],[Quantity]]</f>
        <v>2709.6</v>
      </c>
      <c r="O605" s="2">
        <v>1914.12</v>
      </c>
      <c r="P605" s="4">
        <v>0.03</v>
      </c>
      <c r="Q605" t="s">
        <v>30</v>
      </c>
      <c r="R605" s="4">
        <f t="shared" si="9"/>
        <v>0.40155914339419974</v>
      </c>
    </row>
    <row r="606" spans="1:18" x14ac:dyDescent="0.25">
      <c r="A606">
        <v>1389</v>
      </c>
      <c r="B606" s="1">
        <v>45372</v>
      </c>
      <c r="C606" t="s">
        <v>247</v>
      </c>
      <c r="D606" t="s">
        <v>17</v>
      </c>
      <c r="E606" t="s">
        <v>18</v>
      </c>
      <c r="F606" t="s">
        <v>40</v>
      </c>
      <c r="G606" t="s">
        <v>35</v>
      </c>
      <c r="H606" t="s">
        <v>70</v>
      </c>
      <c r="I606" t="s">
        <v>98</v>
      </c>
      <c r="J606">
        <v>2</v>
      </c>
      <c r="K606" s="3">
        <v>444.65</v>
      </c>
      <c r="L606" s="2">
        <v>279.25</v>
      </c>
      <c r="M606" s="2">
        <f>Table1[[#This Row],[UnitPrice]]*Table1[[#This Row],[Quantity]]</f>
        <v>889.3</v>
      </c>
      <c r="N606" s="2">
        <f>Table1[[#This Row],[CostPrice]]*Table1[[#This Row],[Quantity]]</f>
        <v>558.5</v>
      </c>
      <c r="O606" s="2">
        <v>259.66000000000003</v>
      </c>
      <c r="P606" s="4">
        <v>0.08</v>
      </c>
      <c r="Q606" t="s">
        <v>30</v>
      </c>
      <c r="R606" s="4">
        <f t="shared" si="9"/>
        <v>0.29198245811312273</v>
      </c>
    </row>
    <row r="607" spans="1:18" x14ac:dyDescent="0.25">
      <c r="A607">
        <v>1591</v>
      </c>
      <c r="B607" s="1">
        <v>45373</v>
      </c>
      <c r="C607" t="s">
        <v>148</v>
      </c>
      <c r="D607" t="s">
        <v>32</v>
      </c>
      <c r="E607" t="s">
        <v>33</v>
      </c>
      <c r="F607" t="s">
        <v>27</v>
      </c>
      <c r="G607" t="s">
        <v>35</v>
      </c>
      <c r="H607" t="s">
        <v>70</v>
      </c>
      <c r="I607" t="s">
        <v>84</v>
      </c>
      <c r="J607">
        <v>8</v>
      </c>
      <c r="K607" s="3">
        <v>460.47</v>
      </c>
      <c r="L607" s="2">
        <v>248.36</v>
      </c>
      <c r="M607" s="2">
        <f>Table1[[#This Row],[UnitPrice]]*Table1[[#This Row],[Quantity]]</f>
        <v>3683.76</v>
      </c>
      <c r="N607" s="2">
        <f>Table1[[#This Row],[CostPrice]]*Table1[[#This Row],[Quantity]]</f>
        <v>1986.88</v>
      </c>
      <c r="O607" s="2">
        <v>886.45</v>
      </c>
      <c r="P607" s="4">
        <v>0.22</v>
      </c>
      <c r="Q607" t="s">
        <v>92</v>
      </c>
      <c r="R607" s="4">
        <f t="shared" si="9"/>
        <v>0.24063728364497144</v>
      </c>
    </row>
    <row r="608" spans="1:18" x14ac:dyDescent="0.25">
      <c r="A608">
        <v>1551</v>
      </c>
      <c r="B608" s="1">
        <v>45375</v>
      </c>
      <c r="C608" t="s">
        <v>247</v>
      </c>
      <c r="D608" t="s">
        <v>17</v>
      </c>
      <c r="E608" t="s">
        <v>33</v>
      </c>
      <c r="F608" t="s">
        <v>34</v>
      </c>
      <c r="G608" t="s">
        <v>20</v>
      </c>
      <c r="H608" t="s">
        <v>28</v>
      </c>
      <c r="I608" t="s">
        <v>61</v>
      </c>
      <c r="J608">
        <v>10</v>
      </c>
      <c r="K608" s="3">
        <v>977.68</v>
      </c>
      <c r="L608" s="2">
        <v>742.55</v>
      </c>
      <c r="M608" s="2">
        <f>Table1[[#This Row],[UnitPrice]]*Table1[[#This Row],[Quantity]]</f>
        <v>9776.7999999999993</v>
      </c>
      <c r="N608" s="2">
        <f>Table1[[#This Row],[CostPrice]]*Table1[[#This Row],[Quantity]]</f>
        <v>7425.5</v>
      </c>
      <c r="O608" s="2">
        <v>-288.44</v>
      </c>
      <c r="P608" s="4">
        <v>0.27</v>
      </c>
      <c r="Q608" t="s">
        <v>92</v>
      </c>
      <c r="R608" s="4">
        <f t="shared" si="9"/>
        <v>-2.9502495704115866E-2</v>
      </c>
    </row>
    <row r="609" spans="1:18" x14ac:dyDescent="0.25">
      <c r="A609">
        <v>1577</v>
      </c>
      <c r="B609" s="1">
        <v>45376</v>
      </c>
      <c r="C609" t="s">
        <v>174</v>
      </c>
      <c r="D609" t="s">
        <v>17</v>
      </c>
      <c r="E609" t="s">
        <v>53</v>
      </c>
      <c r="F609" t="s">
        <v>34</v>
      </c>
      <c r="G609" t="s">
        <v>35</v>
      </c>
      <c r="H609" t="s">
        <v>36</v>
      </c>
      <c r="I609" t="s">
        <v>37</v>
      </c>
      <c r="J609">
        <v>8</v>
      </c>
      <c r="K609" s="3">
        <v>738.26</v>
      </c>
      <c r="L609" s="2">
        <v>608.53</v>
      </c>
      <c r="M609" s="2">
        <f>Table1[[#This Row],[UnitPrice]]*Table1[[#This Row],[Quantity]]</f>
        <v>5906.08</v>
      </c>
      <c r="N609" s="2">
        <f>Table1[[#This Row],[CostPrice]]*Table1[[#This Row],[Quantity]]</f>
        <v>4868.24</v>
      </c>
      <c r="O609" s="2">
        <v>447.23</v>
      </c>
      <c r="P609" s="4">
        <v>0.1</v>
      </c>
      <c r="Q609" t="s">
        <v>75</v>
      </c>
      <c r="R609" s="4">
        <f t="shared" si="9"/>
        <v>7.5723661040825729E-2</v>
      </c>
    </row>
    <row r="610" spans="1:18" x14ac:dyDescent="0.25">
      <c r="A610">
        <v>1982</v>
      </c>
      <c r="B610" s="1">
        <v>45376</v>
      </c>
      <c r="C610" t="s">
        <v>162</v>
      </c>
      <c r="D610" t="s">
        <v>32</v>
      </c>
      <c r="E610" t="s">
        <v>53</v>
      </c>
      <c r="F610" t="s">
        <v>27</v>
      </c>
      <c r="G610" t="s">
        <v>35</v>
      </c>
      <c r="H610" t="s">
        <v>36</v>
      </c>
      <c r="I610" t="s">
        <v>37</v>
      </c>
      <c r="J610">
        <v>6</v>
      </c>
      <c r="K610" s="3">
        <v>602.94000000000005</v>
      </c>
      <c r="L610" s="2">
        <v>403.3</v>
      </c>
      <c r="M610" s="2">
        <f>Table1[[#This Row],[UnitPrice]]*Table1[[#This Row],[Quantity]]</f>
        <v>3617.6400000000003</v>
      </c>
      <c r="N610" s="2">
        <f>Table1[[#This Row],[CostPrice]]*Table1[[#This Row],[Quantity]]</f>
        <v>2419.8000000000002</v>
      </c>
      <c r="O610" s="2">
        <v>763.72</v>
      </c>
      <c r="P610" s="4">
        <v>0.12</v>
      </c>
      <c r="Q610" t="s">
        <v>51</v>
      </c>
      <c r="R610" s="4">
        <f t="shared" si="9"/>
        <v>0.21111000541789673</v>
      </c>
    </row>
    <row r="611" spans="1:18" x14ac:dyDescent="0.25">
      <c r="A611">
        <v>1233</v>
      </c>
      <c r="B611" s="1">
        <v>45377</v>
      </c>
      <c r="C611" t="s">
        <v>123</v>
      </c>
      <c r="D611" t="s">
        <v>25</v>
      </c>
      <c r="E611" t="s">
        <v>26</v>
      </c>
      <c r="F611" t="s">
        <v>27</v>
      </c>
      <c r="G611" t="s">
        <v>41</v>
      </c>
      <c r="H611" t="s">
        <v>63</v>
      </c>
      <c r="I611" t="s">
        <v>117</v>
      </c>
      <c r="J611">
        <v>4</v>
      </c>
      <c r="K611" s="3">
        <v>91.25</v>
      </c>
      <c r="L611" s="2">
        <v>48.83</v>
      </c>
      <c r="M611" s="2">
        <f>Table1[[#This Row],[UnitPrice]]*Table1[[#This Row],[Quantity]]</f>
        <v>365</v>
      </c>
      <c r="N611" s="2">
        <f>Table1[[#This Row],[CostPrice]]*Table1[[#This Row],[Quantity]]</f>
        <v>195.32</v>
      </c>
      <c r="O611" s="2">
        <v>85.73</v>
      </c>
      <c r="P611" s="4">
        <v>0.23</v>
      </c>
      <c r="Q611" t="s">
        <v>125</v>
      </c>
      <c r="R611" s="4">
        <f t="shared" si="9"/>
        <v>0.23487671232876714</v>
      </c>
    </row>
    <row r="612" spans="1:18" x14ac:dyDescent="0.25">
      <c r="A612">
        <v>1525</v>
      </c>
      <c r="B612" s="1">
        <v>45378</v>
      </c>
      <c r="C612" t="s">
        <v>255</v>
      </c>
      <c r="D612" t="s">
        <v>25</v>
      </c>
      <c r="E612" t="s">
        <v>26</v>
      </c>
      <c r="F612" t="s">
        <v>34</v>
      </c>
      <c r="G612" t="s">
        <v>41</v>
      </c>
      <c r="H612" t="s">
        <v>46</v>
      </c>
      <c r="I612" t="s">
        <v>57</v>
      </c>
      <c r="J612">
        <v>3</v>
      </c>
      <c r="K612" s="3">
        <v>376.05</v>
      </c>
      <c r="L612" s="2">
        <v>259.08</v>
      </c>
      <c r="M612" s="2">
        <f>Table1[[#This Row],[UnitPrice]]*Table1[[#This Row],[Quantity]]</f>
        <v>1128.1500000000001</v>
      </c>
      <c r="N612" s="2">
        <f>Table1[[#This Row],[CostPrice]]*Table1[[#This Row],[Quantity]]</f>
        <v>777.24</v>
      </c>
      <c r="O612" s="2">
        <v>294.5</v>
      </c>
      <c r="P612" s="4">
        <v>0.05</v>
      </c>
      <c r="Q612" t="s">
        <v>30</v>
      </c>
      <c r="R612" s="4">
        <f t="shared" si="9"/>
        <v>0.26104684660727739</v>
      </c>
    </row>
    <row r="613" spans="1:18" x14ac:dyDescent="0.25">
      <c r="A613">
        <v>1720</v>
      </c>
      <c r="B613" s="1">
        <v>45378</v>
      </c>
      <c r="C613" t="s">
        <v>212</v>
      </c>
      <c r="D613" t="s">
        <v>17</v>
      </c>
      <c r="E613" t="s">
        <v>33</v>
      </c>
      <c r="F613" t="s">
        <v>19</v>
      </c>
      <c r="G613" t="s">
        <v>20</v>
      </c>
      <c r="H613" t="s">
        <v>28</v>
      </c>
      <c r="I613" t="s">
        <v>90</v>
      </c>
      <c r="J613">
        <v>7</v>
      </c>
      <c r="K613" s="3">
        <v>129.06</v>
      </c>
      <c r="L613" s="2">
        <v>67.430000000000007</v>
      </c>
      <c r="M613" s="2">
        <f>Table1[[#This Row],[UnitPrice]]*Table1[[#This Row],[Quantity]]</f>
        <v>903.42000000000007</v>
      </c>
      <c r="N613" s="2">
        <f>Table1[[#This Row],[CostPrice]]*Table1[[#This Row],[Quantity]]</f>
        <v>472.01000000000005</v>
      </c>
      <c r="O613" s="2">
        <v>422.38</v>
      </c>
      <c r="P613" s="4">
        <v>0.01</v>
      </c>
      <c r="Q613" t="s">
        <v>23</v>
      </c>
      <c r="R613" s="4">
        <f t="shared" si="9"/>
        <v>0.46753448008678128</v>
      </c>
    </row>
    <row r="614" spans="1:18" x14ac:dyDescent="0.25">
      <c r="A614">
        <v>1491</v>
      </c>
      <c r="B614" s="1">
        <v>45379</v>
      </c>
      <c r="C614" t="s">
        <v>138</v>
      </c>
      <c r="D614" t="s">
        <v>25</v>
      </c>
      <c r="E614" t="s">
        <v>33</v>
      </c>
      <c r="F614" t="s">
        <v>34</v>
      </c>
      <c r="G614" t="s">
        <v>20</v>
      </c>
      <c r="H614" t="s">
        <v>113</v>
      </c>
      <c r="I614" t="s">
        <v>161</v>
      </c>
      <c r="J614">
        <v>5</v>
      </c>
      <c r="K614" s="3">
        <v>778.35</v>
      </c>
      <c r="L614" s="2">
        <v>394.29</v>
      </c>
      <c r="M614" s="2">
        <f>Table1[[#This Row],[UnitPrice]]*Table1[[#This Row],[Quantity]]</f>
        <v>3891.75</v>
      </c>
      <c r="N614" s="2">
        <f>Table1[[#This Row],[CostPrice]]*Table1[[#This Row],[Quantity]]</f>
        <v>1971.45</v>
      </c>
      <c r="O614" s="2">
        <v>1336.54</v>
      </c>
      <c r="P614" s="4">
        <v>0.15</v>
      </c>
      <c r="Q614" t="s">
        <v>51</v>
      </c>
      <c r="R614" s="4">
        <f t="shared" si="9"/>
        <v>0.34342904862850904</v>
      </c>
    </row>
    <row r="615" spans="1:18" x14ac:dyDescent="0.25">
      <c r="A615">
        <v>1905</v>
      </c>
      <c r="B615" s="1">
        <v>45381</v>
      </c>
      <c r="C615" t="s">
        <v>138</v>
      </c>
      <c r="D615" t="s">
        <v>32</v>
      </c>
      <c r="E615" t="s">
        <v>18</v>
      </c>
      <c r="F615" t="s">
        <v>19</v>
      </c>
      <c r="G615" t="s">
        <v>41</v>
      </c>
      <c r="H615" t="s">
        <v>46</v>
      </c>
      <c r="I615" t="s">
        <v>57</v>
      </c>
      <c r="J615">
        <v>9</v>
      </c>
      <c r="K615" s="3">
        <v>505.93</v>
      </c>
      <c r="L615" s="2">
        <v>262.52999999999997</v>
      </c>
      <c r="M615" s="2">
        <f>Table1[[#This Row],[UnitPrice]]*Table1[[#This Row],[Quantity]]</f>
        <v>4553.37</v>
      </c>
      <c r="N615" s="2">
        <f>Table1[[#This Row],[CostPrice]]*Table1[[#This Row],[Quantity]]</f>
        <v>2362.7699999999995</v>
      </c>
      <c r="O615" s="2">
        <v>961.19</v>
      </c>
      <c r="P615" s="4">
        <v>0.27</v>
      </c>
      <c r="Q615" t="s">
        <v>125</v>
      </c>
      <c r="R615" s="4">
        <f t="shared" si="9"/>
        <v>0.21109420055914632</v>
      </c>
    </row>
    <row r="616" spans="1:18" x14ac:dyDescent="0.25">
      <c r="A616">
        <v>1523</v>
      </c>
      <c r="B616" s="1">
        <v>45382</v>
      </c>
      <c r="C616" t="s">
        <v>195</v>
      </c>
      <c r="D616" t="s">
        <v>17</v>
      </c>
      <c r="E616" t="s">
        <v>26</v>
      </c>
      <c r="F616" t="s">
        <v>40</v>
      </c>
      <c r="G616" t="s">
        <v>20</v>
      </c>
      <c r="H616" t="s">
        <v>28</v>
      </c>
      <c r="I616" t="s">
        <v>81</v>
      </c>
      <c r="J616">
        <v>8</v>
      </c>
      <c r="K616" s="3">
        <v>375.04</v>
      </c>
      <c r="L616" s="2">
        <v>225.34</v>
      </c>
      <c r="M616" s="2">
        <f>Table1[[#This Row],[UnitPrice]]*Table1[[#This Row],[Quantity]]</f>
        <v>3000.32</v>
      </c>
      <c r="N616" s="2">
        <f>Table1[[#This Row],[CostPrice]]*Table1[[#This Row],[Quantity]]</f>
        <v>1802.72</v>
      </c>
      <c r="O616" s="2">
        <v>447.52</v>
      </c>
      <c r="P616" s="4">
        <v>0.25</v>
      </c>
      <c r="Q616" t="s">
        <v>92</v>
      </c>
      <c r="R616" s="4">
        <f t="shared" si="9"/>
        <v>0.14915742320819111</v>
      </c>
    </row>
    <row r="617" spans="1:18" x14ac:dyDescent="0.25">
      <c r="A617">
        <v>1173</v>
      </c>
      <c r="B617" s="1">
        <v>45295</v>
      </c>
      <c r="C617" t="s">
        <v>200</v>
      </c>
      <c r="D617" t="s">
        <v>32</v>
      </c>
      <c r="E617" t="s">
        <v>26</v>
      </c>
      <c r="F617" t="s">
        <v>27</v>
      </c>
      <c r="G617" t="s">
        <v>35</v>
      </c>
      <c r="H617" t="s">
        <v>70</v>
      </c>
      <c r="I617" t="s">
        <v>98</v>
      </c>
      <c r="J617">
        <v>9</v>
      </c>
      <c r="K617" s="3">
        <v>465.07</v>
      </c>
      <c r="L617" s="2">
        <v>363.88</v>
      </c>
      <c r="M617" s="2">
        <f>Table1[[#This Row],[UnitPrice]]*Table1[[#This Row],[Quantity]]</f>
        <v>4185.63</v>
      </c>
      <c r="N617" s="2">
        <f>Table1[[#This Row],[CostPrice]]*Table1[[#This Row],[Quantity]]</f>
        <v>3274.92</v>
      </c>
      <c r="O617" s="2">
        <v>-10.130000000000001</v>
      </c>
      <c r="P617" s="4">
        <v>0.22</v>
      </c>
      <c r="Q617" t="s">
        <v>75</v>
      </c>
      <c r="R617" s="4">
        <f t="shared" si="9"/>
        <v>-2.420185252877106E-3</v>
      </c>
    </row>
    <row r="618" spans="1:18" x14ac:dyDescent="0.25">
      <c r="A618">
        <v>1842</v>
      </c>
      <c r="B618" s="1">
        <v>45295</v>
      </c>
      <c r="C618" t="s">
        <v>282</v>
      </c>
      <c r="D618" t="s">
        <v>17</v>
      </c>
      <c r="E618" t="s">
        <v>18</v>
      </c>
      <c r="F618" t="s">
        <v>40</v>
      </c>
      <c r="G618" t="s">
        <v>41</v>
      </c>
      <c r="H618" t="s">
        <v>42</v>
      </c>
      <c r="I618" t="s">
        <v>43</v>
      </c>
      <c r="J618">
        <v>7</v>
      </c>
      <c r="K618" s="3">
        <v>432.17</v>
      </c>
      <c r="L618" s="2">
        <v>301.87</v>
      </c>
      <c r="M618" s="2">
        <f>Table1[[#This Row],[UnitPrice]]*Table1[[#This Row],[Quantity]]</f>
        <v>3025.19</v>
      </c>
      <c r="N618" s="2">
        <f>Table1[[#This Row],[CostPrice]]*Table1[[#This Row],[Quantity]]</f>
        <v>2113.09</v>
      </c>
      <c r="O618" s="2">
        <v>579.33000000000004</v>
      </c>
      <c r="P618" s="4">
        <v>0.11</v>
      </c>
      <c r="Q618" t="s">
        <v>44</v>
      </c>
      <c r="R618" s="4">
        <f t="shared" si="9"/>
        <v>0.19150202136064182</v>
      </c>
    </row>
    <row r="619" spans="1:18" x14ac:dyDescent="0.25">
      <c r="A619">
        <v>1941</v>
      </c>
      <c r="B619" s="1">
        <v>45326</v>
      </c>
      <c r="C619" t="s">
        <v>180</v>
      </c>
      <c r="D619" t="s">
        <v>17</v>
      </c>
      <c r="E619" t="s">
        <v>53</v>
      </c>
      <c r="F619" t="s">
        <v>34</v>
      </c>
      <c r="G619" t="s">
        <v>20</v>
      </c>
      <c r="H619" t="s">
        <v>28</v>
      </c>
      <c r="I619" t="s">
        <v>29</v>
      </c>
      <c r="J619">
        <v>2</v>
      </c>
      <c r="K619" s="3">
        <v>350.84</v>
      </c>
      <c r="L619" s="2">
        <v>224.3</v>
      </c>
      <c r="M619" s="2">
        <f>Table1[[#This Row],[UnitPrice]]*Table1[[#This Row],[Quantity]]</f>
        <v>701.68</v>
      </c>
      <c r="N619" s="2">
        <f>Table1[[#This Row],[CostPrice]]*Table1[[#This Row],[Quantity]]</f>
        <v>448.6</v>
      </c>
      <c r="O619" s="2">
        <v>225.01</v>
      </c>
      <c r="P619" s="4">
        <v>0.04</v>
      </c>
      <c r="Q619" t="s">
        <v>55</v>
      </c>
      <c r="R619" s="4">
        <f t="shared" si="9"/>
        <v>0.32067324136358455</v>
      </c>
    </row>
    <row r="620" spans="1:18" x14ac:dyDescent="0.25">
      <c r="A620">
        <v>1124</v>
      </c>
      <c r="B620" s="1">
        <v>45386</v>
      </c>
      <c r="C620" t="s">
        <v>179</v>
      </c>
      <c r="D620" t="s">
        <v>25</v>
      </c>
      <c r="E620" t="s">
        <v>33</v>
      </c>
      <c r="F620" t="s">
        <v>40</v>
      </c>
      <c r="G620" t="s">
        <v>20</v>
      </c>
      <c r="H620" t="s">
        <v>21</v>
      </c>
      <c r="I620" t="s">
        <v>79</v>
      </c>
      <c r="J620">
        <v>2</v>
      </c>
      <c r="K620" s="3">
        <v>777.29</v>
      </c>
      <c r="L620" s="2">
        <v>453.3</v>
      </c>
      <c r="M620" s="2">
        <f>Table1[[#This Row],[UnitPrice]]*Table1[[#This Row],[Quantity]]</f>
        <v>1554.58</v>
      </c>
      <c r="N620" s="2">
        <f>Table1[[#This Row],[CostPrice]]*Table1[[#This Row],[Quantity]]</f>
        <v>906.6</v>
      </c>
      <c r="O620" s="2">
        <v>585.79999999999995</v>
      </c>
      <c r="P620" s="4">
        <v>0.04</v>
      </c>
      <c r="Q620" t="s">
        <v>23</v>
      </c>
      <c r="R620" s="4">
        <f t="shared" si="9"/>
        <v>0.3768220355337133</v>
      </c>
    </row>
    <row r="621" spans="1:18" x14ac:dyDescent="0.25">
      <c r="A621">
        <v>1040</v>
      </c>
      <c r="B621" s="1">
        <v>45416</v>
      </c>
      <c r="C621" t="s">
        <v>108</v>
      </c>
      <c r="D621" t="s">
        <v>25</v>
      </c>
      <c r="E621" t="s">
        <v>18</v>
      </c>
      <c r="F621" t="s">
        <v>27</v>
      </c>
      <c r="G621" t="s">
        <v>41</v>
      </c>
      <c r="H621" t="s">
        <v>42</v>
      </c>
      <c r="I621" t="s">
        <v>68</v>
      </c>
      <c r="J621">
        <v>8</v>
      </c>
      <c r="K621" s="3">
        <v>82.1</v>
      </c>
      <c r="L621" s="2">
        <v>49.26</v>
      </c>
      <c r="M621" s="2">
        <f>Table1[[#This Row],[UnitPrice]]*Table1[[#This Row],[Quantity]]</f>
        <v>656.8</v>
      </c>
      <c r="N621" s="2">
        <f>Table1[[#This Row],[CostPrice]]*Table1[[#This Row],[Quantity]]</f>
        <v>394.08</v>
      </c>
      <c r="O621" s="2">
        <v>210.18</v>
      </c>
      <c r="P621" s="4">
        <v>0.08</v>
      </c>
      <c r="Q621" t="s">
        <v>85</v>
      </c>
      <c r="R621" s="4">
        <f t="shared" si="9"/>
        <v>0.32000609013398296</v>
      </c>
    </row>
    <row r="622" spans="1:18" x14ac:dyDescent="0.25">
      <c r="A622">
        <v>1682</v>
      </c>
      <c r="B622" s="1">
        <v>45416</v>
      </c>
      <c r="C622" t="s">
        <v>194</v>
      </c>
      <c r="D622" t="s">
        <v>25</v>
      </c>
      <c r="E622" t="s">
        <v>18</v>
      </c>
      <c r="F622" t="s">
        <v>19</v>
      </c>
      <c r="G622" t="s">
        <v>41</v>
      </c>
      <c r="H622" t="s">
        <v>42</v>
      </c>
      <c r="I622" t="s">
        <v>68</v>
      </c>
      <c r="J622">
        <v>1</v>
      </c>
      <c r="K622" s="3">
        <v>502.3</v>
      </c>
      <c r="L622" s="2">
        <v>366.98</v>
      </c>
      <c r="M622" s="2">
        <f>Table1[[#This Row],[UnitPrice]]*Table1[[#This Row],[Quantity]]</f>
        <v>502.3</v>
      </c>
      <c r="N622" s="2">
        <f>Table1[[#This Row],[CostPrice]]*Table1[[#This Row],[Quantity]]</f>
        <v>366.98</v>
      </c>
      <c r="O622" s="2">
        <v>80.069999999999993</v>
      </c>
      <c r="P622" s="4">
        <v>0.11</v>
      </c>
      <c r="Q622" t="s">
        <v>23</v>
      </c>
      <c r="R622" s="4">
        <f t="shared" si="9"/>
        <v>0.15940672904638661</v>
      </c>
    </row>
    <row r="623" spans="1:18" x14ac:dyDescent="0.25">
      <c r="A623">
        <v>1843</v>
      </c>
      <c r="B623" s="1">
        <v>45416</v>
      </c>
      <c r="C623" t="s">
        <v>233</v>
      </c>
      <c r="D623" t="s">
        <v>25</v>
      </c>
      <c r="E623" t="s">
        <v>18</v>
      </c>
      <c r="F623" t="s">
        <v>27</v>
      </c>
      <c r="G623" t="s">
        <v>35</v>
      </c>
      <c r="H623" t="s">
        <v>70</v>
      </c>
      <c r="I623" t="s">
        <v>84</v>
      </c>
      <c r="J623">
        <v>9</v>
      </c>
      <c r="K623" s="3">
        <v>355.49</v>
      </c>
      <c r="L623" s="2">
        <v>181.47</v>
      </c>
      <c r="M623" s="2">
        <f>Table1[[#This Row],[UnitPrice]]*Table1[[#This Row],[Quantity]]</f>
        <v>3199.41</v>
      </c>
      <c r="N623" s="2">
        <f>Table1[[#This Row],[CostPrice]]*Table1[[#This Row],[Quantity]]</f>
        <v>1633.23</v>
      </c>
      <c r="O623" s="2">
        <v>1406.21</v>
      </c>
      <c r="P623" s="4">
        <v>0.05</v>
      </c>
      <c r="Q623" t="s">
        <v>85</v>
      </c>
      <c r="R623" s="4">
        <f t="shared" si="9"/>
        <v>0.43952166180639557</v>
      </c>
    </row>
    <row r="624" spans="1:18" x14ac:dyDescent="0.25">
      <c r="A624">
        <v>1978</v>
      </c>
      <c r="B624" s="1">
        <v>45416</v>
      </c>
      <c r="C624" t="s">
        <v>237</v>
      </c>
      <c r="D624" t="s">
        <v>17</v>
      </c>
      <c r="E624" t="s">
        <v>26</v>
      </c>
      <c r="F624" t="s">
        <v>34</v>
      </c>
      <c r="G624" t="s">
        <v>41</v>
      </c>
      <c r="H624" t="s">
        <v>46</v>
      </c>
      <c r="I624" t="s">
        <v>47</v>
      </c>
      <c r="J624">
        <v>9</v>
      </c>
      <c r="K624" s="3">
        <v>570.87</v>
      </c>
      <c r="L624" s="2">
        <v>483.99</v>
      </c>
      <c r="M624" s="2">
        <f>Table1[[#This Row],[UnitPrice]]*Table1[[#This Row],[Quantity]]</f>
        <v>5137.83</v>
      </c>
      <c r="N624" s="2">
        <f>Table1[[#This Row],[CostPrice]]*Table1[[#This Row],[Quantity]]</f>
        <v>4355.91</v>
      </c>
      <c r="O624" s="2">
        <v>114</v>
      </c>
      <c r="P624" s="4">
        <v>0.13</v>
      </c>
      <c r="Q624" t="s">
        <v>30</v>
      </c>
      <c r="R624" s="4">
        <f t="shared" si="9"/>
        <v>2.2188355784445963E-2</v>
      </c>
    </row>
    <row r="625" spans="1:18" x14ac:dyDescent="0.25">
      <c r="A625">
        <v>1693</v>
      </c>
      <c r="B625" s="1">
        <v>45447</v>
      </c>
      <c r="C625" t="s">
        <v>286</v>
      </c>
      <c r="D625" t="s">
        <v>25</v>
      </c>
      <c r="E625" t="s">
        <v>33</v>
      </c>
      <c r="F625" t="s">
        <v>27</v>
      </c>
      <c r="G625" t="s">
        <v>20</v>
      </c>
      <c r="H625" t="s">
        <v>21</v>
      </c>
      <c r="I625" t="s">
        <v>79</v>
      </c>
      <c r="J625">
        <v>7</v>
      </c>
      <c r="K625" s="3">
        <v>346.94</v>
      </c>
      <c r="L625" s="2">
        <v>221.96</v>
      </c>
      <c r="M625" s="2">
        <f>Table1[[#This Row],[UnitPrice]]*Table1[[#This Row],[Quantity]]</f>
        <v>2428.58</v>
      </c>
      <c r="N625" s="2">
        <f>Table1[[#This Row],[CostPrice]]*Table1[[#This Row],[Quantity]]</f>
        <v>1553.72</v>
      </c>
      <c r="O625" s="2">
        <v>729.15</v>
      </c>
      <c r="P625" s="4">
        <v>0.06</v>
      </c>
      <c r="Q625" t="s">
        <v>51</v>
      </c>
      <c r="R625" s="4">
        <f t="shared" si="9"/>
        <v>0.30023717563349778</v>
      </c>
    </row>
    <row r="626" spans="1:18" x14ac:dyDescent="0.25">
      <c r="A626">
        <v>1439</v>
      </c>
      <c r="B626" s="1">
        <v>45539</v>
      </c>
      <c r="C626" t="s">
        <v>193</v>
      </c>
      <c r="D626" t="s">
        <v>17</v>
      </c>
      <c r="E626" t="s">
        <v>26</v>
      </c>
      <c r="F626" t="s">
        <v>27</v>
      </c>
      <c r="G626" t="s">
        <v>20</v>
      </c>
      <c r="H626" t="s">
        <v>28</v>
      </c>
      <c r="I626" t="s">
        <v>29</v>
      </c>
      <c r="J626">
        <v>3</v>
      </c>
      <c r="K626" s="3">
        <v>719.78</v>
      </c>
      <c r="L626" s="2">
        <v>391.01</v>
      </c>
      <c r="M626" s="2">
        <f>Table1[[#This Row],[UnitPrice]]*Table1[[#This Row],[Quantity]]</f>
        <v>2159.34</v>
      </c>
      <c r="N626" s="2">
        <f>Table1[[#This Row],[CostPrice]]*Table1[[#This Row],[Quantity]]</f>
        <v>1173.03</v>
      </c>
      <c r="O626" s="2">
        <v>921.53</v>
      </c>
      <c r="P626" s="4">
        <v>0.03</v>
      </c>
      <c r="Q626" t="s">
        <v>55</v>
      </c>
      <c r="R626" s="4">
        <f t="shared" si="9"/>
        <v>0.42676465957190618</v>
      </c>
    </row>
    <row r="627" spans="1:18" x14ac:dyDescent="0.25">
      <c r="A627">
        <v>1443</v>
      </c>
      <c r="B627" s="1">
        <v>45539</v>
      </c>
      <c r="C627" t="s">
        <v>78</v>
      </c>
      <c r="D627" t="s">
        <v>25</v>
      </c>
      <c r="E627" t="s">
        <v>33</v>
      </c>
      <c r="F627" t="s">
        <v>19</v>
      </c>
      <c r="G627" t="s">
        <v>41</v>
      </c>
      <c r="H627" t="s">
        <v>46</v>
      </c>
      <c r="I627" t="s">
        <v>102</v>
      </c>
      <c r="J627">
        <v>9</v>
      </c>
      <c r="K627" s="3">
        <v>821.02</v>
      </c>
      <c r="L627" s="2">
        <v>470.18</v>
      </c>
      <c r="M627" s="2">
        <f>Table1[[#This Row],[UnitPrice]]*Table1[[#This Row],[Quantity]]</f>
        <v>7389.18</v>
      </c>
      <c r="N627" s="2">
        <f>Table1[[#This Row],[CostPrice]]*Table1[[#This Row],[Quantity]]</f>
        <v>4231.62</v>
      </c>
      <c r="O627" s="2">
        <v>2714.21</v>
      </c>
      <c r="P627" s="4">
        <v>0.06</v>
      </c>
      <c r="Q627" t="s">
        <v>51</v>
      </c>
      <c r="R627" s="4">
        <f t="shared" si="9"/>
        <v>0.36732221978622798</v>
      </c>
    </row>
    <row r="628" spans="1:18" x14ac:dyDescent="0.25">
      <c r="A628">
        <v>1515</v>
      </c>
      <c r="B628" s="1">
        <v>45569</v>
      </c>
      <c r="C628" t="s">
        <v>104</v>
      </c>
      <c r="D628" t="s">
        <v>25</v>
      </c>
      <c r="E628" t="s">
        <v>53</v>
      </c>
      <c r="F628" t="s">
        <v>19</v>
      </c>
      <c r="G628" t="s">
        <v>35</v>
      </c>
      <c r="H628" t="s">
        <v>70</v>
      </c>
      <c r="I628" t="s">
        <v>71</v>
      </c>
      <c r="J628">
        <v>1</v>
      </c>
      <c r="K628" s="3">
        <v>861.08</v>
      </c>
      <c r="L628" s="2">
        <v>451.85</v>
      </c>
      <c r="M628" s="2">
        <f>Table1[[#This Row],[UnitPrice]]*Table1[[#This Row],[Quantity]]</f>
        <v>861.08</v>
      </c>
      <c r="N628" s="2">
        <f>Table1[[#This Row],[CostPrice]]*Table1[[#This Row],[Quantity]]</f>
        <v>451.85</v>
      </c>
      <c r="O628" s="2">
        <v>176.74</v>
      </c>
      <c r="P628" s="4">
        <v>0.27</v>
      </c>
      <c r="Q628" t="s">
        <v>85</v>
      </c>
      <c r="R628" s="4">
        <f t="shared" si="9"/>
        <v>0.20525386723649372</v>
      </c>
    </row>
    <row r="629" spans="1:18" x14ac:dyDescent="0.25">
      <c r="A629">
        <v>1629</v>
      </c>
      <c r="B629" s="1">
        <v>45569</v>
      </c>
      <c r="C629" t="s">
        <v>109</v>
      </c>
      <c r="D629" t="s">
        <v>17</v>
      </c>
      <c r="E629" t="s">
        <v>53</v>
      </c>
      <c r="F629" t="s">
        <v>27</v>
      </c>
      <c r="G629" t="s">
        <v>20</v>
      </c>
      <c r="H629" t="s">
        <v>21</v>
      </c>
      <c r="I629" t="s">
        <v>22</v>
      </c>
      <c r="J629">
        <v>7</v>
      </c>
      <c r="K629" s="3">
        <v>889.07</v>
      </c>
      <c r="L629" s="2">
        <v>592.73</v>
      </c>
      <c r="M629" s="2">
        <f>Table1[[#This Row],[UnitPrice]]*Table1[[#This Row],[Quantity]]</f>
        <v>6223.4900000000007</v>
      </c>
      <c r="N629" s="2">
        <f>Table1[[#This Row],[CostPrice]]*Table1[[#This Row],[Quantity]]</f>
        <v>4149.1100000000006</v>
      </c>
      <c r="O629" s="2">
        <v>1265.33</v>
      </c>
      <c r="P629" s="4">
        <v>0.13</v>
      </c>
      <c r="Q629" t="s">
        <v>85</v>
      </c>
      <c r="R629" s="4">
        <f t="shared" si="9"/>
        <v>0.20331518167459092</v>
      </c>
    </row>
    <row r="630" spans="1:18" x14ac:dyDescent="0.25">
      <c r="A630">
        <v>1039</v>
      </c>
      <c r="B630" s="1">
        <v>45630</v>
      </c>
      <c r="C630" t="s">
        <v>107</v>
      </c>
      <c r="D630" t="s">
        <v>32</v>
      </c>
      <c r="E630" t="s">
        <v>18</v>
      </c>
      <c r="F630" t="s">
        <v>27</v>
      </c>
      <c r="G630" t="s">
        <v>41</v>
      </c>
      <c r="H630" t="s">
        <v>63</v>
      </c>
      <c r="I630" t="s">
        <v>64</v>
      </c>
      <c r="J630">
        <v>7</v>
      </c>
      <c r="K630" s="3">
        <v>831.42</v>
      </c>
      <c r="L630" s="2">
        <v>575.14</v>
      </c>
      <c r="M630" s="2">
        <f>Table1[[#This Row],[UnitPrice]]*Table1[[#This Row],[Quantity]]</f>
        <v>5819.94</v>
      </c>
      <c r="N630" s="2">
        <f>Table1[[#This Row],[CostPrice]]*Table1[[#This Row],[Quantity]]</f>
        <v>4025.98</v>
      </c>
      <c r="O630" s="2">
        <v>222.58</v>
      </c>
      <c r="P630" s="4">
        <v>0.27</v>
      </c>
      <c r="Q630" t="s">
        <v>55</v>
      </c>
      <c r="R630" s="4">
        <f t="shared" si="9"/>
        <v>3.8244380526259725E-2</v>
      </c>
    </row>
    <row r="631" spans="1:18" x14ac:dyDescent="0.25">
      <c r="A631">
        <v>1279</v>
      </c>
      <c r="B631" s="1">
        <v>45396</v>
      </c>
      <c r="C631" t="s">
        <v>238</v>
      </c>
      <c r="D631" t="s">
        <v>25</v>
      </c>
      <c r="E631" t="s">
        <v>53</v>
      </c>
      <c r="F631" t="s">
        <v>34</v>
      </c>
      <c r="G631" t="s">
        <v>35</v>
      </c>
      <c r="H631" t="s">
        <v>36</v>
      </c>
      <c r="I631" t="s">
        <v>87</v>
      </c>
      <c r="J631">
        <v>10</v>
      </c>
      <c r="K631" s="3">
        <v>589.99</v>
      </c>
      <c r="L631" s="2">
        <v>451.6</v>
      </c>
      <c r="M631" s="2">
        <f>Table1[[#This Row],[UnitPrice]]*Table1[[#This Row],[Quantity]]</f>
        <v>5899.9</v>
      </c>
      <c r="N631" s="2">
        <f>Table1[[#This Row],[CostPrice]]*Table1[[#This Row],[Quantity]]</f>
        <v>4516</v>
      </c>
      <c r="O631" s="2">
        <v>-268.07</v>
      </c>
      <c r="P631" s="4">
        <v>0.28000000000000003</v>
      </c>
      <c r="Q631" t="s">
        <v>44</v>
      </c>
      <c r="R631" s="4">
        <f t="shared" si="9"/>
        <v>-4.5436363328192002E-2</v>
      </c>
    </row>
    <row r="632" spans="1:18" x14ac:dyDescent="0.25">
      <c r="A632">
        <v>1158</v>
      </c>
      <c r="B632" s="1">
        <v>45397</v>
      </c>
      <c r="C632" t="s">
        <v>186</v>
      </c>
      <c r="D632" t="s">
        <v>32</v>
      </c>
      <c r="E632" t="s">
        <v>18</v>
      </c>
      <c r="F632" t="s">
        <v>40</v>
      </c>
      <c r="G632" t="s">
        <v>41</v>
      </c>
      <c r="H632" t="s">
        <v>46</v>
      </c>
      <c r="I632" t="s">
        <v>47</v>
      </c>
      <c r="J632">
        <v>4</v>
      </c>
      <c r="K632" s="3">
        <v>282.61</v>
      </c>
      <c r="L632" s="2">
        <v>170.83</v>
      </c>
      <c r="M632" s="2">
        <f>Table1[[#This Row],[UnitPrice]]*Table1[[#This Row],[Quantity]]</f>
        <v>1130.44</v>
      </c>
      <c r="N632" s="2">
        <f>Table1[[#This Row],[CostPrice]]*Table1[[#This Row],[Quantity]]</f>
        <v>683.32</v>
      </c>
      <c r="O632" s="2">
        <v>130.6</v>
      </c>
      <c r="P632" s="4">
        <v>0.28000000000000003</v>
      </c>
      <c r="Q632" t="s">
        <v>30</v>
      </c>
      <c r="R632" s="4">
        <f t="shared" si="9"/>
        <v>0.11553023601429531</v>
      </c>
    </row>
    <row r="633" spans="1:18" x14ac:dyDescent="0.25">
      <c r="A633">
        <v>1785</v>
      </c>
      <c r="B633" s="1">
        <v>45397</v>
      </c>
      <c r="C633" t="s">
        <v>291</v>
      </c>
      <c r="D633" t="s">
        <v>25</v>
      </c>
      <c r="E633" t="s">
        <v>26</v>
      </c>
      <c r="F633" t="s">
        <v>27</v>
      </c>
      <c r="G633" t="s">
        <v>41</v>
      </c>
      <c r="H633" t="s">
        <v>42</v>
      </c>
      <c r="I633" t="s">
        <v>43</v>
      </c>
      <c r="J633">
        <v>5</v>
      </c>
      <c r="K633" s="3">
        <v>25.94</v>
      </c>
      <c r="L633" s="2">
        <v>14.45</v>
      </c>
      <c r="M633" s="2">
        <f>Table1[[#This Row],[UnitPrice]]*Table1[[#This Row],[Quantity]]</f>
        <v>129.70000000000002</v>
      </c>
      <c r="N633" s="2">
        <f>Table1[[#This Row],[CostPrice]]*Table1[[#This Row],[Quantity]]</f>
        <v>72.25</v>
      </c>
      <c r="O633" s="2">
        <v>50.97</v>
      </c>
      <c r="P633" s="4">
        <v>0.05</v>
      </c>
      <c r="Q633" t="s">
        <v>75</v>
      </c>
      <c r="R633" s="4">
        <f t="shared" si="9"/>
        <v>0.39298380878951422</v>
      </c>
    </row>
    <row r="634" spans="1:18" x14ac:dyDescent="0.25">
      <c r="A634">
        <v>1189</v>
      </c>
      <c r="B634" s="1">
        <v>45398</v>
      </c>
      <c r="C634" t="s">
        <v>73</v>
      </c>
      <c r="D634" t="s">
        <v>32</v>
      </c>
      <c r="E634" t="s">
        <v>26</v>
      </c>
      <c r="F634" t="s">
        <v>19</v>
      </c>
      <c r="G634" t="s">
        <v>41</v>
      </c>
      <c r="H634" t="s">
        <v>63</v>
      </c>
      <c r="I634" t="s">
        <v>117</v>
      </c>
      <c r="J634">
        <v>3</v>
      </c>
      <c r="K634" s="3">
        <v>917.31</v>
      </c>
      <c r="L634" s="2">
        <v>632.71</v>
      </c>
      <c r="M634" s="2">
        <f>Table1[[#This Row],[UnitPrice]]*Table1[[#This Row],[Quantity]]</f>
        <v>2751.93</v>
      </c>
      <c r="N634" s="2">
        <f>Table1[[#This Row],[CostPrice]]*Table1[[#This Row],[Quantity]]</f>
        <v>1898.13</v>
      </c>
      <c r="O634" s="2">
        <v>330.93</v>
      </c>
      <c r="P634" s="4">
        <v>0.19</v>
      </c>
      <c r="Q634" t="s">
        <v>51</v>
      </c>
      <c r="R634" s="4">
        <f t="shared" si="9"/>
        <v>0.12025378552506787</v>
      </c>
    </row>
    <row r="635" spans="1:18" x14ac:dyDescent="0.25">
      <c r="A635">
        <v>1995</v>
      </c>
      <c r="B635" s="1">
        <v>45398</v>
      </c>
      <c r="C635" t="s">
        <v>252</v>
      </c>
      <c r="D635" t="s">
        <v>17</v>
      </c>
      <c r="E635" t="s">
        <v>18</v>
      </c>
      <c r="F635" t="s">
        <v>40</v>
      </c>
      <c r="G635" t="s">
        <v>35</v>
      </c>
      <c r="H635" t="s">
        <v>49</v>
      </c>
      <c r="I635" t="s">
        <v>59</v>
      </c>
      <c r="J635">
        <v>5</v>
      </c>
      <c r="K635" s="3">
        <v>768</v>
      </c>
      <c r="L635" s="2">
        <v>390.32</v>
      </c>
      <c r="M635" s="2">
        <f>Table1[[#This Row],[UnitPrice]]*Table1[[#This Row],[Quantity]]</f>
        <v>3840</v>
      </c>
      <c r="N635" s="2">
        <f>Table1[[#This Row],[CostPrice]]*Table1[[#This Row],[Quantity]]</f>
        <v>1951.6</v>
      </c>
      <c r="O635" s="2">
        <v>1581.2</v>
      </c>
      <c r="P635" s="4">
        <v>0.08</v>
      </c>
      <c r="Q635" t="s">
        <v>30</v>
      </c>
      <c r="R635" s="4">
        <f t="shared" si="9"/>
        <v>0.41177083333333336</v>
      </c>
    </row>
    <row r="636" spans="1:18" x14ac:dyDescent="0.25">
      <c r="A636">
        <v>1878</v>
      </c>
      <c r="B636" s="1">
        <v>45400</v>
      </c>
      <c r="C636" t="s">
        <v>167</v>
      </c>
      <c r="D636" t="s">
        <v>17</v>
      </c>
      <c r="E636" t="s">
        <v>53</v>
      </c>
      <c r="F636" t="s">
        <v>34</v>
      </c>
      <c r="G636" t="s">
        <v>20</v>
      </c>
      <c r="H636" t="s">
        <v>21</v>
      </c>
      <c r="I636" t="s">
        <v>54</v>
      </c>
      <c r="J636">
        <v>2</v>
      </c>
      <c r="K636" s="3">
        <v>336.82</v>
      </c>
      <c r="L636" s="2">
        <v>179.89</v>
      </c>
      <c r="M636" s="2">
        <f>Table1[[#This Row],[UnitPrice]]*Table1[[#This Row],[Quantity]]</f>
        <v>673.64</v>
      </c>
      <c r="N636" s="2">
        <f>Table1[[#This Row],[CostPrice]]*Table1[[#This Row],[Quantity]]</f>
        <v>359.78</v>
      </c>
      <c r="O636" s="2">
        <v>253.23</v>
      </c>
      <c r="P636" s="4">
        <v>0.09</v>
      </c>
      <c r="Q636" t="s">
        <v>55</v>
      </c>
      <c r="R636" s="4">
        <f t="shared" si="9"/>
        <v>0.375912950537379</v>
      </c>
    </row>
    <row r="637" spans="1:18" x14ac:dyDescent="0.25">
      <c r="A637">
        <v>1438</v>
      </c>
      <c r="B637" s="1">
        <v>45401</v>
      </c>
      <c r="C637" t="s">
        <v>237</v>
      </c>
      <c r="D637" t="s">
        <v>32</v>
      </c>
      <c r="E637" t="s">
        <v>33</v>
      </c>
      <c r="F637" t="s">
        <v>34</v>
      </c>
      <c r="G637" t="s">
        <v>20</v>
      </c>
      <c r="H637" t="s">
        <v>113</v>
      </c>
      <c r="I637" t="s">
        <v>161</v>
      </c>
      <c r="J637">
        <v>9</v>
      </c>
      <c r="K637" s="3">
        <v>139.63</v>
      </c>
      <c r="L637" s="2">
        <v>90.03</v>
      </c>
      <c r="M637" s="2">
        <f>Table1[[#This Row],[UnitPrice]]*Table1[[#This Row],[Quantity]]</f>
        <v>1256.67</v>
      </c>
      <c r="N637" s="2">
        <f>Table1[[#This Row],[CostPrice]]*Table1[[#This Row],[Quantity]]</f>
        <v>810.27</v>
      </c>
      <c r="O637" s="2">
        <v>270.47000000000003</v>
      </c>
      <c r="P637" s="4">
        <v>0.14000000000000001</v>
      </c>
      <c r="Q637" t="s">
        <v>92</v>
      </c>
      <c r="R637" s="4">
        <f t="shared" si="9"/>
        <v>0.21522754581552836</v>
      </c>
    </row>
    <row r="638" spans="1:18" x14ac:dyDescent="0.25">
      <c r="A638">
        <v>1741</v>
      </c>
      <c r="B638" s="1">
        <v>45401</v>
      </c>
      <c r="C638" t="s">
        <v>142</v>
      </c>
      <c r="D638" t="s">
        <v>17</v>
      </c>
      <c r="E638" t="s">
        <v>53</v>
      </c>
      <c r="F638" t="s">
        <v>40</v>
      </c>
      <c r="G638" t="s">
        <v>41</v>
      </c>
      <c r="H638" t="s">
        <v>63</v>
      </c>
      <c r="I638" t="s">
        <v>117</v>
      </c>
      <c r="J638">
        <v>6</v>
      </c>
      <c r="K638" s="3">
        <v>16.54</v>
      </c>
      <c r="L638" s="2">
        <v>8.9499999999999993</v>
      </c>
      <c r="M638" s="2">
        <f>Table1[[#This Row],[UnitPrice]]*Table1[[#This Row],[Quantity]]</f>
        <v>99.24</v>
      </c>
      <c r="N638" s="2">
        <f>Table1[[#This Row],[CostPrice]]*Table1[[#This Row],[Quantity]]</f>
        <v>53.699999999999996</v>
      </c>
      <c r="O638" s="2">
        <v>41.57</v>
      </c>
      <c r="P638" s="4">
        <v>0.04</v>
      </c>
      <c r="Q638" t="s">
        <v>38</v>
      </c>
      <c r="R638" s="4">
        <f t="shared" si="9"/>
        <v>0.41888351471180979</v>
      </c>
    </row>
    <row r="639" spans="1:18" x14ac:dyDescent="0.25">
      <c r="A639">
        <v>1505</v>
      </c>
      <c r="B639" s="1">
        <v>45402</v>
      </c>
      <c r="C639" t="s">
        <v>202</v>
      </c>
      <c r="D639" t="s">
        <v>17</v>
      </c>
      <c r="E639" t="s">
        <v>26</v>
      </c>
      <c r="F639" t="s">
        <v>40</v>
      </c>
      <c r="G639" t="s">
        <v>20</v>
      </c>
      <c r="H639" t="s">
        <v>21</v>
      </c>
      <c r="I639" t="s">
        <v>22</v>
      </c>
      <c r="J639">
        <v>3</v>
      </c>
      <c r="K639" s="3">
        <v>686.82</v>
      </c>
      <c r="L639" s="2">
        <v>576.24</v>
      </c>
      <c r="M639" s="2">
        <f>Table1[[#This Row],[UnitPrice]]*Table1[[#This Row],[Quantity]]</f>
        <v>2060.46</v>
      </c>
      <c r="N639" s="2">
        <f>Table1[[#This Row],[CostPrice]]*Table1[[#This Row],[Quantity]]</f>
        <v>1728.72</v>
      </c>
      <c r="O639" s="2">
        <v>43.28</v>
      </c>
      <c r="P639" s="4">
        <v>0.14000000000000001</v>
      </c>
      <c r="Q639" t="s">
        <v>92</v>
      </c>
      <c r="R639" s="4">
        <f t="shared" si="9"/>
        <v>2.1005018296885163E-2</v>
      </c>
    </row>
    <row r="640" spans="1:18" x14ac:dyDescent="0.25">
      <c r="A640">
        <v>1079</v>
      </c>
      <c r="B640" s="1">
        <v>45403</v>
      </c>
      <c r="C640" t="s">
        <v>146</v>
      </c>
      <c r="D640" t="s">
        <v>17</v>
      </c>
      <c r="E640" t="s">
        <v>26</v>
      </c>
      <c r="F640" t="s">
        <v>34</v>
      </c>
      <c r="G640" t="s">
        <v>35</v>
      </c>
      <c r="H640" t="s">
        <v>49</v>
      </c>
      <c r="I640" t="s">
        <v>59</v>
      </c>
      <c r="J640">
        <v>5</v>
      </c>
      <c r="K640" s="3">
        <v>640.74</v>
      </c>
      <c r="L640" s="2">
        <v>415.53</v>
      </c>
      <c r="M640" s="2">
        <f>Table1[[#This Row],[UnitPrice]]*Table1[[#This Row],[Quantity]]</f>
        <v>3203.7</v>
      </c>
      <c r="N640" s="2">
        <f>Table1[[#This Row],[CostPrice]]*Table1[[#This Row],[Quantity]]</f>
        <v>2077.6499999999996</v>
      </c>
      <c r="O640" s="2">
        <v>869.75</v>
      </c>
      <c r="P640" s="4">
        <v>0.08</v>
      </c>
      <c r="Q640" t="s">
        <v>30</v>
      </c>
      <c r="R640" s="4">
        <f t="shared" si="9"/>
        <v>0.27148297281268535</v>
      </c>
    </row>
    <row r="641" spans="1:18" x14ac:dyDescent="0.25">
      <c r="A641">
        <v>1449</v>
      </c>
      <c r="B641" s="1">
        <v>45403</v>
      </c>
      <c r="C641" t="s">
        <v>172</v>
      </c>
      <c r="D641" t="s">
        <v>25</v>
      </c>
      <c r="E641" t="s">
        <v>26</v>
      </c>
      <c r="F641" t="s">
        <v>27</v>
      </c>
      <c r="G641" t="s">
        <v>35</v>
      </c>
      <c r="H641" t="s">
        <v>36</v>
      </c>
      <c r="I641" t="s">
        <v>37</v>
      </c>
      <c r="J641">
        <v>6</v>
      </c>
      <c r="K641" s="3">
        <v>562.61</v>
      </c>
      <c r="L641" s="2">
        <v>406.84</v>
      </c>
      <c r="M641" s="2">
        <f>Table1[[#This Row],[UnitPrice]]*Table1[[#This Row],[Quantity]]</f>
        <v>3375.66</v>
      </c>
      <c r="N641" s="2">
        <f>Table1[[#This Row],[CostPrice]]*Table1[[#This Row],[Quantity]]</f>
        <v>2441.04</v>
      </c>
      <c r="O641" s="2">
        <v>934.62</v>
      </c>
      <c r="P641" s="4">
        <v>0</v>
      </c>
      <c r="Q641" t="s">
        <v>23</v>
      </c>
      <c r="R641" s="4">
        <f t="shared" si="9"/>
        <v>0.27687030091893144</v>
      </c>
    </row>
    <row r="642" spans="1:18" x14ac:dyDescent="0.25">
      <c r="A642">
        <v>1166</v>
      </c>
      <c r="B642" s="1">
        <v>45406</v>
      </c>
      <c r="C642" t="s">
        <v>163</v>
      </c>
      <c r="D642" t="s">
        <v>25</v>
      </c>
      <c r="E642" t="s">
        <v>18</v>
      </c>
      <c r="F642" t="s">
        <v>19</v>
      </c>
      <c r="G642" t="s">
        <v>41</v>
      </c>
      <c r="H642" t="s">
        <v>46</v>
      </c>
      <c r="I642" t="s">
        <v>102</v>
      </c>
      <c r="J642">
        <v>5</v>
      </c>
      <c r="K642" s="3">
        <v>720.01</v>
      </c>
      <c r="L642" s="2">
        <v>363.55</v>
      </c>
      <c r="M642" s="2">
        <f>Table1[[#This Row],[UnitPrice]]*Table1[[#This Row],[Quantity]]</f>
        <v>3600.05</v>
      </c>
      <c r="N642" s="2">
        <f>Table1[[#This Row],[CostPrice]]*Table1[[#This Row],[Quantity]]</f>
        <v>1817.75</v>
      </c>
      <c r="O642" s="2">
        <v>1422.3</v>
      </c>
      <c r="P642" s="4">
        <v>0.1</v>
      </c>
      <c r="Q642" t="s">
        <v>30</v>
      </c>
      <c r="R642" s="4">
        <f t="shared" ref="R642:R705" si="10">O642/M642</f>
        <v>0.39507784614102581</v>
      </c>
    </row>
    <row r="643" spans="1:18" x14ac:dyDescent="0.25">
      <c r="A643">
        <v>1876</v>
      </c>
      <c r="B643" s="1">
        <v>45406</v>
      </c>
      <c r="C643" t="s">
        <v>223</v>
      </c>
      <c r="D643" t="s">
        <v>32</v>
      </c>
      <c r="E643" t="s">
        <v>53</v>
      </c>
      <c r="F643" t="s">
        <v>27</v>
      </c>
      <c r="G643" t="s">
        <v>35</v>
      </c>
      <c r="H643" t="s">
        <v>36</v>
      </c>
      <c r="I643" t="s">
        <v>100</v>
      </c>
      <c r="J643">
        <v>1</v>
      </c>
      <c r="K643" s="3">
        <v>957.7</v>
      </c>
      <c r="L643" s="2">
        <v>619.94000000000005</v>
      </c>
      <c r="M643" s="2">
        <f>Table1[[#This Row],[UnitPrice]]*Table1[[#This Row],[Quantity]]</f>
        <v>957.7</v>
      </c>
      <c r="N643" s="2">
        <f>Table1[[#This Row],[CostPrice]]*Table1[[#This Row],[Quantity]]</f>
        <v>619.94000000000005</v>
      </c>
      <c r="O643" s="2">
        <v>117.49</v>
      </c>
      <c r="P643" s="4">
        <v>0.23</v>
      </c>
      <c r="Q643" t="s">
        <v>125</v>
      </c>
      <c r="R643" s="4">
        <f t="shared" si="10"/>
        <v>0.12267933590894851</v>
      </c>
    </row>
    <row r="644" spans="1:18" x14ac:dyDescent="0.25">
      <c r="A644">
        <v>1433</v>
      </c>
      <c r="B644" s="1">
        <v>45407</v>
      </c>
      <c r="C644" t="s">
        <v>248</v>
      </c>
      <c r="D644" t="s">
        <v>32</v>
      </c>
      <c r="E644" t="s">
        <v>26</v>
      </c>
      <c r="F644" t="s">
        <v>27</v>
      </c>
      <c r="G644" t="s">
        <v>35</v>
      </c>
      <c r="H644" t="s">
        <v>49</v>
      </c>
      <c r="I644" t="s">
        <v>66</v>
      </c>
      <c r="J644">
        <v>3</v>
      </c>
      <c r="K644" s="3">
        <v>197.29</v>
      </c>
      <c r="L644" s="2">
        <v>100.87</v>
      </c>
      <c r="M644" s="2">
        <f>Table1[[#This Row],[UnitPrice]]*Table1[[#This Row],[Quantity]]</f>
        <v>591.87</v>
      </c>
      <c r="N644" s="2">
        <f>Table1[[#This Row],[CostPrice]]*Table1[[#This Row],[Quantity]]</f>
        <v>302.61</v>
      </c>
      <c r="O644" s="2">
        <v>153.13</v>
      </c>
      <c r="P644" s="4">
        <v>0.23</v>
      </c>
      <c r="Q644" t="s">
        <v>51</v>
      </c>
      <c r="R644" s="4">
        <f t="shared" si="10"/>
        <v>0.25872235457110515</v>
      </c>
    </row>
    <row r="645" spans="1:18" x14ac:dyDescent="0.25">
      <c r="A645">
        <v>1664</v>
      </c>
      <c r="B645" s="1">
        <v>45407</v>
      </c>
      <c r="C645" t="s">
        <v>198</v>
      </c>
      <c r="D645" t="s">
        <v>32</v>
      </c>
      <c r="E645" t="s">
        <v>18</v>
      </c>
      <c r="F645" t="s">
        <v>40</v>
      </c>
      <c r="G645" t="s">
        <v>20</v>
      </c>
      <c r="H645" t="s">
        <v>113</v>
      </c>
      <c r="I645" t="s">
        <v>161</v>
      </c>
      <c r="J645">
        <v>3</v>
      </c>
      <c r="K645" s="3">
        <v>62.03</v>
      </c>
      <c r="L645" s="2">
        <v>42.02</v>
      </c>
      <c r="M645" s="2">
        <f>Table1[[#This Row],[UnitPrice]]*Table1[[#This Row],[Quantity]]</f>
        <v>186.09</v>
      </c>
      <c r="N645" s="2">
        <f>Table1[[#This Row],[CostPrice]]*Table1[[#This Row],[Quantity]]</f>
        <v>126.06</v>
      </c>
      <c r="O645" s="2">
        <v>13.51</v>
      </c>
      <c r="P645" s="4">
        <v>0.25</v>
      </c>
      <c r="Q645" t="s">
        <v>51</v>
      </c>
      <c r="R645" s="4">
        <f t="shared" si="10"/>
        <v>7.259927991831909E-2</v>
      </c>
    </row>
    <row r="646" spans="1:18" x14ac:dyDescent="0.25">
      <c r="A646">
        <v>1046</v>
      </c>
      <c r="B646" s="1">
        <v>45408</v>
      </c>
      <c r="C646" t="s">
        <v>112</v>
      </c>
      <c r="D646" t="s">
        <v>17</v>
      </c>
      <c r="E646" t="s">
        <v>33</v>
      </c>
      <c r="F646" t="s">
        <v>40</v>
      </c>
      <c r="G646" t="s">
        <v>20</v>
      </c>
      <c r="H646" t="s">
        <v>113</v>
      </c>
      <c r="I646" t="s">
        <v>114</v>
      </c>
      <c r="J646">
        <v>1</v>
      </c>
      <c r="K646" s="3">
        <v>755.46</v>
      </c>
      <c r="L646" s="2">
        <v>628.82000000000005</v>
      </c>
      <c r="M646" s="2">
        <f>Table1[[#This Row],[UnitPrice]]*Table1[[#This Row],[Quantity]]</f>
        <v>755.46</v>
      </c>
      <c r="N646" s="2">
        <f>Table1[[#This Row],[CostPrice]]*Table1[[#This Row],[Quantity]]</f>
        <v>628.82000000000005</v>
      </c>
      <c r="O646" s="2">
        <v>81.31</v>
      </c>
      <c r="P646" s="4">
        <v>0.06</v>
      </c>
      <c r="Q646" t="s">
        <v>51</v>
      </c>
      <c r="R646" s="4">
        <f t="shared" si="10"/>
        <v>0.10762978847324808</v>
      </c>
    </row>
    <row r="647" spans="1:18" x14ac:dyDescent="0.25">
      <c r="A647">
        <v>1157</v>
      </c>
      <c r="B647" s="1">
        <v>45409</v>
      </c>
      <c r="C647" t="s">
        <v>142</v>
      </c>
      <c r="D647" t="s">
        <v>17</v>
      </c>
      <c r="E647" t="s">
        <v>33</v>
      </c>
      <c r="F647" t="s">
        <v>19</v>
      </c>
      <c r="G647" t="s">
        <v>41</v>
      </c>
      <c r="H647" t="s">
        <v>42</v>
      </c>
      <c r="I647" t="s">
        <v>43</v>
      </c>
      <c r="J647">
        <v>6</v>
      </c>
      <c r="K647" s="3">
        <v>998.13</v>
      </c>
      <c r="L647" s="2">
        <v>666.18</v>
      </c>
      <c r="M647" s="2">
        <f>Table1[[#This Row],[UnitPrice]]*Table1[[#This Row],[Quantity]]</f>
        <v>5988.78</v>
      </c>
      <c r="N647" s="2">
        <f>Table1[[#This Row],[CostPrice]]*Table1[[#This Row],[Quantity]]</f>
        <v>3997.08</v>
      </c>
      <c r="O647" s="2">
        <v>1332.93</v>
      </c>
      <c r="P647" s="4">
        <v>0.11</v>
      </c>
      <c r="Q647" t="s">
        <v>92</v>
      </c>
      <c r="R647" s="4">
        <f t="shared" si="10"/>
        <v>0.22257120815925782</v>
      </c>
    </row>
    <row r="648" spans="1:18" x14ac:dyDescent="0.25">
      <c r="A648">
        <v>1171</v>
      </c>
      <c r="B648" s="1">
        <v>45409</v>
      </c>
      <c r="C648" t="s">
        <v>67</v>
      </c>
      <c r="D648" t="s">
        <v>17</v>
      </c>
      <c r="E648" t="s">
        <v>26</v>
      </c>
      <c r="F648" t="s">
        <v>19</v>
      </c>
      <c r="G648" t="s">
        <v>41</v>
      </c>
      <c r="H648" t="s">
        <v>63</v>
      </c>
      <c r="I648" t="s">
        <v>141</v>
      </c>
      <c r="J648">
        <v>9</v>
      </c>
      <c r="K648" s="3">
        <v>449.51</v>
      </c>
      <c r="L648" s="2">
        <v>335.48</v>
      </c>
      <c r="M648" s="2">
        <f>Table1[[#This Row],[UnitPrice]]*Table1[[#This Row],[Quantity]]</f>
        <v>4045.59</v>
      </c>
      <c r="N648" s="2">
        <f>Table1[[#This Row],[CostPrice]]*Table1[[#This Row],[Quantity]]</f>
        <v>3019.32</v>
      </c>
      <c r="O648" s="2">
        <v>945.36</v>
      </c>
      <c r="P648" s="4">
        <v>0.02</v>
      </c>
      <c r="Q648" t="s">
        <v>125</v>
      </c>
      <c r="R648" s="4">
        <f t="shared" si="10"/>
        <v>0.23367667015194321</v>
      </c>
    </row>
    <row r="649" spans="1:18" x14ac:dyDescent="0.25">
      <c r="A649">
        <v>1608</v>
      </c>
      <c r="B649" s="1">
        <v>45409</v>
      </c>
      <c r="C649" t="s">
        <v>191</v>
      </c>
      <c r="D649" t="s">
        <v>32</v>
      </c>
      <c r="E649" t="s">
        <v>26</v>
      </c>
      <c r="F649" t="s">
        <v>19</v>
      </c>
      <c r="G649" t="s">
        <v>35</v>
      </c>
      <c r="H649" t="s">
        <v>70</v>
      </c>
      <c r="I649" t="s">
        <v>71</v>
      </c>
      <c r="J649">
        <v>1</v>
      </c>
      <c r="K649" s="3">
        <v>337.18</v>
      </c>
      <c r="L649" s="2">
        <v>180.71</v>
      </c>
      <c r="M649" s="2">
        <f>Table1[[#This Row],[UnitPrice]]*Table1[[#This Row],[Quantity]]</f>
        <v>337.18</v>
      </c>
      <c r="N649" s="2">
        <f>Table1[[#This Row],[CostPrice]]*Table1[[#This Row],[Quantity]]</f>
        <v>180.71</v>
      </c>
      <c r="O649" s="2">
        <v>72.17</v>
      </c>
      <c r="P649" s="4">
        <v>0.25</v>
      </c>
      <c r="Q649" t="s">
        <v>75</v>
      </c>
      <c r="R649" s="4">
        <f t="shared" si="10"/>
        <v>0.2140399786464203</v>
      </c>
    </row>
    <row r="650" spans="1:18" x14ac:dyDescent="0.25">
      <c r="A650">
        <v>1613</v>
      </c>
      <c r="B650" s="1">
        <v>45410</v>
      </c>
      <c r="C650" t="s">
        <v>221</v>
      </c>
      <c r="D650" t="s">
        <v>25</v>
      </c>
      <c r="E650" t="s">
        <v>26</v>
      </c>
      <c r="F650" t="s">
        <v>40</v>
      </c>
      <c r="G650" t="s">
        <v>41</v>
      </c>
      <c r="H650" t="s">
        <v>63</v>
      </c>
      <c r="I650" t="s">
        <v>141</v>
      </c>
      <c r="J650">
        <v>8</v>
      </c>
      <c r="K650" s="3">
        <v>133.44999999999999</v>
      </c>
      <c r="L650" s="2">
        <v>76.040000000000006</v>
      </c>
      <c r="M650" s="2">
        <f>Table1[[#This Row],[UnitPrice]]*Table1[[#This Row],[Quantity]]</f>
        <v>1067.5999999999999</v>
      </c>
      <c r="N650" s="2">
        <f>Table1[[#This Row],[CostPrice]]*Table1[[#This Row],[Quantity]]</f>
        <v>608.32000000000005</v>
      </c>
      <c r="O650" s="2">
        <v>267.11</v>
      </c>
      <c r="P650" s="4">
        <v>0.18</v>
      </c>
      <c r="Q650" t="s">
        <v>44</v>
      </c>
      <c r="R650" s="4">
        <f t="shared" si="10"/>
        <v>0.2501967028849757</v>
      </c>
    </row>
    <row r="651" spans="1:18" x14ac:dyDescent="0.25">
      <c r="A651">
        <v>1317</v>
      </c>
      <c r="B651" s="1">
        <v>45411</v>
      </c>
      <c r="C651" t="s">
        <v>248</v>
      </c>
      <c r="D651" t="s">
        <v>32</v>
      </c>
      <c r="E651" t="s">
        <v>53</v>
      </c>
      <c r="F651" t="s">
        <v>34</v>
      </c>
      <c r="G651" t="s">
        <v>20</v>
      </c>
      <c r="H651" t="s">
        <v>113</v>
      </c>
      <c r="I651" t="s">
        <v>114</v>
      </c>
      <c r="J651">
        <v>1</v>
      </c>
      <c r="K651" s="3">
        <v>344.65</v>
      </c>
      <c r="L651" s="2">
        <v>272.43</v>
      </c>
      <c r="M651" s="2">
        <f>Table1[[#This Row],[UnitPrice]]*Table1[[#This Row],[Quantity]]</f>
        <v>344.65</v>
      </c>
      <c r="N651" s="2">
        <f>Table1[[#This Row],[CostPrice]]*Table1[[#This Row],[Quantity]]</f>
        <v>272.43</v>
      </c>
      <c r="O651" s="2">
        <v>-27.73</v>
      </c>
      <c r="P651" s="4">
        <v>0.28999999999999998</v>
      </c>
      <c r="Q651" t="s">
        <v>30</v>
      </c>
      <c r="R651" s="4">
        <f t="shared" si="10"/>
        <v>-8.045843609458872E-2</v>
      </c>
    </row>
    <row r="652" spans="1:18" x14ac:dyDescent="0.25">
      <c r="A652">
        <v>1288</v>
      </c>
      <c r="B652" s="1">
        <v>45412</v>
      </c>
      <c r="C652" t="s">
        <v>242</v>
      </c>
      <c r="D652" t="s">
        <v>17</v>
      </c>
      <c r="E652" t="s">
        <v>26</v>
      </c>
      <c r="F652" t="s">
        <v>34</v>
      </c>
      <c r="G652" t="s">
        <v>20</v>
      </c>
      <c r="H652" t="s">
        <v>28</v>
      </c>
      <c r="I652" t="s">
        <v>29</v>
      </c>
      <c r="J652">
        <v>5</v>
      </c>
      <c r="K652" s="3">
        <v>426.69</v>
      </c>
      <c r="L652" s="2">
        <v>269.57</v>
      </c>
      <c r="M652" s="2">
        <f>Table1[[#This Row],[UnitPrice]]*Table1[[#This Row],[Quantity]]</f>
        <v>2133.4499999999998</v>
      </c>
      <c r="N652" s="2">
        <f>Table1[[#This Row],[CostPrice]]*Table1[[#This Row],[Quantity]]</f>
        <v>1347.85</v>
      </c>
      <c r="O652" s="2">
        <v>572.25</v>
      </c>
      <c r="P652" s="4">
        <v>0.1</v>
      </c>
      <c r="Q652" t="s">
        <v>30</v>
      </c>
      <c r="R652" s="4">
        <f t="shared" si="10"/>
        <v>0.26822751880756524</v>
      </c>
    </row>
    <row r="653" spans="1:18" x14ac:dyDescent="0.25">
      <c r="A653">
        <v>1527</v>
      </c>
      <c r="B653" s="1">
        <v>45412</v>
      </c>
      <c r="C653" t="s">
        <v>146</v>
      </c>
      <c r="D653" t="s">
        <v>17</v>
      </c>
      <c r="E653" t="s">
        <v>26</v>
      </c>
      <c r="F653" t="s">
        <v>27</v>
      </c>
      <c r="G653" t="s">
        <v>35</v>
      </c>
      <c r="H653" t="s">
        <v>70</v>
      </c>
      <c r="I653" t="s">
        <v>98</v>
      </c>
      <c r="J653">
        <v>8</v>
      </c>
      <c r="K653" s="3">
        <v>900.67</v>
      </c>
      <c r="L653" s="2">
        <v>494.29</v>
      </c>
      <c r="M653" s="2">
        <f>Table1[[#This Row],[UnitPrice]]*Table1[[#This Row],[Quantity]]</f>
        <v>7205.36</v>
      </c>
      <c r="N653" s="2">
        <f>Table1[[#This Row],[CostPrice]]*Table1[[#This Row],[Quantity]]</f>
        <v>3954.32</v>
      </c>
      <c r="O653" s="2">
        <v>2026.13</v>
      </c>
      <c r="P653" s="4">
        <v>0.17</v>
      </c>
      <c r="Q653" t="s">
        <v>30</v>
      </c>
      <c r="R653" s="4">
        <f t="shared" si="10"/>
        <v>0.281197608447045</v>
      </c>
    </row>
    <row r="654" spans="1:18" x14ac:dyDescent="0.25">
      <c r="A654">
        <v>1769</v>
      </c>
      <c r="B654" s="1">
        <v>45412</v>
      </c>
      <c r="C654" t="s">
        <v>97</v>
      </c>
      <c r="D654" t="s">
        <v>25</v>
      </c>
      <c r="E654" t="s">
        <v>26</v>
      </c>
      <c r="F654" t="s">
        <v>19</v>
      </c>
      <c r="G654" t="s">
        <v>41</v>
      </c>
      <c r="H654" t="s">
        <v>63</v>
      </c>
      <c r="I654" t="s">
        <v>64</v>
      </c>
      <c r="J654">
        <v>3</v>
      </c>
      <c r="K654" s="3">
        <v>233.24</v>
      </c>
      <c r="L654" s="2">
        <v>127.42</v>
      </c>
      <c r="M654" s="2">
        <f>Table1[[#This Row],[UnitPrice]]*Table1[[#This Row],[Quantity]]</f>
        <v>699.72</v>
      </c>
      <c r="N654" s="2">
        <f>Table1[[#This Row],[CostPrice]]*Table1[[#This Row],[Quantity]]</f>
        <v>382.26</v>
      </c>
      <c r="O654" s="2">
        <v>310.45999999999998</v>
      </c>
      <c r="P654" s="4">
        <v>0.01</v>
      </c>
      <c r="Q654" t="s">
        <v>23</v>
      </c>
      <c r="R654" s="4">
        <f t="shared" si="10"/>
        <v>0.44369176241925334</v>
      </c>
    </row>
    <row r="655" spans="1:18" x14ac:dyDescent="0.25">
      <c r="A655">
        <v>1797</v>
      </c>
      <c r="B655" s="1">
        <v>45412</v>
      </c>
      <c r="C655" t="s">
        <v>233</v>
      </c>
      <c r="D655" t="s">
        <v>25</v>
      </c>
      <c r="E655" t="s">
        <v>33</v>
      </c>
      <c r="F655" t="s">
        <v>40</v>
      </c>
      <c r="G655" t="s">
        <v>35</v>
      </c>
      <c r="H655" t="s">
        <v>36</v>
      </c>
      <c r="I655" t="s">
        <v>37</v>
      </c>
      <c r="J655">
        <v>8</v>
      </c>
      <c r="K655" s="3">
        <v>148.41999999999999</v>
      </c>
      <c r="L655" s="2">
        <v>118.54</v>
      </c>
      <c r="M655" s="2">
        <f>Table1[[#This Row],[UnitPrice]]*Table1[[#This Row],[Quantity]]</f>
        <v>1187.3599999999999</v>
      </c>
      <c r="N655" s="2">
        <f>Table1[[#This Row],[CostPrice]]*Table1[[#This Row],[Quantity]]</f>
        <v>948.32</v>
      </c>
      <c r="O655" s="2">
        <v>-105.29</v>
      </c>
      <c r="P655" s="4">
        <v>0.28999999999999998</v>
      </c>
      <c r="Q655" t="s">
        <v>75</v>
      </c>
      <c r="R655" s="4">
        <f t="shared" si="10"/>
        <v>-8.8675717558280562E-2</v>
      </c>
    </row>
    <row r="656" spans="1:18" x14ac:dyDescent="0.25">
      <c r="A656">
        <v>1332</v>
      </c>
      <c r="B656" s="1">
        <v>45296</v>
      </c>
      <c r="C656" t="s">
        <v>209</v>
      </c>
      <c r="D656" t="s">
        <v>17</v>
      </c>
      <c r="E656" t="s">
        <v>33</v>
      </c>
      <c r="F656" t="s">
        <v>34</v>
      </c>
      <c r="G656" t="s">
        <v>41</v>
      </c>
      <c r="H656" t="s">
        <v>46</v>
      </c>
      <c r="I656" t="s">
        <v>57</v>
      </c>
      <c r="J656">
        <v>4</v>
      </c>
      <c r="K656" s="3">
        <v>904.97</v>
      </c>
      <c r="L656" s="2">
        <v>646.87</v>
      </c>
      <c r="M656" s="2">
        <f>Table1[[#This Row],[UnitPrice]]*Table1[[#This Row],[Quantity]]</f>
        <v>3619.88</v>
      </c>
      <c r="N656" s="2">
        <f>Table1[[#This Row],[CostPrice]]*Table1[[#This Row],[Quantity]]</f>
        <v>2587.48</v>
      </c>
      <c r="O656" s="2">
        <v>344.62</v>
      </c>
      <c r="P656" s="4">
        <v>0.19</v>
      </c>
      <c r="Q656" t="s">
        <v>51</v>
      </c>
      <c r="R656" s="4">
        <f t="shared" si="10"/>
        <v>9.520205089671481E-2</v>
      </c>
    </row>
    <row r="657" spans="1:18" x14ac:dyDescent="0.25">
      <c r="A657">
        <v>1980</v>
      </c>
      <c r="B657" s="1">
        <v>45296</v>
      </c>
      <c r="C657" t="s">
        <v>217</v>
      </c>
      <c r="D657" t="s">
        <v>17</v>
      </c>
      <c r="E657" t="s">
        <v>18</v>
      </c>
      <c r="F657" t="s">
        <v>40</v>
      </c>
      <c r="G657" t="s">
        <v>41</v>
      </c>
      <c r="H657" t="s">
        <v>46</v>
      </c>
      <c r="I657" t="s">
        <v>102</v>
      </c>
      <c r="J657">
        <v>10</v>
      </c>
      <c r="K657" s="3">
        <v>901.77</v>
      </c>
      <c r="L657" s="2">
        <v>552.63</v>
      </c>
      <c r="M657" s="2">
        <f>Table1[[#This Row],[UnitPrice]]*Table1[[#This Row],[Quantity]]</f>
        <v>9017.7000000000007</v>
      </c>
      <c r="N657" s="2">
        <f>Table1[[#This Row],[CostPrice]]*Table1[[#This Row],[Quantity]]</f>
        <v>5526.3</v>
      </c>
      <c r="O657" s="2">
        <v>3220.87</v>
      </c>
      <c r="P657" s="4">
        <v>0.03</v>
      </c>
      <c r="Q657" t="s">
        <v>85</v>
      </c>
      <c r="R657" s="4">
        <f t="shared" si="10"/>
        <v>0.35717200616565198</v>
      </c>
    </row>
    <row r="658" spans="1:18" x14ac:dyDescent="0.25">
      <c r="A658">
        <v>1388</v>
      </c>
      <c r="B658" s="1">
        <v>45327</v>
      </c>
      <c r="C658" t="s">
        <v>220</v>
      </c>
      <c r="D658" t="s">
        <v>17</v>
      </c>
      <c r="E658" t="s">
        <v>18</v>
      </c>
      <c r="F658" t="s">
        <v>27</v>
      </c>
      <c r="G658" t="s">
        <v>20</v>
      </c>
      <c r="H658" t="s">
        <v>113</v>
      </c>
      <c r="I658" t="s">
        <v>161</v>
      </c>
      <c r="J658">
        <v>3</v>
      </c>
      <c r="K658" s="3">
        <v>592.88</v>
      </c>
      <c r="L658" s="2">
        <v>391.18</v>
      </c>
      <c r="M658" s="2">
        <f>Table1[[#This Row],[UnitPrice]]*Table1[[#This Row],[Quantity]]</f>
        <v>1778.6399999999999</v>
      </c>
      <c r="N658" s="2">
        <f>Table1[[#This Row],[CostPrice]]*Table1[[#This Row],[Quantity]]</f>
        <v>1173.54</v>
      </c>
      <c r="O658" s="2">
        <v>213.8</v>
      </c>
      <c r="P658" s="4">
        <v>0.22</v>
      </c>
      <c r="Q658" t="s">
        <v>125</v>
      </c>
      <c r="R658" s="4">
        <f t="shared" si="10"/>
        <v>0.12020420096253319</v>
      </c>
    </row>
    <row r="659" spans="1:18" x14ac:dyDescent="0.25">
      <c r="A659">
        <v>1376</v>
      </c>
      <c r="B659" s="1">
        <v>45387</v>
      </c>
      <c r="C659" t="s">
        <v>181</v>
      </c>
      <c r="D659" t="s">
        <v>17</v>
      </c>
      <c r="E659" t="s">
        <v>18</v>
      </c>
      <c r="F659" t="s">
        <v>27</v>
      </c>
      <c r="G659" t="s">
        <v>41</v>
      </c>
      <c r="H659" t="s">
        <v>42</v>
      </c>
      <c r="I659" t="s">
        <v>68</v>
      </c>
      <c r="J659">
        <v>2</v>
      </c>
      <c r="K659" s="3">
        <v>699.75</v>
      </c>
      <c r="L659" s="2">
        <v>462.55</v>
      </c>
      <c r="M659" s="2">
        <f>Table1[[#This Row],[UnitPrice]]*Table1[[#This Row],[Quantity]]</f>
        <v>1399.5</v>
      </c>
      <c r="N659" s="2">
        <f>Table1[[#This Row],[CostPrice]]*Table1[[#This Row],[Quantity]]</f>
        <v>925.1</v>
      </c>
      <c r="O659" s="2">
        <v>180.51</v>
      </c>
      <c r="P659" s="4">
        <v>0.21</v>
      </c>
      <c r="Q659" t="s">
        <v>51</v>
      </c>
      <c r="R659" s="4">
        <f t="shared" si="10"/>
        <v>0.12898177920685958</v>
      </c>
    </row>
    <row r="660" spans="1:18" x14ac:dyDescent="0.25">
      <c r="A660">
        <v>1721</v>
      </c>
      <c r="B660" s="1">
        <v>45387</v>
      </c>
      <c r="C660" t="s">
        <v>201</v>
      </c>
      <c r="D660" t="s">
        <v>25</v>
      </c>
      <c r="E660" t="s">
        <v>33</v>
      </c>
      <c r="F660" t="s">
        <v>34</v>
      </c>
      <c r="G660" t="s">
        <v>35</v>
      </c>
      <c r="H660" t="s">
        <v>36</v>
      </c>
      <c r="I660" t="s">
        <v>100</v>
      </c>
      <c r="J660">
        <v>10</v>
      </c>
      <c r="K660" s="3">
        <v>790.26</v>
      </c>
      <c r="L660" s="2">
        <v>406.71</v>
      </c>
      <c r="M660" s="2">
        <f>Table1[[#This Row],[UnitPrice]]*Table1[[#This Row],[Quantity]]</f>
        <v>7902.6</v>
      </c>
      <c r="N660" s="2">
        <f>Table1[[#This Row],[CostPrice]]*Table1[[#This Row],[Quantity]]</f>
        <v>4067.1</v>
      </c>
      <c r="O660" s="2">
        <v>3361.34</v>
      </c>
      <c r="P660" s="4">
        <v>0.06</v>
      </c>
      <c r="Q660" t="s">
        <v>51</v>
      </c>
      <c r="R660" s="4">
        <f t="shared" si="10"/>
        <v>0.42534608862905882</v>
      </c>
    </row>
    <row r="661" spans="1:18" x14ac:dyDescent="0.25">
      <c r="A661">
        <v>1900</v>
      </c>
      <c r="B661" s="1">
        <v>45387</v>
      </c>
      <c r="C661" t="s">
        <v>108</v>
      </c>
      <c r="D661" t="s">
        <v>25</v>
      </c>
      <c r="E661" t="s">
        <v>33</v>
      </c>
      <c r="F661" t="s">
        <v>34</v>
      </c>
      <c r="G661" t="s">
        <v>20</v>
      </c>
      <c r="H661" t="s">
        <v>21</v>
      </c>
      <c r="I661" t="s">
        <v>79</v>
      </c>
      <c r="J661">
        <v>1</v>
      </c>
      <c r="K661" s="3">
        <v>554.73</v>
      </c>
      <c r="L661" s="2">
        <v>287.49</v>
      </c>
      <c r="M661" s="2">
        <f>Table1[[#This Row],[UnitPrice]]*Table1[[#This Row],[Quantity]]</f>
        <v>554.73</v>
      </c>
      <c r="N661" s="2">
        <f>Table1[[#This Row],[CostPrice]]*Table1[[#This Row],[Quantity]]</f>
        <v>287.49</v>
      </c>
      <c r="O661" s="2">
        <v>139.65</v>
      </c>
      <c r="P661" s="4">
        <v>0.23</v>
      </c>
      <c r="Q661" t="s">
        <v>92</v>
      </c>
      <c r="R661" s="4">
        <f t="shared" si="10"/>
        <v>0.25174409172029638</v>
      </c>
    </row>
    <row r="662" spans="1:18" x14ac:dyDescent="0.25">
      <c r="A662">
        <v>1205</v>
      </c>
      <c r="B662" s="1">
        <v>45417</v>
      </c>
      <c r="C662" t="s">
        <v>214</v>
      </c>
      <c r="D662" t="s">
        <v>32</v>
      </c>
      <c r="E662" t="s">
        <v>18</v>
      </c>
      <c r="F662" t="s">
        <v>40</v>
      </c>
      <c r="G662" t="s">
        <v>41</v>
      </c>
      <c r="H662" t="s">
        <v>63</v>
      </c>
      <c r="I662" t="s">
        <v>64</v>
      </c>
      <c r="J662">
        <v>8</v>
      </c>
      <c r="K662" s="3">
        <v>967.92</v>
      </c>
      <c r="L662" s="2">
        <v>748.87</v>
      </c>
      <c r="M662" s="2">
        <f>Table1[[#This Row],[UnitPrice]]*Table1[[#This Row],[Quantity]]</f>
        <v>7743.36</v>
      </c>
      <c r="N662" s="2">
        <f>Table1[[#This Row],[CostPrice]]*Table1[[#This Row],[Quantity]]</f>
        <v>5990.96</v>
      </c>
      <c r="O662" s="2">
        <v>978.06</v>
      </c>
      <c r="P662" s="4">
        <v>0.1</v>
      </c>
      <c r="Q662" t="s">
        <v>30</v>
      </c>
      <c r="R662" s="4">
        <f t="shared" si="10"/>
        <v>0.12630950905033472</v>
      </c>
    </row>
    <row r="663" spans="1:18" x14ac:dyDescent="0.25">
      <c r="A663">
        <v>1273</v>
      </c>
      <c r="B663" s="1">
        <v>45448</v>
      </c>
      <c r="C663" t="s">
        <v>236</v>
      </c>
      <c r="D663" t="s">
        <v>25</v>
      </c>
      <c r="E663" t="s">
        <v>26</v>
      </c>
      <c r="F663" t="s">
        <v>19</v>
      </c>
      <c r="G663" t="s">
        <v>41</v>
      </c>
      <c r="H663" t="s">
        <v>46</v>
      </c>
      <c r="I663" t="s">
        <v>47</v>
      </c>
      <c r="J663">
        <v>8</v>
      </c>
      <c r="K663" s="3">
        <v>844.55</v>
      </c>
      <c r="L663" s="2">
        <v>513.41999999999996</v>
      </c>
      <c r="M663" s="2">
        <f>Table1[[#This Row],[UnitPrice]]*Table1[[#This Row],[Quantity]]</f>
        <v>6756.4</v>
      </c>
      <c r="N663" s="2">
        <f>Table1[[#This Row],[CostPrice]]*Table1[[#This Row],[Quantity]]</f>
        <v>4107.3599999999997</v>
      </c>
      <c r="O663" s="2">
        <v>1838.27</v>
      </c>
      <c r="P663" s="4">
        <v>0.12</v>
      </c>
      <c r="Q663" t="s">
        <v>55</v>
      </c>
      <c r="R663" s="4">
        <f t="shared" si="10"/>
        <v>0.27207832573559887</v>
      </c>
    </row>
    <row r="664" spans="1:18" x14ac:dyDescent="0.25">
      <c r="A664">
        <v>1290</v>
      </c>
      <c r="B664" s="1">
        <v>45509</v>
      </c>
      <c r="C664" t="s">
        <v>210</v>
      </c>
      <c r="D664" t="s">
        <v>32</v>
      </c>
      <c r="E664" t="s">
        <v>18</v>
      </c>
      <c r="F664" t="s">
        <v>40</v>
      </c>
      <c r="G664" t="s">
        <v>35</v>
      </c>
      <c r="H664" t="s">
        <v>70</v>
      </c>
      <c r="I664" t="s">
        <v>84</v>
      </c>
      <c r="J664">
        <v>5</v>
      </c>
      <c r="K664" s="3">
        <v>192.42</v>
      </c>
      <c r="L664" s="2">
        <v>131.05000000000001</v>
      </c>
      <c r="M664" s="2">
        <f>Table1[[#This Row],[UnitPrice]]*Table1[[#This Row],[Quantity]]</f>
        <v>962.09999999999991</v>
      </c>
      <c r="N664" s="2">
        <f>Table1[[#This Row],[CostPrice]]*Table1[[#This Row],[Quantity]]</f>
        <v>655.25</v>
      </c>
      <c r="O664" s="2">
        <v>239.5</v>
      </c>
      <c r="P664" s="4">
        <v>7.0000000000000007E-2</v>
      </c>
      <c r="Q664" t="s">
        <v>51</v>
      </c>
      <c r="R664" s="4">
        <f t="shared" si="10"/>
        <v>0.24893462218064652</v>
      </c>
    </row>
    <row r="665" spans="1:18" x14ac:dyDescent="0.25">
      <c r="A665">
        <v>1051</v>
      </c>
      <c r="B665" s="1">
        <v>45570</v>
      </c>
      <c r="C665" t="s">
        <v>119</v>
      </c>
      <c r="D665" t="s">
        <v>17</v>
      </c>
      <c r="E665" t="s">
        <v>18</v>
      </c>
      <c r="F665" t="s">
        <v>40</v>
      </c>
      <c r="G665" t="s">
        <v>20</v>
      </c>
      <c r="H665" t="s">
        <v>21</v>
      </c>
      <c r="I665" t="s">
        <v>54</v>
      </c>
      <c r="J665">
        <v>8</v>
      </c>
      <c r="K665" s="3">
        <v>247.64</v>
      </c>
      <c r="L665" s="2">
        <v>164.1</v>
      </c>
      <c r="M665" s="2">
        <f>Table1[[#This Row],[UnitPrice]]*Table1[[#This Row],[Quantity]]</f>
        <v>1981.12</v>
      </c>
      <c r="N665" s="2">
        <f>Table1[[#This Row],[CostPrice]]*Table1[[#This Row],[Quantity]]</f>
        <v>1312.8</v>
      </c>
      <c r="O665" s="2">
        <v>311.72000000000003</v>
      </c>
      <c r="P665" s="4">
        <v>0.18</v>
      </c>
      <c r="Q665" t="s">
        <v>75</v>
      </c>
      <c r="R665" s="4">
        <f t="shared" si="10"/>
        <v>0.1573453400096915</v>
      </c>
    </row>
    <row r="666" spans="1:18" x14ac:dyDescent="0.25">
      <c r="A666">
        <v>1643</v>
      </c>
      <c r="B666" s="1">
        <v>45570</v>
      </c>
      <c r="C666" t="s">
        <v>287</v>
      </c>
      <c r="D666" t="s">
        <v>17</v>
      </c>
      <c r="E666" t="s">
        <v>26</v>
      </c>
      <c r="F666" t="s">
        <v>34</v>
      </c>
      <c r="G666" t="s">
        <v>35</v>
      </c>
      <c r="H666" t="s">
        <v>70</v>
      </c>
      <c r="I666" t="s">
        <v>84</v>
      </c>
      <c r="J666">
        <v>2</v>
      </c>
      <c r="K666" s="3">
        <v>250.08</v>
      </c>
      <c r="L666" s="2">
        <v>173.59</v>
      </c>
      <c r="M666" s="2">
        <f>Table1[[#This Row],[UnitPrice]]*Table1[[#This Row],[Quantity]]</f>
        <v>500.16</v>
      </c>
      <c r="N666" s="2">
        <f>Table1[[#This Row],[CostPrice]]*Table1[[#This Row],[Quantity]]</f>
        <v>347.18</v>
      </c>
      <c r="O666" s="2">
        <v>32.94</v>
      </c>
      <c r="P666" s="4">
        <v>0.24</v>
      </c>
      <c r="Q666" t="s">
        <v>30</v>
      </c>
      <c r="R666" s="4">
        <f t="shared" si="10"/>
        <v>6.5858925143953931E-2</v>
      </c>
    </row>
    <row r="667" spans="1:18" x14ac:dyDescent="0.25">
      <c r="A667">
        <v>1481</v>
      </c>
      <c r="B667" s="1">
        <v>45601</v>
      </c>
      <c r="C667" t="s">
        <v>107</v>
      </c>
      <c r="D667" t="s">
        <v>17</v>
      </c>
      <c r="E667" t="s">
        <v>33</v>
      </c>
      <c r="F667" t="s">
        <v>40</v>
      </c>
      <c r="G667" t="s">
        <v>20</v>
      </c>
      <c r="H667" t="s">
        <v>21</v>
      </c>
      <c r="I667" t="s">
        <v>132</v>
      </c>
      <c r="J667">
        <v>8</v>
      </c>
      <c r="K667" s="3">
        <v>754</v>
      </c>
      <c r="L667" s="2">
        <v>485.98</v>
      </c>
      <c r="M667" s="2">
        <f>Table1[[#This Row],[UnitPrice]]*Table1[[#This Row],[Quantity]]</f>
        <v>6032</v>
      </c>
      <c r="N667" s="2">
        <f>Table1[[#This Row],[CostPrice]]*Table1[[#This Row],[Quantity]]</f>
        <v>3887.84</v>
      </c>
      <c r="O667" s="2">
        <v>1480.64</v>
      </c>
      <c r="P667" s="4">
        <v>0.11</v>
      </c>
      <c r="Q667" t="s">
        <v>55</v>
      </c>
      <c r="R667" s="4">
        <f t="shared" si="10"/>
        <v>0.24546419098143238</v>
      </c>
    </row>
    <row r="668" spans="1:18" x14ac:dyDescent="0.25">
      <c r="A668">
        <v>1343</v>
      </c>
      <c r="B668" s="1">
        <v>45631</v>
      </c>
      <c r="C668" t="s">
        <v>139</v>
      </c>
      <c r="D668" t="s">
        <v>17</v>
      </c>
      <c r="E668" t="s">
        <v>18</v>
      </c>
      <c r="F668" t="s">
        <v>19</v>
      </c>
      <c r="G668" t="s">
        <v>41</v>
      </c>
      <c r="H668" t="s">
        <v>63</v>
      </c>
      <c r="I668" t="s">
        <v>117</v>
      </c>
      <c r="J668">
        <v>6</v>
      </c>
      <c r="K668" s="3">
        <v>958.87</v>
      </c>
      <c r="L668" s="2">
        <v>536.03</v>
      </c>
      <c r="M668" s="2">
        <f>Table1[[#This Row],[UnitPrice]]*Table1[[#This Row],[Quantity]]</f>
        <v>5753.22</v>
      </c>
      <c r="N668" s="2">
        <f>Table1[[#This Row],[CostPrice]]*Table1[[#This Row],[Quantity]]</f>
        <v>3216.18</v>
      </c>
      <c r="O668" s="2">
        <v>2019.25</v>
      </c>
      <c r="P668" s="4">
        <v>0.09</v>
      </c>
      <c r="Q668" t="s">
        <v>23</v>
      </c>
      <c r="R668" s="4">
        <f t="shared" si="10"/>
        <v>0.35097736571867577</v>
      </c>
    </row>
    <row r="669" spans="1:18" x14ac:dyDescent="0.25">
      <c r="A669">
        <v>1906</v>
      </c>
      <c r="B669" s="1">
        <v>45631</v>
      </c>
      <c r="C669" t="s">
        <v>116</v>
      </c>
      <c r="D669" t="s">
        <v>25</v>
      </c>
      <c r="E669" t="s">
        <v>26</v>
      </c>
      <c r="F669" t="s">
        <v>19</v>
      </c>
      <c r="G669" t="s">
        <v>35</v>
      </c>
      <c r="H669" t="s">
        <v>70</v>
      </c>
      <c r="I669" t="s">
        <v>84</v>
      </c>
      <c r="J669">
        <v>4</v>
      </c>
      <c r="K669" s="3">
        <v>127.13</v>
      </c>
      <c r="L669" s="2">
        <v>95.82</v>
      </c>
      <c r="M669" s="2">
        <f>Table1[[#This Row],[UnitPrice]]*Table1[[#This Row],[Quantity]]</f>
        <v>508.52</v>
      </c>
      <c r="N669" s="2">
        <f>Table1[[#This Row],[CostPrice]]*Table1[[#This Row],[Quantity]]</f>
        <v>383.28</v>
      </c>
      <c r="O669" s="2">
        <v>3.2</v>
      </c>
      <c r="P669" s="4">
        <v>0.24</v>
      </c>
      <c r="Q669" t="s">
        <v>51</v>
      </c>
      <c r="R669" s="4">
        <f t="shared" si="10"/>
        <v>6.2927711791080001E-3</v>
      </c>
    </row>
    <row r="670" spans="1:18" x14ac:dyDescent="0.25">
      <c r="A670">
        <v>1345</v>
      </c>
      <c r="B670" s="1">
        <v>45425</v>
      </c>
      <c r="C670" t="s">
        <v>253</v>
      </c>
      <c r="D670" t="s">
        <v>25</v>
      </c>
      <c r="E670" t="s">
        <v>33</v>
      </c>
      <c r="F670" t="s">
        <v>40</v>
      </c>
      <c r="G670" t="s">
        <v>20</v>
      </c>
      <c r="H670" t="s">
        <v>113</v>
      </c>
      <c r="I670" t="s">
        <v>114</v>
      </c>
      <c r="J670">
        <v>5</v>
      </c>
      <c r="K670" s="3">
        <v>734.88</v>
      </c>
      <c r="L670" s="2">
        <v>528.61</v>
      </c>
      <c r="M670" s="2">
        <f>Table1[[#This Row],[UnitPrice]]*Table1[[#This Row],[Quantity]]</f>
        <v>3674.4</v>
      </c>
      <c r="N670" s="2">
        <f>Table1[[#This Row],[CostPrice]]*Table1[[#This Row],[Quantity]]</f>
        <v>2643.05</v>
      </c>
      <c r="O670" s="2">
        <v>222.98</v>
      </c>
      <c r="P670" s="4">
        <v>0.22</v>
      </c>
      <c r="Q670" t="s">
        <v>51</v>
      </c>
      <c r="R670" s="4">
        <f t="shared" si="10"/>
        <v>6.0684737644241232E-2</v>
      </c>
    </row>
    <row r="671" spans="1:18" x14ac:dyDescent="0.25">
      <c r="A671">
        <v>1719</v>
      </c>
      <c r="B671" s="1">
        <v>45425</v>
      </c>
      <c r="C671" t="s">
        <v>285</v>
      </c>
      <c r="D671" t="s">
        <v>25</v>
      </c>
      <c r="E671" t="s">
        <v>53</v>
      </c>
      <c r="F671" t="s">
        <v>19</v>
      </c>
      <c r="G671" t="s">
        <v>20</v>
      </c>
      <c r="H671" t="s">
        <v>21</v>
      </c>
      <c r="I671" t="s">
        <v>22</v>
      </c>
      <c r="J671">
        <v>3</v>
      </c>
      <c r="K671" s="3">
        <v>810.13</v>
      </c>
      <c r="L671" s="2">
        <v>459.47</v>
      </c>
      <c r="M671" s="2">
        <f>Table1[[#This Row],[UnitPrice]]*Table1[[#This Row],[Quantity]]</f>
        <v>2430.39</v>
      </c>
      <c r="N671" s="2">
        <f>Table1[[#This Row],[CostPrice]]*Table1[[#This Row],[Quantity]]</f>
        <v>1378.41</v>
      </c>
      <c r="O671" s="2">
        <v>347.17</v>
      </c>
      <c r="P671" s="4">
        <v>0.28999999999999998</v>
      </c>
      <c r="Q671" t="s">
        <v>75</v>
      </c>
      <c r="R671" s="4">
        <f t="shared" si="10"/>
        <v>0.14284538695435714</v>
      </c>
    </row>
    <row r="672" spans="1:18" x14ac:dyDescent="0.25">
      <c r="A672">
        <v>1401</v>
      </c>
      <c r="B672" s="1">
        <v>45426</v>
      </c>
      <c r="C672" t="s">
        <v>208</v>
      </c>
      <c r="D672" t="s">
        <v>17</v>
      </c>
      <c r="E672" t="s">
        <v>18</v>
      </c>
      <c r="F672" t="s">
        <v>27</v>
      </c>
      <c r="G672" t="s">
        <v>41</v>
      </c>
      <c r="H672" t="s">
        <v>42</v>
      </c>
      <c r="I672" t="s">
        <v>77</v>
      </c>
      <c r="J672">
        <v>7</v>
      </c>
      <c r="K672" s="3">
        <v>361.38</v>
      </c>
      <c r="L672" s="2">
        <v>197.73</v>
      </c>
      <c r="M672" s="2">
        <f>Table1[[#This Row],[UnitPrice]]*Table1[[#This Row],[Quantity]]</f>
        <v>2529.66</v>
      </c>
      <c r="N672" s="2">
        <f>Table1[[#This Row],[CostPrice]]*Table1[[#This Row],[Quantity]]</f>
        <v>1384.11</v>
      </c>
      <c r="O672" s="2">
        <v>462.54</v>
      </c>
      <c r="P672" s="4">
        <v>0.27</v>
      </c>
      <c r="Q672" t="s">
        <v>55</v>
      </c>
      <c r="R672" s="4">
        <f t="shared" si="10"/>
        <v>0.18284670667204289</v>
      </c>
    </row>
    <row r="673" spans="1:18" x14ac:dyDescent="0.25">
      <c r="A673">
        <v>1286</v>
      </c>
      <c r="B673" s="1">
        <v>45427</v>
      </c>
      <c r="C673" t="s">
        <v>82</v>
      </c>
      <c r="D673" t="s">
        <v>25</v>
      </c>
      <c r="E673" t="s">
        <v>53</v>
      </c>
      <c r="F673" t="s">
        <v>40</v>
      </c>
      <c r="G673" t="s">
        <v>35</v>
      </c>
      <c r="H673" t="s">
        <v>36</v>
      </c>
      <c r="I673" t="s">
        <v>37</v>
      </c>
      <c r="J673">
        <v>2</v>
      </c>
      <c r="K673" s="3">
        <v>288.64</v>
      </c>
      <c r="L673" s="2">
        <v>183.37</v>
      </c>
      <c r="M673" s="2">
        <f>Table1[[#This Row],[UnitPrice]]*Table1[[#This Row],[Quantity]]</f>
        <v>577.28</v>
      </c>
      <c r="N673" s="2">
        <f>Table1[[#This Row],[CostPrice]]*Table1[[#This Row],[Quantity]]</f>
        <v>366.74</v>
      </c>
      <c r="O673" s="2">
        <v>181.68</v>
      </c>
      <c r="P673" s="4">
        <v>0.05</v>
      </c>
      <c r="Q673" t="s">
        <v>125</v>
      </c>
      <c r="R673" s="4">
        <f t="shared" si="10"/>
        <v>0.31471729490022177</v>
      </c>
    </row>
    <row r="674" spans="1:18" x14ac:dyDescent="0.25">
      <c r="A674">
        <v>1942</v>
      </c>
      <c r="B674" s="1">
        <v>45427</v>
      </c>
      <c r="C674" t="s">
        <v>165</v>
      </c>
      <c r="D674" t="s">
        <v>17</v>
      </c>
      <c r="E674" t="s">
        <v>26</v>
      </c>
      <c r="F674" t="s">
        <v>34</v>
      </c>
      <c r="G674" t="s">
        <v>35</v>
      </c>
      <c r="H674" t="s">
        <v>49</v>
      </c>
      <c r="I674" t="s">
        <v>59</v>
      </c>
      <c r="J674">
        <v>4</v>
      </c>
      <c r="K674" s="3">
        <v>890.36</v>
      </c>
      <c r="L674" s="2">
        <v>689.13</v>
      </c>
      <c r="M674" s="2">
        <f>Table1[[#This Row],[UnitPrice]]*Table1[[#This Row],[Quantity]]</f>
        <v>3561.44</v>
      </c>
      <c r="N674" s="2">
        <f>Table1[[#This Row],[CostPrice]]*Table1[[#This Row],[Quantity]]</f>
        <v>2756.52</v>
      </c>
      <c r="O674" s="2">
        <v>733.69</v>
      </c>
      <c r="P674" s="4">
        <v>0.02</v>
      </c>
      <c r="Q674" t="s">
        <v>85</v>
      </c>
      <c r="R674" s="4">
        <f t="shared" si="10"/>
        <v>0.20600936699761896</v>
      </c>
    </row>
    <row r="675" spans="1:18" x14ac:dyDescent="0.25">
      <c r="A675">
        <v>1050</v>
      </c>
      <c r="B675" s="1">
        <v>45428</v>
      </c>
      <c r="C675" t="s">
        <v>118</v>
      </c>
      <c r="D675" t="s">
        <v>32</v>
      </c>
      <c r="E675" t="s">
        <v>53</v>
      </c>
      <c r="F675" t="s">
        <v>19</v>
      </c>
      <c r="G675" t="s">
        <v>35</v>
      </c>
      <c r="H675" t="s">
        <v>36</v>
      </c>
      <c r="I675" t="s">
        <v>100</v>
      </c>
      <c r="J675">
        <v>9</v>
      </c>
      <c r="K675" s="3">
        <v>965.65</v>
      </c>
      <c r="L675" s="2">
        <v>574.11</v>
      </c>
      <c r="M675" s="2">
        <f>Table1[[#This Row],[UnitPrice]]*Table1[[#This Row],[Quantity]]</f>
        <v>8690.85</v>
      </c>
      <c r="N675" s="2">
        <f>Table1[[#This Row],[CostPrice]]*Table1[[#This Row],[Quantity]]</f>
        <v>5166.99</v>
      </c>
      <c r="O675" s="2">
        <v>1438.06</v>
      </c>
      <c r="P675" s="4">
        <v>0.24</v>
      </c>
      <c r="Q675" t="s">
        <v>38</v>
      </c>
      <c r="R675" s="4">
        <f t="shared" si="10"/>
        <v>0.16546827985755133</v>
      </c>
    </row>
    <row r="676" spans="1:18" x14ac:dyDescent="0.25">
      <c r="A676">
        <v>1940</v>
      </c>
      <c r="B676" s="1">
        <v>45428</v>
      </c>
      <c r="C676" t="s">
        <v>202</v>
      </c>
      <c r="D676" t="s">
        <v>32</v>
      </c>
      <c r="E676" t="s">
        <v>18</v>
      </c>
      <c r="F676" t="s">
        <v>27</v>
      </c>
      <c r="G676" t="s">
        <v>35</v>
      </c>
      <c r="H676" t="s">
        <v>36</v>
      </c>
      <c r="I676" t="s">
        <v>87</v>
      </c>
      <c r="J676">
        <v>2</v>
      </c>
      <c r="K676" s="3">
        <v>963.1</v>
      </c>
      <c r="L676" s="2">
        <v>783.85</v>
      </c>
      <c r="M676" s="2">
        <f>Table1[[#This Row],[UnitPrice]]*Table1[[#This Row],[Quantity]]</f>
        <v>1926.2</v>
      </c>
      <c r="N676" s="2">
        <f>Table1[[#This Row],[CostPrice]]*Table1[[#This Row],[Quantity]]</f>
        <v>1567.7</v>
      </c>
      <c r="O676" s="2">
        <v>-84.53</v>
      </c>
      <c r="P676" s="4">
        <v>0.23</v>
      </c>
      <c r="Q676" t="s">
        <v>75</v>
      </c>
      <c r="R676" s="4">
        <f t="shared" si="10"/>
        <v>-4.3884331845083585E-2</v>
      </c>
    </row>
    <row r="677" spans="1:18" x14ac:dyDescent="0.25">
      <c r="A677">
        <v>1837</v>
      </c>
      <c r="B677" s="1">
        <v>45429</v>
      </c>
      <c r="C677" t="s">
        <v>200</v>
      </c>
      <c r="D677" t="s">
        <v>32</v>
      </c>
      <c r="E677" t="s">
        <v>33</v>
      </c>
      <c r="F677" t="s">
        <v>27</v>
      </c>
      <c r="G677" t="s">
        <v>41</v>
      </c>
      <c r="H677" t="s">
        <v>42</v>
      </c>
      <c r="I677" t="s">
        <v>77</v>
      </c>
      <c r="J677">
        <v>7</v>
      </c>
      <c r="K677" s="3">
        <v>378.38</v>
      </c>
      <c r="L677" s="2">
        <v>230.72</v>
      </c>
      <c r="M677" s="2">
        <f>Table1[[#This Row],[UnitPrice]]*Table1[[#This Row],[Quantity]]</f>
        <v>2648.66</v>
      </c>
      <c r="N677" s="2">
        <f>Table1[[#This Row],[CostPrice]]*Table1[[#This Row],[Quantity]]</f>
        <v>1615.04</v>
      </c>
      <c r="O677" s="2">
        <v>318.48</v>
      </c>
      <c r="P677" s="4">
        <v>0.27</v>
      </c>
      <c r="Q677" t="s">
        <v>92</v>
      </c>
      <c r="R677" s="4">
        <f t="shared" si="10"/>
        <v>0.12024193365701903</v>
      </c>
    </row>
    <row r="678" spans="1:18" x14ac:dyDescent="0.25">
      <c r="A678">
        <v>1490</v>
      </c>
      <c r="B678" s="1">
        <v>45430</v>
      </c>
      <c r="C678" t="s">
        <v>199</v>
      </c>
      <c r="D678" t="s">
        <v>17</v>
      </c>
      <c r="E678" t="s">
        <v>53</v>
      </c>
      <c r="F678" t="s">
        <v>19</v>
      </c>
      <c r="G678" t="s">
        <v>41</v>
      </c>
      <c r="H678" t="s">
        <v>46</v>
      </c>
      <c r="I678" t="s">
        <v>47</v>
      </c>
      <c r="J678">
        <v>3</v>
      </c>
      <c r="K678" s="3">
        <v>542.92999999999995</v>
      </c>
      <c r="L678" s="2">
        <v>353.41</v>
      </c>
      <c r="M678" s="2">
        <f>Table1[[#This Row],[UnitPrice]]*Table1[[#This Row],[Quantity]]</f>
        <v>1628.79</v>
      </c>
      <c r="N678" s="2">
        <f>Table1[[#This Row],[CostPrice]]*Table1[[#This Row],[Quantity]]</f>
        <v>1060.23</v>
      </c>
      <c r="O678" s="2">
        <v>275.38</v>
      </c>
      <c r="P678" s="4">
        <v>0.18</v>
      </c>
      <c r="Q678" t="s">
        <v>44</v>
      </c>
      <c r="R678" s="4">
        <f t="shared" si="10"/>
        <v>0.16907029144334138</v>
      </c>
    </row>
    <row r="679" spans="1:18" x14ac:dyDescent="0.25">
      <c r="A679">
        <v>1791</v>
      </c>
      <c r="B679" s="1">
        <v>45430</v>
      </c>
      <c r="C679" t="s">
        <v>145</v>
      </c>
      <c r="D679" t="s">
        <v>25</v>
      </c>
      <c r="E679" t="s">
        <v>33</v>
      </c>
      <c r="F679" t="s">
        <v>40</v>
      </c>
      <c r="G679" t="s">
        <v>35</v>
      </c>
      <c r="H679" t="s">
        <v>36</v>
      </c>
      <c r="I679" t="s">
        <v>100</v>
      </c>
      <c r="J679">
        <v>6</v>
      </c>
      <c r="K679" s="3">
        <v>122.76</v>
      </c>
      <c r="L679" s="2">
        <v>101.05</v>
      </c>
      <c r="M679" s="2">
        <f>Table1[[#This Row],[UnitPrice]]*Table1[[#This Row],[Quantity]]</f>
        <v>736.56000000000006</v>
      </c>
      <c r="N679" s="2">
        <f>Table1[[#This Row],[CostPrice]]*Table1[[#This Row],[Quantity]]</f>
        <v>606.29999999999995</v>
      </c>
      <c r="O679" s="2">
        <v>-75.98</v>
      </c>
      <c r="P679" s="4">
        <v>0.28000000000000003</v>
      </c>
      <c r="Q679" t="s">
        <v>51</v>
      </c>
      <c r="R679" s="4">
        <f t="shared" si="10"/>
        <v>-0.10315520799391767</v>
      </c>
    </row>
    <row r="680" spans="1:18" x14ac:dyDescent="0.25">
      <c r="A680">
        <v>1038</v>
      </c>
      <c r="B680" s="1">
        <v>45433</v>
      </c>
      <c r="C680" t="s">
        <v>106</v>
      </c>
      <c r="D680" t="s">
        <v>25</v>
      </c>
      <c r="E680" t="s">
        <v>33</v>
      </c>
      <c r="F680" t="s">
        <v>34</v>
      </c>
      <c r="G680" t="s">
        <v>35</v>
      </c>
      <c r="H680" t="s">
        <v>36</v>
      </c>
      <c r="I680" t="s">
        <v>87</v>
      </c>
      <c r="J680">
        <v>9</v>
      </c>
      <c r="K680" s="3">
        <v>467.23</v>
      </c>
      <c r="L680" s="2">
        <v>324.77</v>
      </c>
      <c r="M680" s="2">
        <f>Table1[[#This Row],[UnitPrice]]*Table1[[#This Row],[Quantity]]</f>
        <v>4205.07</v>
      </c>
      <c r="N680" s="2">
        <f>Table1[[#This Row],[CostPrice]]*Table1[[#This Row],[Quantity]]</f>
        <v>2922.93</v>
      </c>
      <c r="O680" s="2">
        <v>104.72</v>
      </c>
      <c r="P680" s="4">
        <v>0.28000000000000003</v>
      </c>
      <c r="Q680" t="s">
        <v>44</v>
      </c>
      <c r="R680" s="4">
        <f t="shared" si="10"/>
        <v>2.490327152699004E-2</v>
      </c>
    </row>
    <row r="681" spans="1:18" x14ac:dyDescent="0.25">
      <c r="A681">
        <v>1468</v>
      </c>
      <c r="B681" s="1">
        <v>45433</v>
      </c>
      <c r="C681" t="s">
        <v>74</v>
      </c>
      <c r="D681" t="s">
        <v>25</v>
      </c>
      <c r="E681" t="s">
        <v>33</v>
      </c>
      <c r="F681" t="s">
        <v>19</v>
      </c>
      <c r="G681" t="s">
        <v>20</v>
      </c>
      <c r="H681" t="s">
        <v>113</v>
      </c>
      <c r="I681" t="s">
        <v>161</v>
      </c>
      <c r="J681">
        <v>1</v>
      </c>
      <c r="K681" s="3">
        <v>758.29</v>
      </c>
      <c r="L681" s="2">
        <v>554.54</v>
      </c>
      <c r="M681" s="2">
        <f>Table1[[#This Row],[UnitPrice]]*Table1[[#This Row],[Quantity]]</f>
        <v>758.29</v>
      </c>
      <c r="N681" s="2">
        <f>Table1[[#This Row],[CostPrice]]*Table1[[#This Row],[Quantity]]</f>
        <v>554.54</v>
      </c>
      <c r="O681" s="2">
        <v>97.59</v>
      </c>
      <c r="P681" s="4">
        <v>0.14000000000000001</v>
      </c>
      <c r="Q681" t="s">
        <v>30</v>
      </c>
      <c r="R681" s="4">
        <f t="shared" si="10"/>
        <v>0.12869746403091167</v>
      </c>
    </row>
    <row r="682" spans="1:18" x14ac:dyDescent="0.25">
      <c r="A682">
        <v>1611</v>
      </c>
      <c r="B682" s="1">
        <v>45433</v>
      </c>
      <c r="C682" t="s">
        <v>129</v>
      </c>
      <c r="D682" t="s">
        <v>32</v>
      </c>
      <c r="E682" t="s">
        <v>53</v>
      </c>
      <c r="F682" t="s">
        <v>27</v>
      </c>
      <c r="G682" t="s">
        <v>20</v>
      </c>
      <c r="H682" t="s">
        <v>21</v>
      </c>
      <c r="I682" t="s">
        <v>54</v>
      </c>
      <c r="J682">
        <v>4</v>
      </c>
      <c r="K682" s="3">
        <v>471.89</v>
      </c>
      <c r="L682" s="2">
        <v>308.3</v>
      </c>
      <c r="M682" s="2">
        <f>Table1[[#This Row],[UnitPrice]]*Table1[[#This Row],[Quantity]]</f>
        <v>1887.56</v>
      </c>
      <c r="N682" s="2">
        <f>Table1[[#This Row],[CostPrice]]*Table1[[#This Row],[Quantity]]</f>
        <v>1233.2</v>
      </c>
      <c r="O682" s="2">
        <v>371.23</v>
      </c>
      <c r="P682" s="4">
        <v>0.15</v>
      </c>
      <c r="Q682" t="s">
        <v>125</v>
      </c>
      <c r="R682" s="4">
        <f t="shared" si="10"/>
        <v>0.19667189387357226</v>
      </c>
    </row>
    <row r="683" spans="1:18" x14ac:dyDescent="0.25">
      <c r="A683">
        <v>1925</v>
      </c>
      <c r="B683" s="1">
        <v>45433</v>
      </c>
      <c r="C683" t="s">
        <v>212</v>
      </c>
      <c r="D683" t="s">
        <v>25</v>
      </c>
      <c r="E683" t="s">
        <v>26</v>
      </c>
      <c r="F683" t="s">
        <v>27</v>
      </c>
      <c r="G683" t="s">
        <v>20</v>
      </c>
      <c r="H683" t="s">
        <v>21</v>
      </c>
      <c r="I683" t="s">
        <v>22</v>
      </c>
      <c r="J683">
        <v>7</v>
      </c>
      <c r="K683" s="3">
        <v>267.06</v>
      </c>
      <c r="L683" s="2">
        <v>185.37</v>
      </c>
      <c r="M683" s="2">
        <f>Table1[[#This Row],[UnitPrice]]*Table1[[#This Row],[Quantity]]</f>
        <v>1869.42</v>
      </c>
      <c r="N683" s="2">
        <f>Table1[[#This Row],[CostPrice]]*Table1[[#This Row],[Quantity]]</f>
        <v>1297.5900000000001</v>
      </c>
      <c r="O683" s="2">
        <v>48.39</v>
      </c>
      <c r="P683" s="4">
        <v>0.28000000000000003</v>
      </c>
      <c r="Q683" t="s">
        <v>44</v>
      </c>
      <c r="R683" s="4">
        <f t="shared" si="10"/>
        <v>2.5885033860769648E-2</v>
      </c>
    </row>
    <row r="684" spans="1:18" x14ac:dyDescent="0.25">
      <c r="A684">
        <v>1242</v>
      </c>
      <c r="B684" s="1">
        <v>45435</v>
      </c>
      <c r="C684" t="s">
        <v>207</v>
      </c>
      <c r="D684" t="s">
        <v>32</v>
      </c>
      <c r="E684" t="s">
        <v>33</v>
      </c>
      <c r="F684" t="s">
        <v>27</v>
      </c>
      <c r="G684" t="s">
        <v>41</v>
      </c>
      <c r="H684" t="s">
        <v>42</v>
      </c>
      <c r="I684" t="s">
        <v>68</v>
      </c>
      <c r="J684">
        <v>3</v>
      </c>
      <c r="K684" s="3">
        <v>258.83999999999997</v>
      </c>
      <c r="L684" s="2">
        <v>138.74</v>
      </c>
      <c r="M684" s="2">
        <f>Table1[[#This Row],[UnitPrice]]*Table1[[#This Row],[Quantity]]</f>
        <v>776.52</v>
      </c>
      <c r="N684" s="2">
        <f>Table1[[#This Row],[CostPrice]]*Table1[[#This Row],[Quantity]]</f>
        <v>416.22</v>
      </c>
      <c r="O684" s="2">
        <v>228.29</v>
      </c>
      <c r="P684" s="4">
        <v>0.17</v>
      </c>
      <c r="Q684" t="s">
        <v>44</v>
      </c>
      <c r="R684" s="4">
        <f t="shared" si="10"/>
        <v>0.29399113995776027</v>
      </c>
    </row>
    <row r="685" spans="1:18" x14ac:dyDescent="0.25">
      <c r="A685">
        <v>1315</v>
      </c>
      <c r="B685" s="1">
        <v>45436</v>
      </c>
      <c r="C685" t="s">
        <v>248</v>
      </c>
      <c r="D685" t="s">
        <v>25</v>
      </c>
      <c r="E685" t="s">
        <v>33</v>
      </c>
      <c r="F685" t="s">
        <v>27</v>
      </c>
      <c r="G685" t="s">
        <v>35</v>
      </c>
      <c r="H685" t="s">
        <v>36</v>
      </c>
      <c r="I685" t="s">
        <v>100</v>
      </c>
      <c r="J685">
        <v>9</v>
      </c>
      <c r="K685" s="3">
        <v>5.17</v>
      </c>
      <c r="L685" s="2">
        <v>2.75</v>
      </c>
      <c r="M685" s="2">
        <f>Table1[[#This Row],[UnitPrice]]*Table1[[#This Row],[Quantity]]</f>
        <v>46.53</v>
      </c>
      <c r="N685" s="2">
        <f>Table1[[#This Row],[CostPrice]]*Table1[[#This Row],[Quantity]]</f>
        <v>24.75</v>
      </c>
      <c r="O685" s="2">
        <v>13.4</v>
      </c>
      <c r="P685" s="4">
        <v>0.18</v>
      </c>
      <c r="Q685" t="s">
        <v>125</v>
      </c>
      <c r="R685" s="4">
        <f t="shared" si="10"/>
        <v>0.28798624543305396</v>
      </c>
    </row>
    <row r="686" spans="1:18" x14ac:dyDescent="0.25">
      <c r="A686">
        <v>1068</v>
      </c>
      <c r="B686" s="1">
        <v>45437</v>
      </c>
      <c r="C686" t="s">
        <v>136</v>
      </c>
      <c r="D686" t="s">
        <v>25</v>
      </c>
      <c r="E686" t="s">
        <v>26</v>
      </c>
      <c r="F686" t="s">
        <v>40</v>
      </c>
      <c r="G686" t="s">
        <v>41</v>
      </c>
      <c r="H686" t="s">
        <v>42</v>
      </c>
      <c r="I686" t="s">
        <v>68</v>
      </c>
      <c r="J686">
        <v>8</v>
      </c>
      <c r="K686" s="3">
        <v>881.44</v>
      </c>
      <c r="L686" s="2">
        <v>590.26</v>
      </c>
      <c r="M686" s="2">
        <f>Table1[[#This Row],[UnitPrice]]*Table1[[#This Row],[Quantity]]</f>
        <v>7051.52</v>
      </c>
      <c r="N686" s="2">
        <f>Table1[[#This Row],[CostPrice]]*Table1[[#This Row],[Quantity]]</f>
        <v>4722.08</v>
      </c>
      <c r="O686" s="2">
        <v>2258.92</v>
      </c>
      <c r="P686" s="4">
        <v>0.01</v>
      </c>
      <c r="Q686" t="s">
        <v>125</v>
      </c>
      <c r="R686" s="4">
        <f t="shared" si="10"/>
        <v>0.32034511708113994</v>
      </c>
    </row>
    <row r="687" spans="1:18" x14ac:dyDescent="0.25">
      <c r="A687">
        <v>1793</v>
      </c>
      <c r="B687" s="1">
        <v>45438</v>
      </c>
      <c r="C687" t="s">
        <v>174</v>
      </c>
      <c r="D687" t="s">
        <v>32</v>
      </c>
      <c r="E687" t="s">
        <v>33</v>
      </c>
      <c r="F687" t="s">
        <v>34</v>
      </c>
      <c r="G687" t="s">
        <v>20</v>
      </c>
      <c r="H687" t="s">
        <v>113</v>
      </c>
      <c r="I687" t="s">
        <v>114</v>
      </c>
      <c r="J687">
        <v>6</v>
      </c>
      <c r="K687" s="3">
        <v>152.04</v>
      </c>
      <c r="L687" s="2">
        <v>99.79</v>
      </c>
      <c r="M687" s="2">
        <f>Table1[[#This Row],[UnitPrice]]*Table1[[#This Row],[Quantity]]</f>
        <v>912.24</v>
      </c>
      <c r="N687" s="2">
        <f>Table1[[#This Row],[CostPrice]]*Table1[[#This Row],[Quantity]]</f>
        <v>598.74</v>
      </c>
      <c r="O687" s="2">
        <v>94.56</v>
      </c>
      <c r="P687" s="4">
        <v>0.24</v>
      </c>
      <c r="Q687" t="s">
        <v>55</v>
      </c>
      <c r="R687" s="4">
        <f t="shared" si="10"/>
        <v>0.10365693238621415</v>
      </c>
    </row>
    <row r="688" spans="1:18" x14ac:dyDescent="0.25">
      <c r="A688">
        <v>1010</v>
      </c>
      <c r="B688" s="1">
        <v>45439</v>
      </c>
      <c r="C688" t="s">
        <v>62</v>
      </c>
      <c r="D688" t="s">
        <v>17</v>
      </c>
      <c r="E688" t="s">
        <v>33</v>
      </c>
      <c r="F688" t="s">
        <v>40</v>
      </c>
      <c r="G688" t="s">
        <v>41</v>
      </c>
      <c r="H688" t="s">
        <v>63</v>
      </c>
      <c r="I688" t="s">
        <v>64</v>
      </c>
      <c r="J688">
        <v>4</v>
      </c>
      <c r="K688" s="3">
        <v>157.08000000000001</v>
      </c>
      <c r="L688" s="2">
        <v>120.46</v>
      </c>
      <c r="M688" s="2">
        <f>Table1[[#This Row],[UnitPrice]]*Table1[[#This Row],[Quantity]]</f>
        <v>628.32000000000005</v>
      </c>
      <c r="N688" s="2">
        <f>Table1[[#This Row],[CostPrice]]*Table1[[#This Row],[Quantity]]</f>
        <v>481.84</v>
      </c>
      <c r="O688" s="2">
        <v>45.95</v>
      </c>
      <c r="P688" s="4">
        <v>0.16</v>
      </c>
      <c r="Q688" t="s">
        <v>38</v>
      </c>
      <c r="R688" s="4">
        <f t="shared" si="10"/>
        <v>7.3131525337407688E-2</v>
      </c>
    </row>
    <row r="689" spans="1:18" x14ac:dyDescent="0.25">
      <c r="A689">
        <v>1807</v>
      </c>
      <c r="B689" s="1">
        <v>45439</v>
      </c>
      <c r="C689" t="s">
        <v>208</v>
      </c>
      <c r="D689" t="s">
        <v>32</v>
      </c>
      <c r="E689" t="s">
        <v>18</v>
      </c>
      <c r="F689" t="s">
        <v>19</v>
      </c>
      <c r="G689" t="s">
        <v>41</v>
      </c>
      <c r="H689" t="s">
        <v>63</v>
      </c>
      <c r="I689" t="s">
        <v>141</v>
      </c>
      <c r="J689">
        <v>6</v>
      </c>
      <c r="K689" s="3">
        <v>410.25</v>
      </c>
      <c r="L689" s="2">
        <v>311.58999999999997</v>
      </c>
      <c r="M689" s="2">
        <f>Table1[[#This Row],[UnitPrice]]*Table1[[#This Row],[Quantity]]</f>
        <v>2461.5</v>
      </c>
      <c r="N689" s="2">
        <f>Table1[[#This Row],[CostPrice]]*Table1[[#This Row],[Quantity]]</f>
        <v>1869.54</v>
      </c>
      <c r="O689" s="2">
        <v>518.11</v>
      </c>
      <c r="P689" s="4">
        <v>0.03</v>
      </c>
      <c r="Q689" t="s">
        <v>92</v>
      </c>
      <c r="R689" s="4">
        <f t="shared" si="10"/>
        <v>0.21048547633556774</v>
      </c>
    </row>
    <row r="690" spans="1:18" x14ac:dyDescent="0.25">
      <c r="A690">
        <v>1894</v>
      </c>
      <c r="B690" s="1">
        <v>45439</v>
      </c>
      <c r="C690" t="s">
        <v>134</v>
      </c>
      <c r="D690" t="s">
        <v>17</v>
      </c>
      <c r="E690" t="s">
        <v>26</v>
      </c>
      <c r="F690" t="s">
        <v>34</v>
      </c>
      <c r="G690" t="s">
        <v>35</v>
      </c>
      <c r="H690" t="s">
        <v>49</v>
      </c>
      <c r="I690" t="s">
        <v>59</v>
      </c>
      <c r="J690">
        <v>7</v>
      </c>
      <c r="K690" s="3">
        <v>874.61</v>
      </c>
      <c r="L690" s="2">
        <v>611.53</v>
      </c>
      <c r="M690" s="2">
        <f>Table1[[#This Row],[UnitPrice]]*Table1[[#This Row],[Quantity]]</f>
        <v>6122.27</v>
      </c>
      <c r="N690" s="2">
        <f>Table1[[#This Row],[CostPrice]]*Table1[[#This Row],[Quantity]]</f>
        <v>4280.71</v>
      </c>
      <c r="O690" s="2">
        <v>1596.67</v>
      </c>
      <c r="P690" s="4">
        <v>0.04</v>
      </c>
      <c r="Q690" t="s">
        <v>38</v>
      </c>
      <c r="R690" s="4">
        <f t="shared" si="10"/>
        <v>0.26079705730064173</v>
      </c>
    </row>
    <row r="691" spans="1:18" x14ac:dyDescent="0.25">
      <c r="A691">
        <v>1358</v>
      </c>
      <c r="B691" s="1">
        <v>45442</v>
      </c>
      <c r="C691" t="s">
        <v>183</v>
      </c>
      <c r="D691" t="s">
        <v>25</v>
      </c>
      <c r="E691" t="s">
        <v>53</v>
      </c>
      <c r="F691" t="s">
        <v>19</v>
      </c>
      <c r="G691" t="s">
        <v>41</v>
      </c>
      <c r="H691" t="s">
        <v>63</v>
      </c>
      <c r="I691" t="s">
        <v>141</v>
      </c>
      <c r="J691">
        <v>7</v>
      </c>
      <c r="K691" s="3">
        <v>524.42999999999995</v>
      </c>
      <c r="L691" s="2">
        <v>330.2</v>
      </c>
      <c r="M691" s="2">
        <f>Table1[[#This Row],[UnitPrice]]*Table1[[#This Row],[Quantity]]</f>
        <v>3671.0099999999998</v>
      </c>
      <c r="N691" s="2">
        <f>Table1[[#This Row],[CostPrice]]*Table1[[#This Row],[Quantity]]</f>
        <v>2311.4</v>
      </c>
      <c r="O691" s="2">
        <v>1322.9</v>
      </c>
      <c r="P691" s="4">
        <v>0.01</v>
      </c>
      <c r="Q691" t="s">
        <v>38</v>
      </c>
      <c r="R691" s="4">
        <f t="shared" si="10"/>
        <v>0.36036404150356444</v>
      </c>
    </row>
    <row r="692" spans="1:18" x14ac:dyDescent="0.25">
      <c r="A692">
        <v>1320</v>
      </c>
      <c r="B692" s="1">
        <v>45443</v>
      </c>
      <c r="C692" t="s">
        <v>217</v>
      </c>
      <c r="D692" t="s">
        <v>25</v>
      </c>
      <c r="E692" t="s">
        <v>33</v>
      </c>
      <c r="F692" t="s">
        <v>27</v>
      </c>
      <c r="G692" t="s">
        <v>41</v>
      </c>
      <c r="H692" t="s">
        <v>46</v>
      </c>
      <c r="I692" t="s">
        <v>102</v>
      </c>
      <c r="J692">
        <v>3</v>
      </c>
      <c r="K692" s="3">
        <v>693.36</v>
      </c>
      <c r="L692" s="2">
        <v>388.82</v>
      </c>
      <c r="M692" s="2">
        <f>Table1[[#This Row],[UnitPrice]]*Table1[[#This Row],[Quantity]]</f>
        <v>2080.08</v>
      </c>
      <c r="N692" s="2">
        <f>Table1[[#This Row],[CostPrice]]*Table1[[#This Row],[Quantity]]</f>
        <v>1166.46</v>
      </c>
      <c r="O692" s="2">
        <v>414.4</v>
      </c>
      <c r="P692" s="4">
        <v>0.24</v>
      </c>
      <c r="Q692" t="s">
        <v>44</v>
      </c>
      <c r="R692" s="4">
        <f t="shared" si="10"/>
        <v>0.19922310680358446</v>
      </c>
    </row>
    <row r="693" spans="1:18" x14ac:dyDescent="0.25">
      <c r="A693">
        <v>1034</v>
      </c>
      <c r="B693" s="1">
        <v>45357</v>
      </c>
      <c r="C693" t="s">
        <v>101</v>
      </c>
      <c r="D693" t="s">
        <v>32</v>
      </c>
      <c r="E693" t="s">
        <v>18</v>
      </c>
      <c r="F693" t="s">
        <v>27</v>
      </c>
      <c r="G693" t="s">
        <v>41</v>
      </c>
      <c r="H693" t="s">
        <v>46</v>
      </c>
      <c r="I693" t="s">
        <v>102</v>
      </c>
      <c r="J693">
        <v>3</v>
      </c>
      <c r="K693" s="3">
        <v>195.88</v>
      </c>
      <c r="L693" s="2">
        <v>143.53</v>
      </c>
      <c r="M693" s="2">
        <f>Table1[[#This Row],[UnitPrice]]*Table1[[#This Row],[Quantity]]</f>
        <v>587.64</v>
      </c>
      <c r="N693" s="2">
        <f>Table1[[#This Row],[CostPrice]]*Table1[[#This Row],[Quantity]]</f>
        <v>430.59000000000003</v>
      </c>
      <c r="O693" s="2">
        <v>92.41</v>
      </c>
      <c r="P693" s="4">
        <v>0.11</v>
      </c>
      <c r="Q693" t="s">
        <v>92</v>
      </c>
      <c r="R693" s="4">
        <f t="shared" si="10"/>
        <v>0.15725614321693554</v>
      </c>
    </row>
    <row r="694" spans="1:18" x14ac:dyDescent="0.25">
      <c r="A694">
        <v>1099</v>
      </c>
      <c r="B694" s="1">
        <v>45357</v>
      </c>
      <c r="C694" t="s">
        <v>149</v>
      </c>
      <c r="D694" t="s">
        <v>17</v>
      </c>
      <c r="E694" t="s">
        <v>53</v>
      </c>
      <c r="F694" t="s">
        <v>19</v>
      </c>
      <c r="G694" t="s">
        <v>20</v>
      </c>
      <c r="H694" t="s">
        <v>28</v>
      </c>
      <c r="I694" t="s">
        <v>29</v>
      </c>
      <c r="J694">
        <v>2</v>
      </c>
      <c r="K694" s="3">
        <v>763.79</v>
      </c>
      <c r="L694" s="2">
        <v>535.37</v>
      </c>
      <c r="M694" s="2">
        <f>Table1[[#This Row],[UnitPrice]]*Table1[[#This Row],[Quantity]]</f>
        <v>1527.58</v>
      </c>
      <c r="N694" s="2">
        <f>Table1[[#This Row],[CostPrice]]*Table1[[#This Row],[Quantity]]</f>
        <v>1070.74</v>
      </c>
      <c r="O694" s="2">
        <v>90.22</v>
      </c>
      <c r="P694" s="4">
        <v>0.24</v>
      </c>
      <c r="Q694" t="s">
        <v>38</v>
      </c>
      <c r="R694" s="4">
        <f t="shared" si="10"/>
        <v>5.9060736589900367E-2</v>
      </c>
    </row>
    <row r="695" spans="1:18" x14ac:dyDescent="0.25">
      <c r="A695">
        <v>1111</v>
      </c>
      <c r="B695" s="1">
        <v>45357</v>
      </c>
      <c r="C695" t="s">
        <v>168</v>
      </c>
      <c r="D695" t="s">
        <v>32</v>
      </c>
      <c r="E695" t="s">
        <v>53</v>
      </c>
      <c r="F695" t="s">
        <v>34</v>
      </c>
      <c r="G695" t="s">
        <v>20</v>
      </c>
      <c r="H695" t="s">
        <v>28</v>
      </c>
      <c r="I695" t="s">
        <v>29</v>
      </c>
      <c r="J695">
        <v>2</v>
      </c>
      <c r="K695" s="3">
        <v>646.44000000000005</v>
      </c>
      <c r="L695" s="2">
        <v>544.35</v>
      </c>
      <c r="M695" s="2">
        <f>Table1[[#This Row],[UnitPrice]]*Table1[[#This Row],[Quantity]]</f>
        <v>1292.8800000000001</v>
      </c>
      <c r="N695" s="2">
        <f>Table1[[#This Row],[CostPrice]]*Table1[[#This Row],[Quantity]]</f>
        <v>1088.7</v>
      </c>
      <c r="O695" s="2">
        <v>165.39</v>
      </c>
      <c r="P695" s="4">
        <v>0.03</v>
      </c>
      <c r="Q695" t="s">
        <v>125</v>
      </c>
      <c r="R695" s="4">
        <f t="shared" si="10"/>
        <v>0.12792370521626134</v>
      </c>
    </row>
    <row r="696" spans="1:18" x14ac:dyDescent="0.25">
      <c r="A696">
        <v>1112</v>
      </c>
      <c r="B696" s="1">
        <v>45357</v>
      </c>
      <c r="C696" t="s">
        <v>78</v>
      </c>
      <c r="D696" t="s">
        <v>17</v>
      </c>
      <c r="E696" t="s">
        <v>33</v>
      </c>
      <c r="F696" t="s">
        <v>27</v>
      </c>
      <c r="G696" t="s">
        <v>41</v>
      </c>
      <c r="H696" t="s">
        <v>63</v>
      </c>
      <c r="I696" t="s">
        <v>141</v>
      </c>
      <c r="J696">
        <v>6</v>
      </c>
      <c r="K696" s="3">
        <v>606.98</v>
      </c>
      <c r="L696" s="2">
        <v>410</v>
      </c>
      <c r="M696" s="2">
        <f>Table1[[#This Row],[UnitPrice]]*Table1[[#This Row],[Quantity]]</f>
        <v>3641.88</v>
      </c>
      <c r="N696" s="2">
        <f>Table1[[#This Row],[CostPrice]]*Table1[[#This Row],[Quantity]]</f>
        <v>2460</v>
      </c>
      <c r="O696" s="2">
        <v>125.73</v>
      </c>
      <c r="P696" s="4">
        <v>0.28999999999999998</v>
      </c>
      <c r="Q696" t="s">
        <v>55</v>
      </c>
      <c r="R696" s="4">
        <f t="shared" si="10"/>
        <v>3.4523378035520115E-2</v>
      </c>
    </row>
    <row r="697" spans="1:18" x14ac:dyDescent="0.25">
      <c r="A697">
        <v>1127</v>
      </c>
      <c r="B697" s="1">
        <v>45357</v>
      </c>
      <c r="C697" t="s">
        <v>181</v>
      </c>
      <c r="D697" t="s">
        <v>32</v>
      </c>
      <c r="E697" t="s">
        <v>53</v>
      </c>
      <c r="F697" t="s">
        <v>34</v>
      </c>
      <c r="G697" t="s">
        <v>41</v>
      </c>
      <c r="H697" t="s">
        <v>46</v>
      </c>
      <c r="I697" t="s">
        <v>57</v>
      </c>
      <c r="J697">
        <v>5</v>
      </c>
      <c r="K697" s="3">
        <v>748.58</v>
      </c>
      <c r="L697" s="2">
        <v>467.85</v>
      </c>
      <c r="M697" s="2">
        <f>Table1[[#This Row],[UnitPrice]]*Table1[[#This Row],[Quantity]]</f>
        <v>3742.9</v>
      </c>
      <c r="N697" s="2">
        <f>Table1[[#This Row],[CostPrice]]*Table1[[#This Row],[Quantity]]</f>
        <v>2339.25</v>
      </c>
      <c r="O697" s="2">
        <v>1328.79</v>
      </c>
      <c r="P697" s="4">
        <v>0.02</v>
      </c>
      <c r="Q697" t="s">
        <v>23</v>
      </c>
      <c r="R697" s="4">
        <f t="shared" si="10"/>
        <v>0.35501616393705415</v>
      </c>
    </row>
    <row r="698" spans="1:18" x14ac:dyDescent="0.25">
      <c r="A698">
        <v>1154</v>
      </c>
      <c r="B698" s="1">
        <v>45357</v>
      </c>
      <c r="C698" t="s">
        <v>194</v>
      </c>
      <c r="D698" t="s">
        <v>17</v>
      </c>
      <c r="E698" t="s">
        <v>53</v>
      </c>
      <c r="F698" t="s">
        <v>40</v>
      </c>
      <c r="G698" t="s">
        <v>35</v>
      </c>
      <c r="H698" t="s">
        <v>36</v>
      </c>
      <c r="I698" t="s">
        <v>37</v>
      </c>
      <c r="J698">
        <v>6</v>
      </c>
      <c r="K698" s="3">
        <v>675.44</v>
      </c>
      <c r="L698" s="2">
        <v>569.37</v>
      </c>
      <c r="M698" s="2">
        <f>Table1[[#This Row],[UnitPrice]]*Table1[[#This Row],[Quantity]]</f>
        <v>4052.6400000000003</v>
      </c>
      <c r="N698" s="2">
        <f>Table1[[#This Row],[CostPrice]]*Table1[[#This Row],[Quantity]]</f>
        <v>3416.2200000000003</v>
      </c>
      <c r="O698" s="2">
        <v>-93.06</v>
      </c>
      <c r="P698" s="4">
        <v>0.18</v>
      </c>
      <c r="Q698" t="s">
        <v>51</v>
      </c>
      <c r="R698" s="4">
        <f t="shared" si="10"/>
        <v>-2.2962809427928461E-2</v>
      </c>
    </row>
    <row r="699" spans="1:18" x14ac:dyDescent="0.25">
      <c r="A699">
        <v>1346</v>
      </c>
      <c r="B699" s="1">
        <v>45357</v>
      </c>
      <c r="C699" t="s">
        <v>254</v>
      </c>
      <c r="D699" t="s">
        <v>17</v>
      </c>
      <c r="E699" t="s">
        <v>53</v>
      </c>
      <c r="F699" t="s">
        <v>19</v>
      </c>
      <c r="G699" t="s">
        <v>20</v>
      </c>
      <c r="H699" t="s">
        <v>113</v>
      </c>
      <c r="I699" t="s">
        <v>153</v>
      </c>
      <c r="J699">
        <v>9</v>
      </c>
      <c r="K699" s="3">
        <v>894.52</v>
      </c>
      <c r="L699" s="2">
        <v>616.22</v>
      </c>
      <c r="M699" s="2">
        <f>Table1[[#This Row],[UnitPrice]]*Table1[[#This Row],[Quantity]]</f>
        <v>8050.68</v>
      </c>
      <c r="N699" s="2">
        <f>Table1[[#This Row],[CostPrice]]*Table1[[#This Row],[Quantity]]</f>
        <v>5545.9800000000005</v>
      </c>
      <c r="O699" s="2">
        <v>894.56</v>
      </c>
      <c r="P699" s="4">
        <v>0.2</v>
      </c>
      <c r="Q699" t="s">
        <v>92</v>
      </c>
      <c r="R699" s="4">
        <f t="shared" si="10"/>
        <v>0.11111607963550904</v>
      </c>
    </row>
    <row r="700" spans="1:18" x14ac:dyDescent="0.25">
      <c r="A700">
        <v>1334</v>
      </c>
      <c r="B700" s="1">
        <v>45388</v>
      </c>
      <c r="C700" t="s">
        <v>188</v>
      </c>
      <c r="D700" t="s">
        <v>25</v>
      </c>
      <c r="E700" t="s">
        <v>18</v>
      </c>
      <c r="F700" t="s">
        <v>19</v>
      </c>
      <c r="G700" t="s">
        <v>35</v>
      </c>
      <c r="H700" t="s">
        <v>70</v>
      </c>
      <c r="I700" t="s">
        <v>98</v>
      </c>
      <c r="J700">
        <v>2</v>
      </c>
      <c r="K700" s="3">
        <v>171.56</v>
      </c>
      <c r="L700" s="2">
        <v>143.19999999999999</v>
      </c>
      <c r="M700" s="2">
        <f>Table1[[#This Row],[UnitPrice]]*Table1[[#This Row],[Quantity]]</f>
        <v>343.12</v>
      </c>
      <c r="N700" s="2">
        <f>Table1[[#This Row],[CostPrice]]*Table1[[#This Row],[Quantity]]</f>
        <v>286.39999999999998</v>
      </c>
      <c r="O700" s="2">
        <v>1.82</v>
      </c>
      <c r="P700" s="4">
        <v>0.16</v>
      </c>
      <c r="Q700" t="s">
        <v>51</v>
      </c>
      <c r="R700" s="4">
        <f t="shared" si="10"/>
        <v>5.3042667288412219E-3</v>
      </c>
    </row>
    <row r="701" spans="1:18" x14ac:dyDescent="0.25">
      <c r="A701">
        <v>1070</v>
      </c>
      <c r="B701" s="1">
        <v>45418</v>
      </c>
      <c r="C701" t="s">
        <v>138</v>
      </c>
      <c r="D701" t="s">
        <v>32</v>
      </c>
      <c r="E701" t="s">
        <v>53</v>
      </c>
      <c r="F701" t="s">
        <v>27</v>
      </c>
      <c r="G701" t="s">
        <v>20</v>
      </c>
      <c r="H701" t="s">
        <v>28</v>
      </c>
      <c r="I701" t="s">
        <v>81</v>
      </c>
      <c r="J701">
        <v>7</v>
      </c>
      <c r="K701" s="3">
        <v>194.66</v>
      </c>
      <c r="L701" s="2">
        <v>138.16999999999999</v>
      </c>
      <c r="M701" s="2">
        <f>Table1[[#This Row],[UnitPrice]]*Table1[[#This Row],[Quantity]]</f>
        <v>1362.62</v>
      </c>
      <c r="N701" s="2">
        <f>Table1[[#This Row],[CostPrice]]*Table1[[#This Row],[Quantity]]</f>
        <v>967.18999999999994</v>
      </c>
      <c r="O701" s="2">
        <v>95.65</v>
      </c>
      <c r="P701" s="4">
        <v>0.22</v>
      </c>
      <c r="Q701" t="s">
        <v>92</v>
      </c>
      <c r="R701" s="4">
        <f t="shared" si="10"/>
        <v>7.019565249299145E-2</v>
      </c>
    </row>
    <row r="702" spans="1:18" x14ac:dyDescent="0.25">
      <c r="A702">
        <v>1036</v>
      </c>
      <c r="B702" s="1">
        <v>45479</v>
      </c>
      <c r="C702" t="s">
        <v>104</v>
      </c>
      <c r="D702" t="s">
        <v>17</v>
      </c>
      <c r="E702" t="s">
        <v>26</v>
      </c>
      <c r="F702" t="s">
        <v>34</v>
      </c>
      <c r="G702" t="s">
        <v>35</v>
      </c>
      <c r="H702" t="s">
        <v>70</v>
      </c>
      <c r="I702" t="s">
        <v>84</v>
      </c>
      <c r="J702">
        <v>10</v>
      </c>
      <c r="K702" s="3">
        <v>338.51</v>
      </c>
      <c r="L702" s="2">
        <v>266.22000000000003</v>
      </c>
      <c r="M702" s="2">
        <f>Table1[[#This Row],[UnitPrice]]*Table1[[#This Row],[Quantity]]</f>
        <v>3385.1</v>
      </c>
      <c r="N702" s="2">
        <f>Table1[[#This Row],[CostPrice]]*Table1[[#This Row],[Quantity]]</f>
        <v>2662.2000000000003</v>
      </c>
      <c r="O702" s="2">
        <v>-55.67</v>
      </c>
      <c r="P702" s="4">
        <v>0.23</v>
      </c>
      <c r="Q702" t="s">
        <v>30</v>
      </c>
      <c r="R702" s="4">
        <f t="shared" si="10"/>
        <v>-1.6445599834569141E-2</v>
      </c>
    </row>
    <row r="703" spans="1:18" x14ac:dyDescent="0.25">
      <c r="A703">
        <v>1920</v>
      </c>
      <c r="B703" s="1">
        <v>45479</v>
      </c>
      <c r="C703" t="s">
        <v>97</v>
      </c>
      <c r="D703" t="s">
        <v>17</v>
      </c>
      <c r="E703" t="s">
        <v>18</v>
      </c>
      <c r="F703" t="s">
        <v>19</v>
      </c>
      <c r="G703" t="s">
        <v>35</v>
      </c>
      <c r="H703" t="s">
        <v>70</v>
      </c>
      <c r="I703" t="s">
        <v>98</v>
      </c>
      <c r="J703">
        <v>3</v>
      </c>
      <c r="K703" s="3">
        <v>384.18</v>
      </c>
      <c r="L703" s="2">
        <v>326.26</v>
      </c>
      <c r="M703" s="2">
        <f>Table1[[#This Row],[UnitPrice]]*Table1[[#This Row],[Quantity]]</f>
        <v>1152.54</v>
      </c>
      <c r="N703" s="2">
        <f>Table1[[#This Row],[CostPrice]]*Table1[[#This Row],[Quantity]]</f>
        <v>978.78</v>
      </c>
      <c r="O703" s="2">
        <v>150.71</v>
      </c>
      <c r="P703" s="4">
        <v>0.02</v>
      </c>
      <c r="Q703" t="s">
        <v>44</v>
      </c>
      <c r="R703" s="4">
        <f t="shared" si="10"/>
        <v>0.13076335745397125</v>
      </c>
    </row>
    <row r="704" spans="1:18" x14ac:dyDescent="0.25">
      <c r="A704">
        <v>1814</v>
      </c>
      <c r="B704" s="1">
        <v>45510</v>
      </c>
      <c r="C704" t="s">
        <v>294</v>
      </c>
      <c r="D704" t="s">
        <v>32</v>
      </c>
      <c r="E704" t="s">
        <v>18</v>
      </c>
      <c r="F704" t="s">
        <v>34</v>
      </c>
      <c r="G704" t="s">
        <v>41</v>
      </c>
      <c r="H704" t="s">
        <v>46</v>
      </c>
      <c r="I704" t="s">
        <v>102</v>
      </c>
      <c r="J704">
        <v>8</v>
      </c>
      <c r="K704" s="3">
        <v>266.51</v>
      </c>
      <c r="L704" s="2">
        <v>214.92</v>
      </c>
      <c r="M704" s="2">
        <f>Table1[[#This Row],[UnitPrice]]*Table1[[#This Row],[Quantity]]</f>
        <v>2132.08</v>
      </c>
      <c r="N704" s="2">
        <f>Table1[[#This Row],[CostPrice]]*Table1[[#This Row],[Quantity]]</f>
        <v>1719.36</v>
      </c>
      <c r="O704" s="2">
        <v>-13.7</v>
      </c>
      <c r="P704" s="4">
        <v>0.2</v>
      </c>
      <c r="Q704" t="s">
        <v>125</v>
      </c>
      <c r="R704" s="4">
        <f t="shared" si="10"/>
        <v>-6.4256500694157819E-3</v>
      </c>
    </row>
    <row r="705" spans="1:18" x14ac:dyDescent="0.25">
      <c r="A705">
        <v>1950</v>
      </c>
      <c r="B705" s="1">
        <v>45510</v>
      </c>
      <c r="C705" t="s">
        <v>203</v>
      </c>
      <c r="D705" t="s">
        <v>32</v>
      </c>
      <c r="E705" t="s">
        <v>18</v>
      </c>
      <c r="F705" t="s">
        <v>27</v>
      </c>
      <c r="G705" t="s">
        <v>20</v>
      </c>
      <c r="H705" t="s">
        <v>21</v>
      </c>
      <c r="I705" t="s">
        <v>54</v>
      </c>
      <c r="J705">
        <v>10</v>
      </c>
      <c r="K705" s="3">
        <v>474.04</v>
      </c>
      <c r="L705" s="2">
        <v>285.33999999999997</v>
      </c>
      <c r="M705" s="2">
        <f>Table1[[#This Row],[UnitPrice]]*Table1[[#This Row],[Quantity]]</f>
        <v>4740.4000000000005</v>
      </c>
      <c r="N705" s="2">
        <f>Table1[[#This Row],[CostPrice]]*Table1[[#This Row],[Quantity]]</f>
        <v>2853.3999999999996</v>
      </c>
      <c r="O705" s="2">
        <v>1744.79</v>
      </c>
      <c r="P705" s="4">
        <v>0.03</v>
      </c>
      <c r="Q705" t="s">
        <v>75</v>
      </c>
      <c r="R705" s="4">
        <f t="shared" si="10"/>
        <v>0.36806809551936542</v>
      </c>
    </row>
    <row r="706" spans="1:18" x14ac:dyDescent="0.25">
      <c r="A706">
        <v>1093</v>
      </c>
      <c r="B706" s="1">
        <v>45541</v>
      </c>
      <c r="C706" t="s">
        <v>143</v>
      </c>
      <c r="D706" t="s">
        <v>32</v>
      </c>
      <c r="E706" t="s">
        <v>26</v>
      </c>
      <c r="F706" t="s">
        <v>34</v>
      </c>
      <c r="G706" t="s">
        <v>41</v>
      </c>
      <c r="H706" t="s">
        <v>63</v>
      </c>
      <c r="I706" t="s">
        <v>64</v>
      </c>
      <c r="J706">
        <v>5</v>
      </c>
      <c r="K706" s="3">
        <v>460.75</v>
      </c>
      <c r="L706" s="2">
        <v>385.84</v>
      </c>
      <c r="M706" s="2">
        <f>Table1[[#This Row],[UnitPrice]]*Table1[[#This Row],[Quantity]]</f>
        <v>2303.75</v>
      </c>
      <c r="N706" s="2">
        <f>Table1[[#This Row],[CostPrice]]*Table1[[#This Row],[Quantity]]</f>
        <v>1929.1999999999998</v>
      </c>
      <c r="O706" s="2">
        <v>328.48</v>
      </c>
      <c r="P706" s="4">
        <v>0.02</v>
      </c>
      <c r="Q706" t="s">
        <v>55</v>
      </c>
      <c r="R706" s="4">
        <f t="shared" ref="R706:R769" si="11">O706/M706</f>
        <v>0.14258491589799241</v>
      </c>
    </row>
    <row r="707" spans="1:18" x14ac:dyDescent="0.25">
      <c r="A707">
        <v>1370</v>
      </c>
      <c r="B707" s="1">
        <v>45541</v>
      </c>
      <c r="C707" t="s">
        <v>144</v>
      </c>
      <c r="D707" t="s">
        <v>17</v>
      </c>
      <c r="E707" t="s">
        <v>18</v>
      </c>
      <c r="F707" t="s">
        <v>27</v>
      </c>
      <c r="G707" t="s">
        <v>35</v>
      </c>
      <c r="H707" t="s">
        <v>70</v>
      </c>
      <c r="I707" t="s">
        <v>71</v>
      </c>
      <c r="J707">
        <v>4</v>
      </c>
      <c r="K707" s="3">
        <v>758.69</v>
      </c>
      <c r="L707" s="2">
        <v>634.59</v>
      </c>
      <c r="M707" s="2">
        <f>Table1[[#This Row],[UnitPrice]]*Table1[[#This Row],[Quantity]]</f>
        <v>3034.76</v>
      </c>
      <c r="N707" s="2">
        <f>Table1[[#This Row],[CostPrice]]*Table1[[#This Row],[Quantity]]</f>
        <v>2538.36</v>
      </c>
      <c r="O707" s="2">
        <v>71.53</v>
      </c>
      <c r="P707" s="4">
        <v>0.14000000000000001</v>
      </c>
      <c r="Q707" t="s">
        <v>55</v>
      </c>
      <c r="R707" s="4">
        <f t="shared" si="11"/>
        <v>2.3570232901448548E-2</v>
      </c>
    </row>
    <row r="708" spans="1:18" x14ac:dyDescent="0.25">
      <c r="A708">
        <v>1130</v>
      </c>
      <c r="B708" s="1">
        <v>45602</v>
      </c>
      <c r="C708" t="s">
        <v>147</v>
      </c>
      <c r="D708" t="s">
        <v>17</v>
      </c>
      <c r="E708" t="s">
        <v>53</v>
      </c>
      <c r="F708" t="s">
        <v>40</v>
      </c>
      <c r="G708" t="s">
        <v>20</v>
      </c>
      <c r="H708" t="s">
        <v>113</v>
      </c>
      <c r="I708" t="s">
        <v>114</v>
      </c>
      <c r="J708">
        <v>5</v>
      </c>
      <c r="K708" s="3">
        <v>360.19</v>
      </c>
      <c r="L708" s="2">
        <v>278.52999999999997</v>
      </c>
      <c r="M708" s="2">
        <f>Table1[[#This Row],[UnitPrice]]*Table1[[#This Row],[Quantity]]</f>
        <v>1800.95</v>
      </c>
      <c r="N708" s="2">
        <f>Table1[[#This Row],[CostPrice]]*Table1[[#This Row],[Quantity]]</f>
        <v>1392.6499999999999</v>
      </c>
      <c r="O708" s="2">
        <v>-59.95</v>
      </c>
      <c r="P708" s="4">
        <v>0.26</v>
      </c>
      <c r="Q708" t="s">
        <v>85</v>
      </c>
      <c r="R708" s="4">
        <f t="shared" si="11"/>
        <v>-3.3287986895804991E-2</v>
      </c>
    </row>
    <row r="709" spans="1:18" x14ac:dyDescent="0.25">
      <c r="A709">
        <v>1681</v>
      </c>
      <c r="B709" s="1">
        <v>45632</v>
      </c>
      <c r="C709" t="s">
        <v>271</v>
      </c>
      <c r="D709" t="s">
        <v>17</v>
      </c>
      <c r="E709" t="s">
        <v>53</v>
      </c>
      <c r="F709" t="s">
        <v>27</v>
      </c>
      <c r="G709" t="s">
        <v>35</v>
      </c>
      <c r="H709" t="s">
        <v>36</v>
      </c>
      <c r="I709" t="s">
        <v>37</v>
      </c>
      <c r="J709">
        <v>4</v>
      </c>
      <c r="K709" s="3">
        <v>431.65</v>
      </c>
      <c r="L709" s="2">
        <v>358.13</v>
      </c>
      <c r="M709" s="2">
        <f>Table1[[#This Row],[UnitPrice]]*Table1[[#This Row],[Quantity]]</f>
        <v>1726.6</v>
      </c>
      <c r="N709" s="2">
        <f>Table1[[#This Row],[CostPrice]]*Table1[[#This Row],[Quantity]]</f>
        <v>1432.52</v>
      </c>
      <c r="O709" s="2">
        <v>69.62</v>
      </c>
      <c r="P709" s="4">
        <v>0.13</v>
      </c>
      <c r="Q709" t="s">
        <v>55</v>
      </c>
      <c r="R709" s="4">
        <f t="shared" si="11"/>
        <v>4.0322020155218352E-2</v>
      </c>
    </row>
    <row r="710" spans="1:18" x14ac:dyDescent="0.25">
      <c r="A710">
        <v>1351</v>
      </c>
      <c r="B710" s="1">
        <v>45456</v>
      </c>
      <c r="C710" t="s">
        <v>86</v>
      </c>
      <c r="D710" t="s">
        <v>25</v>
      </c>
      <c r="E710" t="s">
        <v>53</v>
      </c>
      <c r="F710" t="s">
        <v>40</v>
      </c>
      <c r="G710" t="s">
        <v>35</v>
      </c>
      <c r="H710" t="s">
        <v>49</v>
      </c>
      <c r="I710" t="s">
        <v>50</v>
      </c>
      <c r="J710">
        <v>10</v>
      </c>
      <c r="K710" s="3">
        <v>11.56</v>
      </c>
      <c r="L710" s="2">
        <v>9.35</v>
      </c>
      <c r="M710" s="2">
        <f>Table1[[#This Row],[UnitPrice]]*Table1[[#This Row],[Quantity]]</f>
        <v>115.60000000000001</v>
      </c>
      <c r="N710" s="2">
        <f>Table1[[#This Row],[CostPrice]]*Table1[[#This Row],[Quantity]]</f>
        <v>93.5</v>
      </c>
      <c r="O710" s="2">
        <v>7.07</v>
      </c>
      <c r="P710" s="4">
        <v>0.13</v>
      </c>
      <c r="Q710" t="s">
        <v>23</v>
      </c>
      <c r="R710" s="4">
        <f t="shared" si="11"/>
        <v>6.1159169550173011E-2</v>
      </c>
    </row>
    <row r="711" spans="1:18" x14ac:dyDescent="0.25">
      <c r="A711">
        <v>1231</v>
      </c>
      <c r="B711" s="1">
        <v>45458</v>
      </c>
      <c r="C711" t="s">
        <v>136</v>
      </c>
      <c r="D711" t="s">
        <v>25</v>
      </c>
      <c r="E711" t="s">
        <v>33</v>
      </c>
      <c r="F711" t="s">
        <v>40</v>
      </c>
      <c r="G711" t="s">
        <v>20</v>
      </c>
      <c r="H711" t="s">
        <v>28</v>
      </c>
      <c r="I711" t="s">
        <v>81</v>
      </c>
      <c r="J711">
        <v>8</v>
      </c>
      <c r="K711" s="3">
        <v>75.47</v>
      </c>
      <c r="L711" s="2">
        <v>47.85</v>
      </c>
      <c r="M711" s="2">
        <f>Table1[[#This Row],[UnitPrice]]*Table1[[#This Row],[Quantity]]</f>
        <v>603.76</v>
      </c>
      <c r="N711" s="2">
        <f>Table1[[#This Row],[CostPrice]]*Table1[[#This Row],[Quantity]]</f>
        <v>382.8</v>
      </c>
      <c r="O711" s="2">
        <v>88.13</v>
      </c>
      <c r="P711" s="4">
        <v>0.22</v>
      </c>
      <c r="Q711" t="s">
        <v>44</v>
      </c>
      <c r="R711" s="4">
        <f t="shared" si="11"/>
        <v>0.14596859679342786</v>
      </c>
    </row>
    <row r="712" spans="1:18" x14ac:dyDescent="0.25">
      <c r="A712">
        <v>1312</v>
      </c>
      <c r="B712" s="1">
        <v>45458</v>
      </c>
      <c r="C712" t="s">
        <v>164</v>
      </c>
      <c r="D712" t="s">
        <v>17</v>
      </c>
      <c r="E712" t="s">
        <v>33</v>
      </c>
      <c r="F712" t="s">
        <v>27</v>
      </c>
      <c r="G712" t="s">
        <v>41</v>
      </c>
      <c r="H712" t="s">
        <v>63</v>
      </c>
      <c r="I712" t="s">
        <v>141</v>
      </c>
      <c r="J712">
        <v>8</v>
      </c>
      <c r="K712" s="3">
        <v>349.02</v>
      </c>
      <c r="L712" s="2">
        <v>257.12</v>
      </c>
      <c r="M712" s="2">
        <f>Table1[[#This Row],[UnitPrice]]*Table1[[#This Row],[Quantity]]</f>
        <v>2792.16</v>
      </c>
      <c r="N712" s="2">
        <f>Table1[[#This Row],[CostPrice]]*Table1[[#This Row],[Quantity]]</f>
        <v>2056.96</v>
      </c>
      <c r="O712" s="2">
        <v>400.14</v>
      </c>
      <c r="P712" s="4">
        <v>0.12</v>
      </c>
      <c r="Q712" t="s">
        <v>38</v>
      </c>
      <c r="R712" s="4">
        <f t="shared" si="11"/>
        <v>0.14330840639504899</v>
      </c>
    </row>
    <row r="713" spans="1:18" x14ac:dyDescent="0.25">
      <c r="A713">
        <v>1385</v>
      </c>
      <c r="B713" s="1">
        <v>45460</v>
      </c>
      <c r="C713" t="s">
        <v>119</v>
      </c>
      <c r="D713" t="s">
        <v>25</v>
      </c>
      <c r="E713" t="s">
        <v>26</v>
      </c>
      <c r="F713" t="s">
        <v>34</v>
      </c>
      <c r="G713" t="s">
        <v>20</v>
      </c>
      <c r="H713" t="s">
        <v>113</v>
      </c>
      <c r="I713" t="s">
        <v>114</v>
      </c>
      <c r="J713">
        <v>5</v>
      </c>
      <c r="K713" s="3">
        <v>940.74</v>
      </c>
      <c r="L713" s="2">
        <v>701.08</v>
      </c>
      <c r="M713" s="2">
        <f>Table1[[#This Row],[UnitPrice]]*Table1[[#This Row],[Quantity]]</f>
        <v>4703.7</v>
      </c>
      <c r="N713" s="2">
        <f>Table1[[#This Row],[CostPrice]]*Table1[[#This Row],[Quantity]]</f>
        <v>3505.4</v>
      </c>
      <c r="O713" s="2">
        <v>1104.23</v>
      </c>
      <c r="P713" s="4">
        <v>0.02</v>
      </c>
      <c r="Q713" t="s">
        <v>92</v>
      </c>
      <c r="R713" s="4">
        <f t="shared" si="11"/>
        <v>0.23475774390373538</v>
      </c>
    </row>
    <row r="714" spans="1:18" x14ac:dyDescent="0.25">
      <c r="A714">
        <v>1398</v>
      </c>
      <c r="B714" s="1">
        <v>45460</v>
      </c>
      <c r="C714" t="s">
        <v>168</v>
      </c>
      <c r="D714" t="s">
        <v>32</v>
      </c>
      <c r="E714" t="s">
        <v>18</v>
      </c>
      <c r="F714" t="s">
        <v>19</v>
      </c>
      <c r="G714" t="s">
        <v>35</v>
      </c>
      <c r="H714" t="s">
        <v>36</v>
      </c>
      <c r="I714" t="s">
        <v>100</v>
      </c>
      <c r="J714">
        <v>4</v>
      </c>
      <c r="K714" s="3">
        <v>973.41</v>
      </c>
      <c r="L714" s="2">
        <v>567.1</v>
      </c>
      <c r="M714" s="2">
        <f>Table1[[#This Row],[UnitPrice]]*Table1[[#This Row],[Quantity]]</f>
        <v>3893.64</v>
      </c>
      <c r="N714" s="2">
        <f>Table1[[#This Row],[CostPrice]]*Table1[[#This Row],[Quantity]]</f>
        <v>2268.4</v>
      </c>
      <c r="O714" s="2">
        <v>1119.07</v>
      </c>
      <c r="P714" s="4">
        <v>0.13</v>
      </c>
      <c r="Q714" t="s">
        <v>51</v>
      </c>
      <c r="R714" s="4">
        <f t="shared" si="11"/>
        <v>0.28740972457648883</v>
      </c>
    </row>
    <row r="715" spans="1:18" x14ac:dyDescent="0.25">
      <c r="A715">
        <v>1436</v>
      </c>
      <c r="B715" s="1">
        <v>45460</v>
      </c>
      <c r="C715" t="s">
        <v>266</v>
      </c>
      <c r="D715" t="s">
        <v>32</v>
      </c>
      <c r="E715" t="s">
        <v>33</v>
      </c>
      <c r="F715" t="s">
        <v>19</v>
      </c>
      <c r="G715" t="s">
        <v>41</v>
      </c>
      <c r="H715" t="s">
        <v>63</v>
      </c>
      <c r="I715" t="s">
        <v>117</v>
      </c>
      <c r="J715">
        <v>1</v>
      </c>
      <c r="K715" s="3">
        <v>559.91</v>
      </c>
      <c r="L715" s="2">
        <v>381.1</v>
      </c>
      <c r="M715" s="2">
        <f>Table1[[#This Row],[UnitPrice]]*Table1[[#This Row],[Quantity]]</f>
        <v>559.91</v>
      </c>
      <c r="N715" s="2">
        <f>Table1[[#This Row],[CostPrice]]*Table1[[#This Row],[Quantity]]</f>
        <v>381.1</v>
      </c>
      <c r="O715" s="2">
        <v>72.430000000000007</v>
      </c>
      <c r="P715" s="4">
        <v>0.19</v>
      </c>
      <c r="Q715" t="s">
        <v>51</v>
      </c>
      <c r="R715" s="4">
        <f t="shared" si="11"/>
        <v>0.12936007572645605</v>
      </c>
    </row>
    <row r="716" spans="1:18" x14ac:dyDescent="0.25">
      <c r="A716">
        <v>1706</v>
      </c>
      <c r="B716" s="1">
        <v>45460</v>
      </c>
      <c r="C716" t="s">
        <v>272</v>
      </c>
      <c r="D716" t="s">
        <v>17</v>
      </c>
      <c r="E716" t="s">
        <v>18</v>
      </c>
      <c r="F716" t="s">
        <v>34</v>
      </c>
      <c r="G716" t="s">
        <v>20</v>
      </c>
      <c r="H716" t="s">
        <v>113</v>
      </c>
      <c r="I716" t="s">
        <v>153</v>
      </c>
      <c r="J716">
        <v>6</v>
      </c>
      <c r="K716" s="3">
        <v>246.04</v>
      </c>
      <c r="L716" s="2">
        <v>169.46</v>
      </c>
      <c r="M716" s="2">
        <f>Table1[[#This Row],[UnitPrice]]*Table1[[#This Row],[Quantity]]</f>
        <v>1476.24</v>
      </c>
      <c r="N716" s="2">
        <f>Table1[[#This Row],[CostPrice]]*Table1[[#This Row],[Quantity]]</f>
        <v>1016.76</v>
      </c>
      <c r="O716" s="2">
        <v>60.9</v>
      </c>
      <c r="P716" s="4">
        <v>0.27</v>
      </c>
      <c r="Q716" t="s">
        <v>23</v>
      </c>
      <c r="R716" s="4">
        <f t="shared" si="11"/>
        <v>4.12534547228093E-2</v>
      </c>
    </row>
    <row r="717" spans="1:18" x14ac:dyDescent="0.25">
      <c r="A717">
        <v>1276</v>
      </c>
      <c r="B717" s="1">
        <v>45462</v>
      </c>
      <c r="C717" t="s">
        <v>187</v>
      </c>
      <c r="D717" t="s">
        <v>17</v>
      </c>
      <c r="E717" t="s">
        <v>53</v>
      </c>
      <c r="F717" t="s">
        <v>19</v>
      </c>
      <c r="G717" t="s">
        <v>35</v>
      </c>
      <c r="H717" t="s">
        <v>49</v>
      </c>
      <c r="I717" t="s">
        <v>66</v>
      </c>
      <c r="J717">
        <v>7</v>
      </c>
      <c r="K717" s="3">
        <v>903.26</v>
      </c>
      <c r="L717" s="2">
        <v>677.45</v>
      </c>
      <c r="M717" s="2">
        <f>Table1[[#This Row],[UnitPrice]]*Table1[[#This Row],[Quantity]]</f>
        <v>6322.82</v>
      </c>
      <c r="N717" s="2">
        <f>Table1[[#This Row],[CostPrice]]*Table1[[#This Row],[Quantity]]</f>
        <v>4742.1500000000005</v>
      </c>
      <c r="O717" s="2">
        <v>632.25</v>
      </c>
      <c r="P717" s="4">
        <v>0.15</v>
      </c>
      <c r="Q717" t="s">
        <v>38</v>
      </c>
      <c r="R717" s="4">
        <f t="shared" si="11"/>
        <v>9.9994938967106456E-2</v>
      </c>
    </row>
    <row r="718" spans="1:18" x14ac:dyDescent="0.25">
      <c r="A718">
        <v>1958</v>
      </c>
      <c r="B718" s="1">
        <v>45462</v>
      </c>
      <c r="C718" t="s">
        <v>300</v>
      </c>
      <c r="D718" t="s">
        <v>32</v>
      </c>
      <c r="E718" t="s">
        <v>26</v>
      </c>
      <c r="F718" t="s">
        <v>19</v>
      </c>
      <c r="G718" t="s">
        <v>35</v>
      </c>
      <c r="H718" t="s">
        <v>70</v>
      </c>
      <c r="I718" t="s">
        <v>84</v>
      </c>
      <c r="J718">
        <v>4</v>
      </c>
      <c r="K718" s="3">
        <v>803.8</v>
      </c>
      <c r="L718" s="2">
        <v>669.72</v>
      </c>
      <c r="M718" s="2">
        <f>Table1[[#This Row],[UnitPrice]]*Table1[[#This Row],[Quantity]]</f>
        <v>3215.2</v>
      </c>
      <c r="N718" s="2">
        <f>Table1[[#This Row],[CostPrice]]*Table1[[#This Row],[Quantity]]</f>
        <v>2678.88</v>
      </c>
      <c r="O718" s="2">
        <v>182.65</v>
      </c>
      <c r="P718" s="4">
        <v>0.11</v>
      </c>
      <c r="Q718" t="s">
        <v>125</v>
      </c>
      <c r="R718" s="4">
        <f t="shared" si="11"/>
        <v>5.6808285643194831E-2</v>
      </c>
    </row>
    <row r="719" spans="1:18" x14ac:dyDescent="0.25">
      <c r="A719">
        <v>1190</v>
      </c>
      <c r="B719" s="1">
        <v>45463</v>
      </c>
      <c r="C719" t="s">
        <v>191</v>
      </c>
      <c r="D719" t="s">
        <v>25</v>
      </c>
      <c r="E719" t="s">
        <v>33</v>
      </c>
      <c r="F719" t="s">
        <v>34</v>
      </c>
      <c r="G719" t="s">
        <v>35</v>
      </c>
      <c r="H719" t="s">
        <v>36</v>
      </c>
      <c r="I719" t="s">
        <v>100</v>
      </c>
      <c r="J719">
        <v>4</v>
      </c>
      <c r="K719" s="3">
        <v>72.63</v>
      </c>
      <c r="L719" s="2">
        <v>40.15</v>
      </c>
      <c r="M719" s="2">
        <f>Table1[[#This Row],[UnitPrice]]*Table1[[#This Row],[Quantity]]</f>
        <v>290.52</v>
      </c>
      <c r="N719" s="2">
        <f>Table1[[#This Row],[CostPrice]]*Table1[[#This Row],[Quantity]]</f>
        <v>160.6</v>
      </c>
      <c r="O719" s="2">
        <v>109.58</v>
      </c>
      <c r="P719" s="4">
        <v>7.0000000000000007E-2</v>
      </c>
      <c r="Q719" t="s">
        <v>55</v>
      </c>
      <c r="R719" s="4">
        <f t="shared" si="11"/>
        <v>0.37718573592179544</v>
      </c>
    </row>
    <row r="720" spans="1:18" x14ac:dyDescent="0.25">
      <c r="A720">
        <v>1456</v>
      </c>
      <c r="B720" s="1">
        <v>45463</v>
      </c>
      <c r="C720" t="s">
        <v>108</v>
      </c>
      <c r="D720" t="s">
        <v>32</v>
      </c>
      <c r="E720" t="s">
        <v>26</v>
      </c>
      <c r="F720" t="s">
        <v>34</v>
      </c>
      <c r="G720" t="s">
        <v>41</v>
      </c>
      <c r="H720" t="s">
        <v>63</v>
      </c>
      <c r="I720" t="s">
        <v>141</v>
      </c>
      <c r="J720">
        <v>4</v>
      </c>
      <c r="K720" s="3">
        <v>725.95</v>
      </c>
      <c r="L720" s="2">
        <v>479.69</v>
      </c>
      <c r="M720" s="2">
        <f>Table1[[#This Row],[UnitPrice]]*Table1[[#This Row],[Quantity]]</f>
        <v>2903.8</v>
      </c>
      <c r="N720" s="2">
        <f>Table1[[#This Row],[CostPrice]]*Table1[[#This Row],[Quantity]]</f>
        <v>1918.76</v>
      </c>
      <c r="O720" s="2">
        <v>375.24</v>
      </c>
      <c r="P720" s="4">
        <v>0.21</v>
      </c>
      <c r="Q720" t="s">
        <v>38</v>
      </c>
      <c r="R720" s="4">
        <f t="shared" si="11"/>
        <v>0.12922377574213101</v>
      </c>
    </row>
    <row r="721" spans="1:18" x14ac:dyDescent="0.25">
      <c r="A721">
        <v>1572</v>
      </c>
      <c r="B721" s="1">
        <v>45464</v>
      </c>
      <c r="C721" t="s">
        <v>76</v>
      </c>
      <c r="D721" t="s">
        <v>25</v>
      </c>
      <c r="E721" t="s">
        <v>26</v>
      </c>
      <c r="F721" t="s">
        <v>34</v>
      </c>
      <c r="G721" t="s">
        <v>35</v>
      </c>
      <c r="H721" t="s">
        <v>49</v>
      </c>
      <c r="I721" t="s">
        <v>59</v>
      </c>
      <c r="J721">
        <v>7</v>
      </c>
      <c r="K721" s="3">
        <v>806.81</v>
      </c>
      <c r="L721" s="2">
        <v>613.49</v>
      </c>
      <c r="M721" s="2">
        <f>Table1[[#This Row],[UnitPrice]]*Table1[[#This Row],[Quantity]]</f>
        <v>5647.67</v>
      </c>
      <c r="N721" s="2">
        <f>Table1[[#This Row],[CostPrice]]*Table1[[#This Row],[Quantity]]</f>
        <v>4294.43</v>
      </c>
      <c r="O721" s="2">
        <v>-228.11</v>
      </c>
      <c r="P721" s="4">
        <v>0.28000000000000003</v>
      </c>
      <c r="Q721" t="s">
        <v>23</v>
      </c>
      <c r="R721" s="4">
        <f t="shared" si="11"/>
        <v>-4.0390107778960176E-2</v>
      </c>
    </row>
    <row r="722" spans="1:18" x14ac:dyDescent="0.25">
      <c r="A722">
        <v>1593</v>
      </c>
      <c r="B722" s="1">
        <v>45465</v>
      </c>
      <c r="C722" t="s">
        <v>162</v>
      </c>
      <c r="D722" t="s">
        <v>25</v>
      </c>
      <c r="E722" t="s">
        <v>53</v>
      </c>
      <c r="F722" t="s">
        <v>34</v>
      </c>
      <c r="G722" t="s">
        <v>20</v>
      </c>
      <c r="H722" t="s">
        <v>28</v>
      </c>
      <c r="I722" t="s">
        <v>90</v>
      </c>
      <c r="J722">
        <v>6</v>
      </c>
      <c r="K722" s="3">
        <v>30.83</v>
      </c>
      <c r="L722" s="2">
        <v>22.77</v>
      </c>
      <c r="M722" s="2">
        <f>Table1[[#This Row],[UnitPrice]]*Table1[[#This Row],[Quantity]]</f>
        <v>184.98</v>
      </c>
      <c r="N722" s="2">
        <f>Table1[[#This Row],[CostPrice]]*Table1[[#This Row],[Quantity]]</f>
        <v>136.62</v>
      </c>
      <c r="O722" s="2">
        <v>11.36</v>
      </c>
      <c r="P722" s="4">
        <v>0.2</v>
      </c>
      <c r="Q722" t="s">
        <v>75</v>
      </c>
      <c r="R722" s="4">
        <f t="shared" si="11"/>
        <v>6.1412044545356252E-2</v>
      </c>
    </row>
    <row r="723" spans="1:18" x14ac:dyDescent="0.25">
      <c r="A723">
        <v>1476</v>
      </c>
      <c r="B723" s="1">
        <v>45466</v>
      </c>
      <c r="C723" t="s">
        <v>277</v>
      </c>
      <c r="D723" t="s">
        <v>32</v>
      </c>
      <c r="E723" t="s">
        <v>53</v>
      </c>
      <c r="F723" t="s">
        <v>34</v>
      </c>
      <c r="G723" t="s">
        <v>41</v>
      </c>
      <c r="H723" t="s">
        <v>63</v>
      </c>
      <c r="I723" t="s">
        <v>141</v>
      </c>
      <c r="J723">
        <v>4</v>
      </c>
      <c r="K723" s="3">
        <v>475.09</v>
      </c>
      <c r="L723" s="2">
        <v>360.87</v>
      </c>
      <c r="M723" s="2">
        <f>Table1[[#This Row],[UnitPrice]]*Table1[[#This Row],[Quantity]]</f>
        <v>1900.36</v>
      </c>
      <c r="N723" s="2">
        <f>Table1[[#This Row],[CostPrice]]*Table1[[#This Row],[Quantity]]</f>
        <v>1443.48</v>
      </c>
      <c r="O723" s="2">
        <v>-94.22</v>
      </c>
      <c r="P723" s="4">
        <v>0.28999999999999998</v>
      </c>
      <c r="Q723" t="s">
        <v>44</v>
      </c>
      <c r="R723" s="4">
        <f t="shared" si="11"/>
        <v>-4.9580079563872108E-2</v>
      </c>
    </row>
    <row r="724" spans="1:18" x14ac:dyDescent="0.25">
      <c r="A724">
        <v>1600</v>
      </c>
      <c r="B724" s="1">
        <v>45466</v>
      </c>
      <c r="C724" t="s">
        <v>74</v>
      </c>
      <c r="D724" t="s">
        <v>17</v>
      </c>
      <c r="E724" t="s">
        <v>33</v>
      </c>
      <c r="F724" t="s">
        <v>40</v>
      </c>
      <c r="G724" t="s">
        <v>35</v>
      </c>
      <c r="H724" t="s">
        <v>49</v>
      </c>
      <c r="I724" t="s">
        <v>66</v>
      </c>
      <c r="J724">
        <v>8</v>
      </c>
      <c r="K724" s="3">
        <v>303.89</v>
      </c>
      <c r="L724" s="2">
        <v>256.62</v>
      </c>
      <c r="M724" s="2">
        <f>Table1[[#This Row],[UnitPrice]]*Table1[[#This Row],[Quantity]]</f>
        <v>2431.12</v>
      </c>
      <c r="N724" s="2">
        <f>Table1[[#This Row],[CostPrice]]*Table1[[#This Row],[Quantity]]</f>
        <v>2052.96</v>
      </c>
      <c r="O724" s="2">
        <v>-132.38</v>
      </c>
      <c r="P724" s="4">
        <v>0.21</v>
      </c>
      <c r="Q724" t="s">
        <v>30</v>
      </c>
      <c r="R724" s="4">
        <f t="shared" si="11"/>
        <v>-5.4452268913093557E-2</v>
      </c>
    </row>
    <row r="725" spans="1:18" x14ac:dyDescent="0.25">
      <c r="A725">
        <v>1774</v>
      </c>
      <c r="B725" s="1">
        <v>45468</v>
      </c>
      <c r="C725" t="s">
        <v>65</v>
      </c>
      <c r="D725" t="s">
        <v>25</v>
      </c>
      <c r="E725" t="s">
        <v>18</v>
      </c>
      <c r="F725" t="s">
        <v>19</v>
      </c>
      <c r="G725" t="s">
        <v>41</v>
      </c>
      <c r="H725" t="s">
        <v>46</v>
      </c>
      <c r="I725" t="s">
        <v>47</v>
      </c>
      <c r="J725">
        <v>2</v>
      </c>
      <c r="K725" s="3">
        <v>134.83000000000001</v>
      </c>
      <c r="L725" s="2">
        <v>102.46</v>
      </c>
      <c r="M725" s="2">
        <f>Table1[[#This Row],[UnitPrice]]*Table1[[#This Row],[Quantity]]</f>
        <v>269.66000000000003</v>
      </c>
      <c r="N725" s="2">
        <f>Table1[[#This Row],[CostPrice]]*Table1[[#This Row],[Quantity]]</f>
        <v>204.92</v>
      </c>
      <c r="O725" s="2">
        <v>53.95</v>
      </c>
      <c r="P725" s="4">
        <v>0.04</v>
      </c>
      <c r="Q725" t="s">
        <v>125</v>
      </c>
      <c r="R725" s="4">
        <f t="shared" si="11"/>
        <v>0.20006675072313282</v>
      </c>
    </row>
    <row r="726" spans="1:18" x14ac:dyDescent="0.25">
      <c r="A726">
        <v>1892</v>
      </c>
      <c r="B726" s="1">
        <v>45468</v>
      </c>
      <c r="C726" t="s">
        <v>167</v>
      </c>
      <c r="D726" t="s">
        <v>25</v>
      </c>
      <c r="E726" t="s">
        <v>33</v>
      </c>
      <c r="F726" t="s">
        <v>34</v>
      </c>
      <c r="G726" t="s">
        <v>41</v>
      </c>
      <c r="H726" t="s">
        <v>63</v>
      </c>
      <c r="I726" t="s">
        <v>141</v>
      </c>
      <c r="J726">
        <v>4</v>
      </c>
      <c r="K726" s="3">
        <v>38.07</v>
      </c>
      <c r="L726" s="2">
        <v>20.91</v>
      </c>
      <c r="M726" s="2">
        <f>Table1[[#This Row],[UnitPrice]]*Table1[[#This Row],[Quantity]]</f>
        <v>152.28</v>
      </c>
      <c r="N726" s="2">
        <f>Table1[[#This Row],[CostPrice]]*Table1[[#This Row],[Quantity]]</f>
        <v>83.64</v>
      </c>
      <c r="O726" s="2">
        <v>68.64</v>
      </c>
      <c r="P726" s="4">
        <v>0</v>
      </c>
      <c r="Q726" t="s">
        <v>75</v>
      </c>
      <c r="R726" s="4">
        <f t="shared" si="11"/>
        <v>0.4507486209613869</v>
      </c>
    </row>
    <row r="727" spans="1:18" x14ac:dyDescent="0.25">
      <c r="A727">
        <v>1183</v>
      </c>
      <c r="B727" s="1">
        <v>45469</v>
      </c>
      <c r="C727" t="s">
        <v>206</v>
      </c>
      <c r="D727" t="s">
        <v>25</v>
      </c>
      <c r="E727" t="s">
        <v>18</v>
      </c>
      <c r="F727" t="s">
        <v>19</v>
      </c>
      <c r="G727" t="s">
        <v>35</v>
      </c>
      <c r="H727" t="s">
        <v>70</v>
      </c>
      <c r="I727" t="s">
        <v>98</v>
      </c>
      <c r="J727">
        <v>8</v>
      </c>
      <c r="K727" s="3">
        <v>847.9</v>
      </c>
      <c r="L727" s="2">
        <v>451.39</v>
      </c>
      <c r="M727" s="2">
        <f>Table1[[#This Row],[UnitPrice]]*Table1[[#This Row],[Quantity]]</f>
        <v>6783.2</v>
      </c>
      <c r="N727" s="2">
        <f>Table1[[#This Row],[CostPrice]]*Table1[[#This Row],[Quantity]]</f>
        <v>3611.12</v>
      </c>
      <c r="O727" s="2">
        <v>1679.78</v>
      </c>
      <c r="P727" s="4">
        <v>0.22</v>
      </c>
      <c r="Q727" t="s">
        <v>23</v>
      </c>
      <c r="R727" s="4">
        <f t="shared" si="11"/>
        <v>0.24763828281636985</v>
      </c>
    </row>
    <row r="728" spans="1:18" x14ac:dyDescent="0.25">
      <c r="A728">
        <v>1484</v>
      </c>
      <c r="B728" s="1">
        <v>45469</v>
      </c>
      <c r="C728" t="s">
        <v>254</v>
      </c>
      <c r="D728" t="s">
        <v>25</v>
      </c>
      <c r="E728" t="s">
        <v>18</v>
      </c>
      <c r="F728" t="s">
        <v>27</v>
      </c>
      <c r="G728" t="s">
        <v>41</v>
      </c>
      <c r="H728" t="s">
        <v>63</v>
      </c>
      <c r="I728" t="s">
        <v>117</v>
      </c>
      <c r="J728">
        <v>6</v>
      </c>
      <c r="K728" s="3">
        <v>273.97000000000003</v>
      </c>
      <c r="L728" s="2">
        <v>213.92</v>
      </c>
      <c r="M728" s="2">
        <f>Table1[[#This Row],[UnitPrice]]*Table1[[#This Row],[Quantity]]</f>
        <v>1643.8200000000002</v>
      </c>
      <c r="N728" s="2">
        <f>Table1[[#This Row],[CostPrice]]*Table1[[#This Row],[Quantity]]</f>
        <v>1283.52</v>
      </c>
      <c r="O728" s="2">
        <v>228.79</v>
      </c>
      <c r="P728" s="4">
        <v>0.08</v>
      </c>
      <c r="Q728" t="s">
        <v>125</v>
      </c>
      <c r="R728" s="4">
        <f t="shared" si="11"/>
        <v>0.13918190556143614</v>
      </c>
    </row>
    <row r="729" spans="1:18" x14ac:dyDescent="0.25">
      <c r="A729">
        <v>1744</v>
      </c>
      <c r="B729" s="1">
        <v>45469</v>
      </c>
      <c r="C729" t="s">
        <v>135</v>
      </c>
      <c r="D729" t="s">
        <v>17</v>
      </c>
      <c r="E729" t="s">
        <v>33</v>
      </c>
      <c r="F729" t="s">
        <v>19</v>
      </c>
      <c r="G729" t="s">
        <v>41</v>
      </c>
      <c r="H729" t="s">
        <v>42</v>
      </c>
      <c r="I729" t="s">
        <v>77</v>
      </c>
      <c r="J729">
        <v>10</v>
      </c>
      <c r="K729" s="3">
        <v>696.74</v>
      </c>
      <c r="L729" s="2">
        <v>349.67</v>
      </c>
      <c r="M729" s="2">
        <f>Table1[[#This Row],[UnitPrice]]*Table1[[#This Row],[Quantity]]</f>
        <v>6967.4</v>
      </c>
      <c r="N729" s="2">
        <f>Table1[[#This Row],[CostPrice]]*Table1[[#This Row],[Quantity]]</f>
        <v>3496.7000000000003</v>
      </c>
      <c r="O729" s="2">
        <v>2564.94</v>
      </c>
      <c r="P729" s="4">
        <v>0.13</v>
      </c>
      <c r="Q729" t="s">
        <v>85</v>
      </c>
      <c r="R729" s="4">
        <f t="shared" si="11"/>
        <v>0.36813445474639034</v>
      </c>
    </row>
    <row r="730" spans="1:18" x14ac:dyDescent="0.25">
      <c r="A730">
        <v>1516</v>
      </c>
      <c r="B730" s="1">
        <v>45470</v>
      </c>
      <c r="C730" t="s">
        <v>219</v>
      </c>
      <c r="D730" t="s">
        <v>32</v>
      </c>
      <c r="E730" t="s">
        <v>18</v>
      </c>
      <c r="F730" t="s">
        <v>19</v>
      </c>
      <c r="G730" t="s">
        <v>41</v>
      </c>
      <c r="H730" t="s">
        <v>42</v>
      </c>
      <c r="I730" t="s">
        <v>43</v>
      </c>
      <c r="J730">
        <v>6</v>
      </c>
      <c r="K730" s="3">
        <v>737.08</v>
      </c>
      <c r="L730" s="2">
        <v>382.68</v>
      </c>
      <c r="M730" s="2">
        <f>Table1[[#This Row],[UnitPrice]]*Table1[[#This Row],[Quantity]]</f>
        <v>4422.4800000000005</v>
      </c>
      <c r="N730" s="2">
        <f>Table1[[#This Row],[CostPrice]]*Table1[[#This Row],[Quantity]]</f>
        <v>2296.08</v>
      </c>
      <c r="O730" s="2">
        <v>888.11</v>
      </c>
      <c r="P730" s="4">
        <v>0.28000000000000003</v>
      </c>
      <c r="Q730" t="s">
        <v>85</v>
      </c>
      <c r="R730" s="4">
        <f t="shared" si="11"/>
        <v>0.20081718854579328</v>
      </c>
    </row>
    <row r="731" spans="1:18" x14ac:dyDescent="0.25">
      <c r="A731">
        <v>1409</v>
      </c>
      <c r="B731" s="1">
        <v>45471</v>
      </c>
      <c r="C731" t="s">
        <v>106</v>
      </c>
      <c r="D731" t="s">
        <v>25</v>
      </c>
      <c r="E731" t="s">
        <v>26</v>
      </c>
      <c r="F731" t="s">
        <v>19</v>
      </c>
      <c r="G731" t="s">
        <v>41</v>
      </c>
      <c r="H731" t="s">
        <v>63</v>
      </c>
      <c r="I731" t="s">
        <v>64</v>
      </c>
      <c r="J731">
        <v>7</v>
      </c>
      <c r="K731" s="3">
        <v>747.38</v>
      </c>
      <c r="L731" s="2">
        <v>574.14</v>
      </c>
      <c r="M731" s="2">
        <f>Table1[[#This Row],[UnitPrice]]*Table1[[#This Row],[Quantity]]</f>
        <v>5231.66</v>
      </c>
      <c r="N731" s="2">
        <f>Table1[[#This Row],[CostPrice]]*Table1[[#This Row],[Quantity]]</f>
        <v>4018.98</v>
      </c>
      <c r="O731" s="2">
        <v>323.3</v>
      </c>
      <c r="P731" s="4">
        <v>0.17</v>
      </c>
      <c r="Q731" t="s">
        <v>55</v>
      </c>
      <c r="R731" s="4">
        <f t="shared" si="11"/>
        <v>6.1796829304656652E-2</v>
      </c>
    </row>
    <row r="732" spans="1:18" x14ac:dyDescent="0.25">
      <c r="A732">
        <v>1541</v>
      </c>
      <c r="B732" s="1">
        <v>45471</v>
      </c>
      <c r="C732" t="s">
        <v>226</v>
      </c>
      <c r="D732" t="s">
        <v>17</v>
      </c>
      <c r="E732" t="s">
        <v>33</v>
      </c>
      <c r="F732" t="s">
        <v>27</v>
      </c>
      <c r="G732" t="s">
        <v>35</v>
      </c>
      <c r="H732" t="s">
        <v>36</v>
      </c>
      <c r="I732" t="s">
        <v>87</v>
      </c>
      <c r="J732">
        <v>3</v>
      </c>
      <c r="K732" s="3">
        <v>923.79</v>
      </c>
      <c r="L732" s="2">
        <v>616.94000000000005</v>
      </c>
      <c r="M732" s="2">
        <f>Table1[[#This Row],[UnitPrice]]*Table1[[#This Row],[Quantity]]</f>
        <v>2771.37</v>
      </c>
      <c r="N732" s="2">
        <f>Table1[[#This Row],[CostPrice]]*Table1[[#This Row],[Quantity]]</f>
        <v>1850.8200000000002</v>
      </c>
      <c r="O732" s="2">
        <v>671.13</v>
      </c>
      <c r="P732" s="4">
        <v>0.09</v>
      </c>
      <c r="Q732" t="s">
        <v>85</v>
      </c>
      <c r="R732" s="4">
        <f t="shared" si="11"/>
        <v>0.24216542720748221</v>
      </c>
    </row>
    <row r="733" spans="1:18" x14ac:dyDescent="0.25">
      <c r="A733">
        <v>1751</v>
      </c>
      <c r="B733" s="1">
        <v>45471</v>
      </c>
      <c r="C733" t="s">
        <v>279</v>
      </c>
      <c r="D733" t="s">
        <v>17</v>
      </c>
      <c r="E733" t="s">
        <v>53</v>
      </c>
      <c r="F733" t="s">
        <v>34</v>
      </c>
      <c r="G733" t="s">
        <v>35</v>
      </c>
      <c r="H733" t="s">
        <v>70</v>
      </c>
      <c r="I733" t="s">
        <v>98</v>
      </c>
      <c r="J733">
        <v>6</v>
      </c>
      <c r="K733" s="3">
        <v>909.7</v>
      </c>
      <c r="L733" s="2">
        <v>702.58</v>
      </c>
      <c r="M733" s="2">
        <f>Table1[[#This Row],[UnitPrice]]*Table1[[#This Row],[Quantity]]</f>
        <v>5458.2000000000007</v>
      </c>
      <c r="N733" s="2">
        <f>Table1[[#This Row],[CostPrice]]*Table1[[#This Row],[Quantity]]</f>
        <v>4215.4800000000005</v>
      </c>
      <c r="O733" s="2">
        <v>1024.3900000000001</v>
      </c>
      <c r="P733" s="4">
        <v>0.04</v>
      </c>
      <c r="Q733" t="s">
        <v>23</v>
      </c>
      <c r="R733" s="4">
        <f t="shared" si="11"/>
        <v>0.18767908834414276</v>
      </c>
    </row>
    <row r="734" spans="1:18" x14ac:dyDescent="0.25">
      <c r="A734">
        <v>1909</v>
      </c>
      <c r="B734" s="1">
        <v>45472</v>
      </c>
      <c r="C734" t="s">
        <v>176</v>
      </c>
      <c r="D734" t="s">
        <v>32</v>
      </c>
      <c r="E734" t="s">
        <v>33</v>
      </c>
      <c r="F734" t="s">
        <v>40</v>
      </c>
      <c r="G734" t="s">
        <v>20</v>
      </c>
      <c r="H734" t="s">
        <v>113</v>
      </c>
      <c r="I734" t="s">
        <v>153</v>
      </c>
      <c r="J734">
        <v>5</v>
      </c>
      <c r="K734" s="3">
        <v>811.19</v>
      </c>
      <c r="L734" s="2">
        <v>573.38</v>
      </c>
      <c r="M734" s="2">
        <f>Table1[[#This Row],[UnitPrice]]*Table1[[#This Row],[Quantity]]</f>
        <v>4055.9500000000003</v>
      </c>
      <c r="N734" s="2">
        <f>Table1[[#This Row],[CostPrice]]*Table1[[#This Row],[Quantity]]</f>
        <v>2866.9</v>
      </c>
      <c r="O734" s="2">
        <v>256.18</v>
      </c>
      <c r="P734" s="4">
        <v>0.23</v>
      </c>
      <c r="Q734" t="s">
        <v>85</v>
      </c>
      <c r="R734" s="4">
        <f t="shared" si="11"/>
        <v>6.3161528125346714E-2</v>
      </c>
    </row>
    <row r="735" spans="1:18" x14ac:dyDescent="0.25">
      <c r="A735">
        <v>1339</v>
      </c>
      <c r="B735" s="1">
        <v>45473</v>
      </c>
      <c r="C735" t="s">
        <v>149</v>
      </c>
      <c r="D735" t="s">
        <v>17</v>
      </c>
      <c r="E735" t="s">
        <v>53</v>
      </c>
      <c r="F735" t="s">
        <v>40</v>
      </c>
      <c r="G735" t="s">
        <v>41</v>
      </c>
      <c r="H735" t="s">
        <v>42</v>
      </c>
      <c r="I735" t="s">
        <v>68</v>
      </c>
      <c r="J735">
        <v>6</v>
      </c>
      <c r="K735" s="3">
        <v>957.6</v>
      </c>
      <c r="L735" s="2">
        <v>482.54</v>
      </c>
      <c r="M735" s="2">
        <f>Table1[[#This Row],[UnitPrice]]*Table1[[#This Row],[Quantity]]</f>
        <v>5745.6</v>
      </c>
      <c r="N735" s="2">
        <f>Table1[[#This Row],[CostPrice]]*Table1[[#This Row],[Quantity]]</f>
        <v>2895.2400000000002</v>
      </c>
      <c r="O735" s="2">
        <v>1356.5</v>
      </c>
      <c r="P735" s="4">
        <v>0.26</v>
      </c>
      <c r="Q735" t="s">
        <v>92</v>
      </c>
      <c r="R735" s="4">
        <f t="shared" si="11"/>
        <v>0.23609370648844333</v>
      </c>
    </row>
    <row r="736" spans="1:18" x14ac:dyDescent="0.25">
      <c r="A736">
        <v>1576</v>
      </c>
      <c r="B736" s="1">
        <v>45298</v>
      </c>
      <c r="C736" t="s">
        <v>241</v>
      </c>
      <c r="D736" t="s">
        <v>32</v>
      </c>
      <c r="E736" t="s">
        <v>53</v>
      </c>
      <c r="F736" t="s">
        <v>34</v>
      </c>
      <c r="G736" t="s">
        <v>35</v>
      </c>
      <c r="H736" t="s">
        <v>49</v>
      </c>
      <c r="I736" t="s">
        <v>50</v>
      </c>
      <c r="J736">
        <v>2</v>
      </c>
      <c r="K736" s="3">
        <v>936.64</v>
      </c>
      <c r="L736" s="2">
        <v>716.37</v>
      </c>
      <c r="M736" s="2">
        <f>Table1[[#This Row],[UnitPrice]]*Table1[[#This Row],[Quantity]]</f>
        <v>1873.28</v>
      </c>
      <c r="N736" s="2">
        <f>Table1[[#This Row],[CostPrice]]*Table1[[#This Row],[Quantity]]</f>
        <v>1432.74</v>
      </c>
      <c r="O736" s="2">
        <v>271.94</v>
      </c>
      <c r="P736" s="4">
        <v>0.09</v>
      </c>
      <c r="Q736" t="s">
        <v>92</v>
      </c>
      <c r="R736" s="4">
        <f t="shared" si="11"/>
        <v>0.14516783395968569</v>
      </c>
    </row>
    <row r="737" spans="1:18" x14ac:dyDescent="0.25">
      <c r="A737">
        <v>1729</v>
      </c>
      <c r="B737" s="1">
        <v>45298</v>
      </c>
      <c r="C737" t="s">
        <v>175</v>
      </c>
      <c r="D737" t="s">
        <v>32</v>
      </c>
      <c r="E737" t="s">
        <v>33</v>
      </c>
      <c r="F737" t="s">
        <v>40</v>
      </c>
      <c r="G737" t="s">
        <v>20</v>
      </c>
      <c r="H737" t="s">
        <v>113</v>
      </c>
      <c r="I737" t="s">
        <v>161</v>
      </c>
      <c r="J737">
        <v>2</v>
      </c>
      <c r="K737" s="3">
        <v>645.77</v>
      </c>
      <c r="L737" s="2">
        <v>408.1</v>
      </c>
      <c r="M737" s="2">
        <f>Table1[[#This Row],[UnitPrice]]*Table1[[#This Row],[Quantity]]</f>
        <v>1291.54</v>
      </c>
      <c r="N737" s="2">
        <f>Table1[[#This Row],[CostPrice]]*Table1[[#This Row],[Quantity]]</f>
        <v>816.2</v>
      </c>
      <c r="O737" s="2">
        <v>191.2</v>
      </c>
      <c r="P737" s="4">
        <v>0.22</v>
      </c>
      <c r="Q737" t="s">
        <v>75</v>
      </c>
      <c r="R737" s="4">
        <f t="shared" si="11"/>
        <v>0.14804032395434907</v>
      </c>
    </row>
    <row r="738" spans="1:18" x14ac:dyDescent="0.25">
      <c r="A738">
        <v>1821</v>
      </c>
      <c r="B738" s="1">
        <v>45329</v>
      </c>
      <c r="C738" t="s">
        <v>97</v>
      </c>
      <c r="D738" t="s">
        <v>25</v>
      </c>
      <c r="E738" t="s">
        <v>53</v>
      </c>
      <c r="F738" t="s">
        <v>40</v>
      </c>
      <c r="G738" t="s">
        <v>41</v>
      </c>
      <c r="H738" t="s">
        <v>63</v>
      </c>
      <c r="I738" t="s">
        <v>117</v>
      </c>
      <c r="J738">
        <v>1</v>
      </c>
      <c r="K738" s="3">
        <v>563.1</v>
      </c>
      <c r="L738" s="2">
        <v>457.7</v>
      </c>
      <c r="M738" s="2">
        <f>Table1[[#This Row],[UnitPrice]]*Table1[[#This Row],[Quantity]]</f>
        <v>563.1</v>
      </c>
      <c r="N738" s="2">
        <f>Table1[[#This Row],[CostPrice]]*Table1[[#This Row],[Quantity]]</f>
        <v>457.7</v>
      </c>
      <c r="O738" s="2">
        <v>71.61</v>
      </c>
      <c r="P738" s="4">
        <v>0.06</v>
      </c>
      <c r="Q738" t="s">
        <v>125</v>
      </c>
      <c r="R738" s="4">
        <f t="shared" si="11"/>
        <v>0.12717101758124666</v>
      </c>
    </row>
    <row r="739" spans="1:18" x14ac:dyDescent="0.25">
      <c r="A739">
        <v>1946</v>
      </c>
      <c r="B739" s="1">
        <v>45329</v>
      </c>
      <c r="C739" t="s">
        <v>147</v>
      </c>
      <c r="D739" t="s">
        <v>17</v>
      </c>
      <c r="E739" t="s">
        <v>26</v>
      </c>
      <c r="F739" t="s">
        <v>40</v>
      </c>
      <c r="G739" t="s">
        <v>20</v>
      </c>
      <c r="H739" t="s">
        <v>28</v>
      </c>
      <c r="I739" t="s">
        <v>29</v>
      </c>
      <c r="J739">
        <v>7</v>
      </c>
      <c r="K739" s="3">
        <v>219.54</v>
      </c>
      <c r="L739" s="2">
        <v>166.12</v>
      </c>
      <c r="M739" s="2">
        <f>Table1[[#This Row],[UnitPrice]]*Table1[[#This Row],[Quantity]]</f>
        <v>1536.78</v>
      </c>
      <c r="N739" s="2">
        <f>Table1[[#This Row],[CostPrice]]*Table1[[#This Row],[Quantity]]</f>
        <v>1162.8400000000001</v>
      </c>
      <c r="O739" s="2">
        <v>-56.36</v>
      </c>
      <c r="P739" s="4">
        <v>0.28000000000000003</v>
      </c>
      <c r="Q739" t="s">
        <v>51</v>
      </c>
      <c r="R739" s="4">
        <f t="shared" si="11"/>
        <v>-3.6674084774658701E-2</v>
      </c>
    </row>
    <row r="740" spans="1:18" x14ac:dyDescent="0.25">
      <c r="A740">
        <v>1150</v>
      </c>
      <c r="B740" s="1">
        <v>45358</v>
      </c>
      <c r="C740" t="s">
        <v>191</v>
      </c>
      <c r="D740" t="s">
        <v>25</v>
      </c>
      <c r="E740" t="s">
        <v>53</v>
      </c>
      <c r="F740" t="s">
        <v>19</v>
      </c>
      <c r="G740" t="s">
        <v>35</v>
      </c>
      <c r="H740" t="s">
        <v>70</v>
      </c>
      <c r="I740" t="s">
        <v>71</v>
      </c>
      <c r="J740">
        <v>7</v>
      </c>
      <c r="K740" s="3">
        <v>369.11</v>
      </c>
      <c r="L740" s="2">
        <v>236.31</v>
      </c>
      <c r="M740" s="2">
        <f>Table1[[#This Row],[UnitPrice]]*Table1[[#This Row],[Quantity]]</f>
        <v>2583.77</v>
      </c>
      <c r="N740" s="2">
        <f>Table1[[#This Row],[CostPrice]]*Table1[[#This Row],[Quantity]]</f>
        <v>1654.17</v>
      </c>
      <c r="O740" s="2">
        <v>490.36</v>
      </c>
      <c r="P740" s="4">
        <v>0.17</v>
      </c>
      <c r="Q740" t="s">
        <v>23</v>
      </c>
      <c r="R740" s="4">
        <f t="shared" si="11"/>
        <v>0.18978469445809806</v>
      </c>
    </row>
    <row r="741" spans="1:18" x14ac:dyDescent="0.25">
      <c r="A741">
        <v>1215</v>
      </c>
      <c r="B741" s="1">
        <v>45358</v>
      </c>
      <c r="C741" t="s">
        <v>216</v>
      </c>
      <c r="D741" t="s">
        <v>32</v>
      </c>
      <c r="E741" t="s">
        <v>26</v>
      </c>
      <c r="F741" t="s">
        <v>27</v>
      </c>
      <c r="G741" t="s">
        <v>20</v>
      </c>
      <c r="H741" t="s">
        <v>28</v>
      </c>
      <c r="I741" t="s">
        <v>61</v>
      </c>
      <c r="J741">
        <v>9</v>
      </c>
      <c r="K741" s="3">
        <v>966.09</v>
      </c>
      <c r="L741" s="2">
        <v>589.02</v>
      </c>
      <c r="M741" s="2">
        <f>Table1[[#This Row],[UnitPrice]]*Table1[[#This Row],[Quantity]]</f>
        <v>8694.81</v>
      </c>
      <c r="N741" s="2">
        <f>Table1[[#This Row],[CostPrice]]*Table1[[#This Row],[Quantity]]</f>
        <v>5301.18</v>
      </c>
      <c r="O741" s="2">
        <v>2350.25</v>
      </c>
      <c r="P741" s="4">
        <v>0.12</v>
      </c>
      <c r="Q741" t="s">
        <v>75</v>
      </c>
      <c r="R741" s="4">
        <f t="shared" si="11"/>
        <v>0.2703049290323768</v>
      </c>
    </row>
    <row r="742" spans="1:18" x14ac:dyDescent="0.25">
      <c r="A742">
        <v>1452</v>
      </c>
      <c r="B742" s="1">
        <v>45358</v>
      </c>
      <c r="C742" t="s">
        <v>230</v>
      </c>
      <c r="D742" t="s">
        <v>32</v>
      </c>
      <c r="E742" t="s">
        <v>53</v>
      </c>
      <c r="F742" t="s">
        <v>34</v>
      </c>
      <c r="G742" t="s">
        <v>41</v>
      </c>
      <c r="H742" t="s">
        <v>46</v>
      </c>
      <c r="I742" t="s">
        <v>102</v>
      </c>
      <c r="J742">
        <v>6</v>
      </c>
      <c r="K742" s="3">
        <v>557.4</v>
      </c>
      <c r="L742" s="2">
        <v>282.35000000000002</v>
      </c>
      <c r="M742" s="2">
        <f>Table1[[#This Row],[UnitPrice]]*Table1[[#This Row],[Quantity]]</f>
        <v>3344.3999999999996</v>
      </c>
      <c r="N742" s="2">
        <f>Table1[[#This Row],[CostPrice]]*Table1[[#This Row],[Quantity]]</f>
        <v>1694.1000000000001</v>
      </c>
      <c r="O742" s="2">
        <v>1081.75</v>
      </c>
      <c r="P742" s="4">
        <v>0.17</v>
      </c>
      <c r="Q742" t="s">
        <v>85</v>
      </c>
      <c r="R742" s="4">
        <f t="shared" si="11"/>
        <v>0.32345114220786991</v>
      </c>
    </row>
    <row r="743" spans="1:18" x14ac:dyDescent="0.25">
      <c r="A743">
        <v>1783</v>
      </c>
      <c r="B743" s="1">
        <v>45389</v>
      </c>
      <c r="C743" t="s">
        <v>89</v>
      </c>
      <c r="D743" t="s">
        <v>17</v>
      </c>
      <c r="E743" t="s">
        <v>33</v>
      </c>
      <c r="F743" t="s">
        <v>27</v>
      </c>
      <c r="G743" t="s">
        <v>41</v>
      </c>
      <c r="H743" t="s">
        <v>46</v>
      </c>
      <c r="I743" t="s">
        <v>102</v>
      </c>
      <c r="J743">
        <v>10</v>
      </c>
      <c r="K743" s="3">
        <v>553.12</v>
      </c>
      <c r="L743" s="2">
        <v>434.7</v>
      </c>
      <c r="M743" s="2">
        <f>Table1[[#This Row],[UnitPrice]]*Table1[[#This Row],[Quantity]]</f>
        <v>5531.2</v>
      </c>
      <c r="N743" s="2">
        <f>Table1[[#This Row],[CostPrice]]*Table1[[#This Row],[Quantity]]</f>
        <v>4347</v>
      </c>
      <c r="O743" s="2">
        <v>797.02</v>
      </c>
      <c r="P743" s="4">
        <v>7.0000000000000007E-2</v>
      </c>
      <c r="Q743" t="s">
        <v>30</v>
      </c>
      <c r="R743" s="4">
        <f t="shared" si="11"/>
        <v>0.14409531385594446</v>
      </c>
    </row>
    <row r="744" spans="1:18" x14ac:dyDescent="0.25">
      <c r="A744">
        <v>1924</v>
      </c>
      <c r="B744" s="1">
        <v>45389</v>
      </c>
      <c r="C744" t="s">
        <v>31</v>
      </c>
      <c r="D744" t="s">
        <v>32</v>
      </c>
      <c r="E744" t="s">
        <v>26</v>
      </c>
      <c r="F744" t="s">
        <v>40</v>
      </c>
      <c r="G744" t="s">
        <v>35</v>
      </c>
      <c r="H744" t="s">
        <v>49</v>
      </c>
      <c r="I744" t="s">
        <v>50</v>
      </c>
      <c r="J744">
        <v>2</v>
      </c>
      <c r="K744" s="3">
        <v>86.1</v>
      </c>
      <c r="L744" s="2">
        <v>55.74</v>
      </c>
      <c r="M744" s="2">
        <f>Table1[[#This Row],[UnitPrice]]*Table1[[#This Row],[Quantity]]</f>
        <v>172.2</v>
      </c>
      <c r="N744" s="2">
        <f>Table1[[#This Row],[CostPrice]]*Table1[[#This Row],[Quantity]]</f>
        <v>111.48</v>
      </c>
      <c r="O744" s="2">
        <v>10.78</v>
      </c>
      <c r="P744" s="4">
        <v>0.28999999999999998</v>
      </c>
      <c r="Q744" t="s">
        <v>125</v>
      </c>
      <c r="R744" s="4">
        <f t="shared" si="11"/>
        <v>6.2601626016260167E-2</v>
      </c>
    </row>
    <row r="745" spans="1:18" x14ac:dyDescent="0.25">
      <c r="A745">
        <v>1043</v>
      </c>
      <c r="B745" s="1">
        <v>45419</v>
      </c>
      <c r="C745" t="s">
        <v>99</v>
      </c>
      <c r="D745" t="s">
        <v>17</v>
      </c>
      <c r="E745" t="s">
        <v>26</v>
      </c>
      <c r="F745" t="s">
        <v>27</v>
      </c>
      <c r="G745" t="s">
        <v>20</v>
      </c>
      <c r="H745" t="s">
        <v>28</v>
      </c>
      <c r="I745" t="s">
        <v>61</v>
      </c>
      <c r="J745">
        <v>8</v>
      </c>
      <c r="K745" s="3">
        <v>33.880000000000003</v>
      </c>
      <c r="L745" s="2">
        <v>20.93</v>
      </c>
      <c r="M745" s="2">
        <f>Table1[[#This Row],[UnitPrice]]*Table1[[#This Row],[Quantity]]</f>
        <v>271.04000000000002</v>
      </c>
      <c r="N745" s="2">
        <f>Table1[[#This Row],[CostPrice]]*Table1[[#This Row],[Quantity]]</f>
        <v>167.44</v>
      </c>
      <c r="O745" s="2">
        <v>49.39</v>
      </c>
      <c r="P745" s="4">
        <v>0.2</v>
      </c>
      <c r="Q745" t="s">
        <v>75</v>
      </c>
      <c r="R745" s="4">
        <f t="shared" si="11"/>
        <v>0.18222402597402595</v>
      </c>
    </row>
    <row r="746" spans="1:18" x14ac:dyDescent="0.25">
      <c r="A746">
        <v>1072</v>
      </c>
      <c r="B746" s="1">
        <v>45419</v>
      </c>
      <c r="C746" t="s">
        <v>139</v>
      </c>
      <c r="D746" t="s">
        <v>32</v>
      </c>
      <c r="E746" t="s">
        <v>53</v>
      </c>
      <c r="F746" t="s">
        <v>27</v>
      </c>
      <c r="G746" t="s">
        <v>35</v>
      </c>
      <c r="H746" t="s">
        <v>36</v>
      </c>
      <c r="I746" t="s">
        <v>100</v>
      </c>
      <c r="J746">
        <v>4</v>
      </c>
      <c r="K746" s="3">
        <v>573.94000000000005</v>
      </c>
      <c r="L746" s="2">
        <v>333.89</v>
      </c>
      <c r="M746" s="2">
        <f>Table1[[#This Row],[UnitPrice]]*Table1[[#This Row],[Quantity]]</f>
        <v>2295.7600000000002</v>
      </c>
      <c r="N746" s="2">
        <f>Table1[[#This Row],[CostPrice]]*Table1[[#This Row],[Quantity]]</f>
        <v>1335.56</v>
      </c>
      <c r="O746" s="2">
        <v>432.18</v>
      </c>
      <c r="P746" s="4">
        <v>0.23</v>
      </c>
      <c r="Q746" t="s">
        <v>51</v>
      </c>
      <c r="R746" s="4">
        <f t="shared" si="11"/>
        <v>0.18825138516221207</v>
      </c>
    </row>
    <row r="747" spans="1:18" x14ac:dyDescent="0.25">
      <c r="A747">
        <v>1015</v>
      </c>
      <c r="B747" s="1">
        <v>45450</v>
      </c>
      <c r="C747" t="s">
        <v>73</v>
      </c>
      <c r="D747" t="s">
        <v>17</v>
      </c>
      <c r="E747" t="s">
        <v>53</v>
      </c>
      <c r="F747" t="s">
        <v>19</v>
      </c>
      <c r="G747" t="s">
        <v>35</v>
      </c>
      <c r="H747" t="s">
        <v>49</v>
      </c>
      <c r="I747" t="s">
        <v>66</v>
      </c>
      <c r="J747">
        <v>2</v>
      </c>
      <c r="K747" s="3">
        <v>101.45</v>
      </c>
      <c r="L747" s="2">
        <v>66.03</v>
      </c>
      <c r="M747" s="2">
        <f>Table1[[#This Row],[UnitPrice]]*Table1[[#This Row],[Quantity]]</f>
        <v>202.9</v>
      </c>
      <c r="N747" s="2">
        <f>Table1[[#This Row],[CostPrice]]*Table1[[#This Row],[Quantity]]</f>
        <v>132.06</v>
      </c>
      <c r="O747" s="2">
        <v>44.46</v>
      </c>
      <c r="P747" s="4">
        <v>0.13</v>
      </c>
      <c r="Q747" t="s">
        <v>55</v>
      </c>
      <c r="R747" s="4">
        <f t="shared" si="11"/>
        <v>0.21912272055199605</v>
      </c>
    </row>
    <row r="748" spans="1:18" x14ac:dyDescent="0.25">
      <c r="A748">
        <v>1041</v>
      </c>
      <c r="B748" s="1">
        <v>45480</v>
      </c>
      <c r="C748" t="s">
        <v>109</v>
      </c>
      <c r="D748" t="s">
        <v>25</v>
      </c>
      <c r="E748" t="s">
        <v>26</v>
      </c>
      <c r="F748" t="s">
        <v>27</v>
      </c>
      <c r="G748" t="s">
        <v>41</v>
      </c>
      <c r="H748" t="s">
        <v>42</v>
      </c>
      <c r="I748" t="s">
        <v>43</v>
      </c>
      <c r="J748">
        <v>4</v>
      </c>
      <c r="K748" s="3">
        <v>68.91</v>
      </c>
      <c r="L748" s="2">
        <v>44.29</v>
      </c>
      <c r="M748" s="2">
        <f>Table1[[#This Row],[UnitPrice]]*Table1[[#This Row],[Quantity]]</f>
        <v>275.64</v>
      </c>
      <c r="N748" s="2">
        <f>Table1[[#This Row],[CostPrice]]*Table1[[#This Row],[Quantity]]</f>
        <v>177.16</v>
      </c>
      <c r="O748" s="2">
        <v>54.38</v>
      </c>
      <c r="P748" s="4">
        <v>0.16</v>
      </c>
      <c r="Q748" t="s">
        <v>75</v>
      </c>
      <c r="R748" s="4">
        <f t="shared" si="11"/>
        <v>0.19728631548396461</v>
      </c>
    </row>
    <row r="749" spans="1:18" x14ac:dyDescent="0.25">
      <c r="A749">
        <v>1640</v>
      </c>
      <c r="B749" s="1">
        <v>45511</v>
      </c>
      <c r="C749" t="s">
        <v>286</v>
      </c>
      <c r="D749" t="s">
        <v>25</v>
      </c>
      <c r="E749" t="s">
        <v>26</v>
      </c>
      <c r="F749" t="s">
        <v>40</v>
      </c>
      <c r="G749" t="s">
        <v>20</v>
      </c>
      <c r="H749" t="s">
        <v>21</v>
      </c>
      <c r="I749" t="s">
        <v>54</v>
      </c>
      <c r="J749">
        <v>7</v>
      </c>
      <c r="K749" s="3">
        <v>680.22</v>
      </c>
      <c r="L749" s="2">
        <v>354.14</v>
      </c>
      <c r="M749" s="2">
        <f>Table1[[#This Row],[UnitPrice]]*Table1[[#This Row],[Quantity]]</f>
        <v>4761.54</v>
      </c>
      <c r="N749" s="2">
        <f>Table1[[#This Row],[CostPrice]]*Table1[[#This Row],[Quantity]]</f>
        <v>2478.98</v>
      </c>
      <c r="O749" s="2">
        <v>901.71</v>
      </c>
      <c r="P749" s="4">
        <v>0.28999999999999998</v>
      </c>
      <c r="Q749" t="s">
        <v>92</v>
      </c>
      <c r="R749" s="4">
        <f t="shared" si="11"/>
        <v>0.18937360601822101</v>
      </c>
    </row>
    <row r="750" spans="1:18" x14ac:dyDescent="0.25">
      <c r="A750">
        <v>1262</v>
      </c>
      <c r="B750" s="1">
        <v>45542</v>
      </c>
      <c r="C750" t="s">
        <v>56</v>
      </c>
      <c r="D750" t="s">
        <v>32</v>
      </c>
      <c r="E750" t="s">
        <v>33</v>
      </c>
      <c r="F750" t="s">
        <v>34</v>
      </c>
      <c r="G750" t="s">
        <v>20</v>
      </c>
      <c r="H750" t="s">
        <v>21</v>
      </c>
      <c r="I750" t="s">
        <v>132</v>
      </c>
      <c r="J750">
        <v>1</v>
      </c>
      <c r="K750" s="3">
        <v>528.82000000000005</v>
      </c>
      <c r="L750" s="2">
        <v>264.54000000000002</v>
      </c>
      <c r="M750" s="2">
        <f>Table1[[#This Row],[UnitPrice]]*Table1[[#This Row],[Quantity]]</f>
        <v>528.82000000000005</v>
      </c>
      <c r="N750" s="2">
        <f>Table1[[#This Row],[CostPrice]]*Table1[[#This Row],[Quantity]]</f>
        <v>264.54000000000002</v>
      </c>
      <c r="O750" s="2">
        <v>116.21</v>
      </c>
      <c r="P750" s="4">
        <v>0.28000000000000003</v>
      </c>
      <c r="Q750" t="s">
        <v>23</v>
      </c>
      <c r="R750" s="4">
        <f t="shared" si="11"/>
        <v>0.21975341325971026</v>
      </c>
    </row>
    <row r="751" spans="1:18" x14ac:dyDescent="0.25">
      <c r="A751">
        <v>1196</v>
      </c>
      <c r="B751" s="1">
        <v>45572</v>
      </c>
      <c r="C751" t="s">
        <v>129</v>
      </c>
      <c r="D751" t="s">
        <v>25</v>
      </c>
      <c r="E751" t="s">
        <v>26</v>
      </c>
      <c r="F751" t="s">
        <v>40</v>
      </c>
      <c r="G751" t="s">
        <v>20</v>
      </c>
      <c r="H751" t="s">
        <v>21</v>
      </c>
      <c r="I751" t="s">
        <v>132</v>
      </c>
      <c r="J751">
        <v>7</v>
      </c>
      <c r="K751" s="3">
        <v>929.23</v>
      </c>
      <c r="L751" s="2">
        <v>561.95000000000005</v>
      </c>
      <c r="M751" s="2">
        <f>Table1[[#This Row],[UnitPrice]]*Table1[[#This Row],[Quantity]]</f>
        <v>6504.6100000000006</v>
      </c>
      <c r="N751" s="2">
        <f>Table1[[#This Row],[CostPrice]]*Table1[[#This Row],[Quantity]]</f>
        <v>3933.6500000000005</v>
      </c>
      <c r="O751" s="2">
        <v>1465.18</v>
      </c>
      <c r="P751" s="4">
        <v>0.17</v>
      </c>
      <c r="Q751" t="s">
        <v>125</v>
      </c>
      <c r="R751" s="4">
        <f t="shared" si="11"/>
        <v>0.22525255165182848</v>
      </c>
    </row>
    <row r="752" spans="1:18" x14ac:dyDescent="0.25">
      <c r="A752">
        <v>1828</v>
      </c>
      <c r="B752" s="1">
        <v>45603</v>
      </c>
      <c r="C752" t="s">
        <v>279</v>
      </c>
      <c r="D752" t="s">
        <v>32</v>
      </c>
      <c r="E752" t="s">
        <v>33</v>
      </c>
      <c r="F752" t="s">
        <v>40</v>
      </c>
      <c r="G752" t="s">
        <v>35</v>
      </c>
      <c r="H752" t="s">
        <v>36</v>
      </c>
      <c r="I752" t="s">
        <v>87</v>
      </c>
      <c r="J752">
        <v>8</v>
      </c>
      <c r="K752" s="3">
        <v>553.83000000000004</v>
      </c>
      <c r="L752" s="2">
        <v>299.11</v>
      </c>
      <c r="M752" s="2">
        <f>Table1[[#This Row],[UnitPrice]]*Table1[[#This Row],[Quantity]]</f>
        <v>4430.6400000000003</v>
      </c>
      <c r="N752" s="2">
        <f>Table1[[#This Row],[CostPrice]]*Table1[[#This Row],[Quantity]]</f>
        <v>2392.88</v>
      </c>
      <c r="O752" s="2">
        <v>885.79</v>
      </c>
      <c r="P752" s="4">
        <v>0.26</v>
      </c>
      <c r="Q752" t="s">
        <v>44</v>
      </c>
      <c r="R752" s="4">
        <f t="shared" si="11"/>
        <v>0.19992371305274179</v>
      </c>
    </row>
    <row r="753" spans="1:18" x14ac:dyDescent="0.25">
      <c r="A753">
        <v>1574</v>
      </c>
      <c r="B753" s="1">
        <v>45633</v>
      </c>
      <c r="C753" t="s">
        <v>78</v>
      </c>
      <c r="D753" t="s">
        <v>17</v>
      </c>
      <c r="E753" t="s">
        <v>26</v>
      </c>
      <c r="F753" t="s">
        <v>40</v>
      </c>
      <c r="G753" t="s">
        <v>20</v>
      </c>
      <c r="H753" t="s">
        <v>28</v>
      </c>
      <c r="I753" t="s">
        <v>61</v>
      </c>
      <c r="J753">
        <v>6</v>
      </c>
      <c r="K753" s="3">
        <v>822.26</v>
      </c>
      <c r="L753" s="2">
        <v>417.19</v>
      </c>
      <c r="M753" s="2">
        <f>Table1[[#This Row],[UnitPrice]]*Table1[[#This Row],[Quantity]]</f>
        <v>4933.5599999999995</v>
      </c>
      <c r="N753" s="2">
        <f>Table1[[#This Row],[CostPrice]]*Table1[[#This Row],[Quantity]]</f>
        <v>2503.14</v>
      </c>
      <c r="O753" s="2">
        <v>999.69</v>
      </c>
      <c r="P753" s="4">
        <v>0.28999999999999998</v>
      </c>
      <c r="Q753" t="s">
        <v>125</v>
      </c>
      <c r="R753" s="4">
        <f t="shared" si="11"/>
        <v>0.20263055481234649</v>
      </c>
    </row>
    <row r="754" spans="1:18" x14ac:dyDescent="0.25">
      <c r="A754">
        <v>1955</v>
      </c>
      <c r="B754" s="1">
        <v>45633</v>
      </c>
      <c r="C754" t="s">
        <v>139</v>
      </c>
      <c r="D754" t="s">
        <v>17</v>
      </c>
      <c r="E754" t="s">
        <v>26</v>
      </c>
      <c r="F754" t="s">
        <v>40</v>
      </c>
      <c r="G754" t="s">
        <v>35</v>
      </c>
      <c r="H754" t="s">
        <v>70</v>
      </c>
      <c r="I754" t="s">
        <v>71</v>
      </c>
      <c r="J754">
        <v>9</v>
      </c>
      <c r="K754" s="3">
        <v>557.03</v>
      </c>
      <c r="L754" s="2">
        <v>422.72</v>
      </c>
      <c r="M754" s="2">
        <f>Table1[[#This Row],[UnitPrice]]*Table1[[#This Row],[Quantity]]</f>
        <v>5013.2699999999995</v>
      </c>
      <c r="N754" s="2">
        <f>Table1[[#This Row],[CostPrice]]*Table1[[#This Row],[Quantity]]</f>
        <v>3804.4800000000005</v>
      </c>
      <c r="O754" s="2">
        <v>105.87</v>
      </c>
      <c r="P754" s="4">
        <v>0.22</v>
      </c>
      <c r="Q754" t="s">
        <v>44</v>
      </c>
      <c r="R754" s="4">
        <f t="shared" si="11"/>
        <v>2.1117952952863103E-2</v>
      </c>
    </row>
    <row r="755" spans="1:18" x14ac:dyDescent="0.25">
      <c r="A755">
        <v>1556</v>
      </c>
      <c r="B755" s="1">
        <v>45486</v>
      </c>
      <c r="C755" t="s">
        <v>133</v>
      </c>
      <c r="D755" t="s">
        <v>25</v>
      </c>
      <c r="E755" t="s">
        <v>53</v>
      </c>
      <c r="F755" t="s">
        <v>34</v>
      </c>
      <c r="G755" t="s">
        <v>35</v>
      </c>
      <c r="H755" t="s">
        <v>49</v>
      </c>
      <c r="I755" t="s">
        <v>50</v>
      </c>
      <c r="J755">
        <v>7</v>
      </c>
      <c r="K755" s="3">
        <v>445.34</v>
      </c>
      <c r="L755" s="2">
        <v>228.28</v>
      </c>
      <c r="M755" s="2">
        <f>Table1[[#This Row],[UnitPrice]]*Table1[[#This Row],[Quantity]]</f>
        <v>3117.3799999999997</v>
      </c>
      <c r="N755" s="2">
        <f>Table1[[#This Row],[CostPrice]]*Table1[[#This Row],[Quantity]]</f>
        <v>1597.96</v>
      </c>
      <c r="O755" s="2">
        <v>1363.55</v>
      </c>
      <c r="P755" s="4">
        <v>0.05</v>
      </c>
      <c r="Q755" t="s">
        <v>30</v>
      </c>
      <c r="R755" s="4">
        <f t="shared" si="11"/>
        <v>0.43740256240817615</v>
      </c>
    </row>
    <row r="756" spans="1:18" x14ac:dyDescent="0.25">
      <c r="A756">
        <v>1318</v>
      </c>
      <c r="B756" s="1">
        <v>45487</v>
      </c>
      <c r="C756" t="s">
        <v>249</v>
      </c>
      <c r="D756" t="s">
        <v>17</v>
      </c>
      <c r="E756" t="s">
        <v>33</v>
      </c>
      <c r="F756" t="s">
        <v>34</v>
      </c>
      <c r="G756" t="s">
        <v>20</v>
      </c>
      <c r="H756" t="s">
        <v>28</v>
      </c>
      <c r="I756" t="s">
        <v>81</v>
      </c>
      <c r="J756">
        <v>7</v>
      </c>
      <c r="K756" s="3">
        <v>111.43</v>
      </c>
      <c r="L756" s="2">
        <v>79.540000000000006</v>
      </c>
      <c r="M756" s="2">
        <f>Table1[[#This Row],[UnitPrice]]*Table1[[#This Row],[Quantity]]</f>
        <v>780.01</v>
      </c>
      <c r="N756" s="2">
        <f>Table1[[#This Row],[CostPrice]]*Table1[[#This Row],[Quantity]]</f>
        <v>556.78000000000009</v>
      </c>
      <c r="O756" s="2">
        <v>176.43</v>
      </c>
      <c r="P756" s="4">
        <v>0.06</v>
      </c>
      <c r="Q756" t="s">
        <v>75</v>
      </c>
      <c r="R756" s="4">
        <f t="shared" si="11"/>
        <v>0.22618940782810479</v>
      </c>
    </row>
    <row r="757" spans="1:18" x14ac:dyDescent="0.25">
      <c r="A757">
        <v>1095</v>
      </c>
      <c r="B757" s="1">
        <v>45488</v>
      </c>
      <c r="C757" t="s">
        <v>157</v>
      </c>
      <c r="D757" t="s">
        <v>32</v>
      </c>
      <c r="E757" t="s">
        <v>18</v>
      </c>
      <c r="F757" t="s">
        <v>27</v>
      </c>
      <c r="G757" t="s">
        <v>41</v>
      </c>
      <c r="H757" t="s">
        <v>63</v>
      </c>
      <c r="I757" t="s">
        <v>117</v>
      </c>
      <c r="J757">
        <v>2</v>
      </c>
      <c r="K757" s="3">
        <v>794.13</v>
      </c>
      <c r="L757" s="2">
        <v>428.87</v>
      </c>
      <c r="M757" s="2">
        <f>Table1[[#This Row],[UnitPrice]]*Table1[[#This Row],[Quantity]]</f>
        <v>1588.26</v>
      </c>
      <c r="N757" s="2">
        <f>Table1[[#This Row],[CostPrice]]*Table1[[#This Row],[Quantity]]</f>
        <v>857.74</v>
      </c>
      <c r="O757" s="2">
        <v>412.87</v>
      </c>
      <c r="P757" s="4">
        <v>0.2</v>
      </c>
      <c r="Q757" t="s">
        <v>38</v>
      </c>
      <c r="R757" s="4">
        <f t="shared" si="11"/>
        <v>0.25995114150076182</v>
      </c>
    </row>
    <row r="758" spans="1:18" x14ac:dyDescent="0.25">
      <c r="A758">
        <v>1754</v>
      </c>
      <c r="B758" s="1">
        <v>45491</v>
      </c>
      <c r="C758" t="s">
        <v>193</v>
      </c>
      <c r="D758" t="s">
        <v>32</v>
      </c>
      <c r="E758" t="s">
        <v>53</v>
      </c>
      <c r="F758" t="s">
        <v>19</v>
      </c>
      <c r="G758" t="s">
        <v>35</v>
      </c>
      <c r="H758" t="s">
        <v>36</v>
      </c>
      <c r="I758" t="s">
        <v>100</v>
      </c>
      <c r="J758">
        <v>9</v>
      </c>
      <c r="K758" s="3">
        <v>714.66</v>
      </c>
      <c r="L758" s="2">
        <v>521.80999999999995</v>
      </c>
      <c r="M758" s="2">
        <f>Table1[[#This Row],[UnitPrice]]*Table1[[#This Row],[Quantity]]</f>
        <v>6431.94</v>
      </c>
      <c r="N758" s="2">
        <f>Table1[[#This Row],[CostPrice]]*Table1[[#This Row],[Quantity]]</f>
        <v>4696.2899999999991</v>
      </c>
      <c r="O758" s="2">
        <v>1478.37</v>
      </c>
      <c r="P758" s="4">
        <v>0.04</v>
      </c>
      <c r="Q758" t="s">
        <v>125</v>
      </c>
      <c r="R758" s="4">
        <f t="shared" si="11"/>
        <v>0.2298482261961399</v>
      </c>
    </row>
    <row r="759" spans="1:18" x14ac:dyDescent="0.25">
      <c r="A759">
        <v>1327</v>
      </c>
      <c r="B759" s="1">
        <v>45492</v>
      </c>
      <c r="C759" t="s">
        <v>124</v>
      </c>
      <c r="D759" t="s">
        <v>17</v>
      </c>
      <c r="E759" t="s">
        <v>18</v>
      </c>
      <c r="F759" t="s">
        <v>19</v>
      </c>
      <c r="G759" t="s">
        <v>41</v>
      </c>
      <c r="H759" t="s">
        <v>46</v>
      </c>
      <c r="I759" t="s">
        <v>47</v>
      </c>
      <c r="J759">
        <v>6</v>
      </c>
      <c r="K759" s="3">
        <v>756.33</v>
      </c>
      <c r="L759" s="2">
        <v>522.86</v>
      </c>
      <c r="M759" s="2">
        <f>Table1[[#This Row],[UnitPrice]]*Table1[[#This Row],[Quantity]]</f>
        <v>4537.9800000000005</v>
      </c>
      <c r="N759" s="2">
        <f>Table1[[#This Row],[CostPrice]]*Table1[[#This Row],[Quantity]]</f>
        <v>3137.16</v>
      </c>
      <c r="O759" s="2">
        <v>583.98</v>
      </c>
      <c r="P759" s="4">
        <v>0.18</v>
      </c>
      <c r="Q759" t="s">
        <v>23</v>
      </c>
      <c r="R759" s="4">
        <f t="shared" si="11"/>
        <v>0.12868721325347401</v>
      </c>
    </row>
    <row r="760" spans="1:18" x14ac:dyDescent="0.25">
      <c r="A760">
        <v>1780</v>
      </c>
      <c r="B760" s="1">
        <v>45492</v>
      </c>
      <c r="C760" t="s">
        <v>109</v>
      </c>
      <c r="D760" t="s">
        <v>25</v>
      </c>
      <c r="E760" t="s">
        <v>33</v>
      </c>
      <c r="F760" t="s">
        <v>19</v>
      </c>
      <c r="G760" t="s">
        <v>35</v>
      </c>
      <c r="H760" t="s">
        <v>36</v>
      </c>
      <c r="I760" t="s">
        <v>100</v>
      </c>
      <c r="J760">
        <v>3</v>
      </c>
      <c r="K760" s="3">
        <v>942.34</v>
      </c>
      <c r="L760" s="2">
        <v>562.78</v>
      </c>
      <c r="M760" s="2">
        <f>Table1[[#This Row],[UnitPrice]]*Table1[[#This Row],[Quantity]]</f>
        <v>2827.02</v>
      </c>
      <c r="N760" s="2">
        <f>Table1[[#This Row],[CostPrice]]*Table1[[#This Row],[Quantity]]</f>
        <v>1688.34</v>
      </c>
      <c r="O760" s="2">
        <v>1025.5999999999999</v>
      </c>
      <c r="P760" s="4">
        <v>0.04</v>
      </c>
      <c r="Q760" t="s">
        <v>51</v>
      </c>
      <c r="R760" s="4">
        <f t="shared" si="11"/>
        <v>0.36278484057417348</v>
      </c>
    </row>
    <row r="761" spans="1:18" x14ac:dyDescent="0.25">
      <c r="A761">
        <v>1244</v>
      </c>
      <c r="B761" s="1">
        <v>45493</v>
      </c>
      <c r="C761" t="s">
        <v>169</v>
      </c>
      <c r="D761" t="s">
        <v>17</v>
      </c>
      <c r="E761" t="s">
        <v>53</v>
      </c>
      <c r="F761" t="s">
        <v>19</v>
      </c>
      <c r="G761" t="s">
        <v>35</v>
      </c>
      <c r="H761" t="s">
        <v>36</v>
      </c>
      <c r="I761" t="s">
        <v>37</v>
      </c>
      <c r="J761">
        <v>6</v>
      </c>
      <c r="K761" s="3">
        <v>274.89999999999998</v>
      </c>
      <c r="L761" s="2">
        <v>144.94</v>
      </c>
      <c r="M761" s="2">
        <f>Table1[[#This Row],[UnitPrice]]*Table1[[#This Row],[Quantity]]</f>
        <v>1649.3999999999999</v>
      </c>
      <c r="N761" s="2">
        <f>Table1[[#This Row],[CostPrice]]*Table1[[#This Row],[Quantity]]</f>
        <v>869.64</v>
      </c>
      <c r="O761" s="2">
        <v>598.33000000000004</v>
      </c>
      <c r="P761" s="4">
        <v>0.11</v>
      </c>
      <c r="Q761" t="s">
        <v>38</v>
      </c>
      <c r="R761" s="4">
        <f t="shared" si="11"/>
        <v>0.3627561537528799</v>
      </c>
    </row>
    <row r="762" spans="1:18" x14ac:dyDescent="0.25">
      <c r="A762">
        <v>1833</v>
      </c>
      <c r="B762" s="1">
        <v>45493</v>
      </c>
      <c r="C762" t="s">
        <v>216</v>
      </c>
      <c r="D762" t="s">
        <v>25</v>
      </c>
      <c r="E762" t="s">
        <v>33</v>
      </c>
      <c r="F762" t="s">
        <v>34</v>
      </c>
      <c r="G762" t="s">
        <v>20</v>
      </c>
      <c r="H762" t="s">
        <v>28</v>
      </c>
      <c r="I762" t="s">
        <v>90</v>
      </c>
      <c r="J762">
        <v>10</v>
      </c>
      <c r="K762" s="3">
        <v>157.28</v>
      </c>
      <c r="L762" s="2">
        <v>112.67</v>
      </c>
      <c r="M762" s="2">
        <f>Table1[[#This Row],[UnitPrice]]*Table1[[#This Row],[Quantity]]</f>
        <v>1572.8</v>
      </c>
      <c r="N762" s="2">
        <f>Table1[[#This Row],[CostPrice]]*Table1[[#This Row],[Quantity]]</f>
        <v>1126.7</v>
      </c>
      <c r="O762" s="2">
        <v>194.45</v>
      </c>
      <c r="P762" s="4">
        <v>0.16</v>
      </c>
      <c r="Q762" t="s">
        <v>44</v>
      </c>
      <c r="R762" s="4">
        <f t="shared" si="11"/>
        <v>0.12363301119023397</v>
      </c>
    </row>
    <row r="763" spans="1:18" x14ac:dyDescent="0.25">
      <c r="A763">
        <v>1140</v>
      </c>
      <c r="B763" s="1">
        <v>45494</v>
      </c>
      <c r="C763" t="s">
        <v>65</v>
      </c>
      <c r="D763" t="s">
        <v>32</v>
      </c>
      <c r="E763" t="s">
        <v>26</v>
      </c>
      <c r="F763" t="s">
        <v>34</v>
      </c>
      <c r="G763" t="s">
        <v>20</v>
      </c>
      <c r="H763" t="s">
        <v>28</v>
      </c>
      <c r="I763" t="s">
        <v>61</v>
      </c>
      <c r="J763">
        <v>8</v>
      </c>
      <c r="K763" s="3">
        <v>528.07000000000005</v>
      </c>
      <c r="L763" s="2">
        <v>406.2</v>
      </c>
      <c r="M763" s="2">
        <f>Table1[[#This Row],[UnitPrice]]*Table1[[#This Row],[Quantity]]</f>
        <v>4224.5600000000004</v>
      </c>
      <c r="N763" s="2">
        <f>Table1[[#This Row],[CostPrice]]*Table1[[#This Row],[Quantity]]</f>
        <v>3249.6</v>
      </c>
      <c r="O763" s="2">
        <v>-81.180000000000007</v>
      </c>
      <c r="P763" s="4">
        <v>0.25</v>
      </c>
      <c r="Q763" t="s">
        <v>44</v>
      </c>
      <c r="R763" s="4">
        <f t="shared" si="11"/>
        <v>-1.9216202397409433E-2</v>
      </c>
    </row>
    <row r="764" spans="1:18" x14ac:dyDescent="0.25">
      <c r="A764">
        <v>1403</v>
      </c>
      <c r="B764" s="1">
        <v>45494</v>
      </c>
      <c r="C764" t="s">
        <v>145</v>
      </c>
      <c r="D764" t="s">
        <v>17</v>
      </c>
      <c r="E764" t="s">
        <v>26</v>
      </c>
      <c r="F764" t="s">
        <v>27</v>
      </c>
      <c r="G764" t="s">
        <v>35</v>
      </c>
      <c r="H764" t="s">
        <v>49</v>
      </c>
      <c r="I764" t="s">
        <v>59</v>
      </c>
      <c r="J764">
        <v>6</v>
      </c>
      <c r="K764" s="3">
        <v>456.81</v>
      </c>
      <c r="L764" s="2">
        <v>352.46</v>
      </c>
      <c r="M764" s="2">
        <f>Table1[[#This Row],[UnitPrice]]*Table1[[#This Row],[Quantity]]</f>
        <v>2740.86</v>
      </c>
      <c r="N764" s="2">
        <f>Table1[[#This Row],[CostPrice]]*Table1[[#This Row],[Quantity]]</f>
        <v>2114.7599999999998</v>
      </c>
      <c r="O764" s="2">
        <v>214.97</v>
      </c>
      <c r="P764" s="4">
        <v>0.15</v>
      </c>
      <c r="Q764" t="s">
        <v>92</v>
      </c>
      <c r="R764" s="4">
        <f t="shared" si="11"/>
        <v>7.8431587166071959E-2</v>
      </c>
    </row>
    <row r="765" spans="1:18" x14ac:dyDescent="0.25">
      <c r="A765">
        <v>1201</v>
      </c>
      <c r="B765" s="1">
        <v>45495</v>
      </c>
      <c r="C765" t="s">
        <v>96</v>
      </c>
      <c r="D765" t="s">
        <v>25</v>
      </c>
      <c r="E765" t="s">
        <v>33</v>
      </c>
      <c r="F765" t="s">
        <v>34</v>
      </c>
      <c r="G765" t="s">
        <v>35</v>
      </c>
      <c r="H765" t="s">
        <v>70</v>
      </c>
      <c r="I765" t="s">
        <v>98</v>
      </c>
      <c r="J765">
        <v>10</v>
      </c>
      <c r="K765" s="3">
        <v>600.04999999999995</v>
      </c>
      <c r="L765" s="2">
        <v>368.16</v>
      </c>
      <c r="M765" s="2">
        <f>Table1[[#This Row],[UnitPrice]]*Table1[[#This Row],[Quantity]]</f>
        <v>6000.5</v>
      </c>
      <c r="N765" s="2">
        <f>Table1[[#This Row],[CostPrice]]*Table1[[#This Row],[Quantity]]</f>
        <v>3681.6000000000004</v>
      </c>
      <c r="O765" s="2">
        <v>1598.84</v>
      </c>
      <c r="P765" s="4">
        <v>0.12</v>
      </c>
      <c r="Q765" t="s">
        <v>30</v>
      </c>
      <c r="R765" s="4">
        <f t="shared" si="11"/>
        <v>0.26645112907257729</v>
      </c>
    </row>
    <row r="766" spans="1:18" x14ac:dyDescent="0.25">
      <c r="A766">
        <v>1218</v>
      </c>
      <c r="B766" s="1">
        <v>45495</v>
      </c>
      <c r="C766" t="s">
        <v>217</v>
      </c>
      <c r="D766" t="s">
        <v>32</v>
      </c>
      <c r="E766" t="s">
        <v>26</v>
      </c>
      <c r="F766" t="s">
        <v>19</v>
      </c>
      <c r="G766" t="s">
        <v>35</v>
      </c>
      <c r="H766" t="s">
        <v>49</v>
      </c>
      <c r="I766" t="s">
        <v>59</v>
      </c>
      <c r="J766">
        <v>1</v>
      </c>
      <c r="K766" s="3">
        <v>866.19</v>
      </c>
      <c r="L766" s="2">
        <v>721.66</v>
      </c>
      <c r="M766" s="2">
        <f>Table1[[#This Row],[UnitPrice]]*Table1[[#This Row],[Quantity]]</f>
        <v>866.19</v>
      </c>
      <c r="N766" s="2">
        <f>Table1[[#This Row],[CostPrice]]*Table1[[#This Row],[Quantity]]</f>
        <v>721.66</v>
      </c>
      <c r="O766" s="2">
        <v>14.6</v>
      </c>
      <c r="P766" s="4">
        <v>0.15</v>
      </c>
      <c r="Q766" t="s">
        <v>23</v>
      </c>
      <c r="R766" s="4">
        <f t="shared" si="11"/>
        <v>1.6855424329535088E-2</v>
      </c>
    </row>
    <row r="767" spans="1:18" x14ac:dyDescent="0.25">
      <c r="A767">
        <v>1467</v>
      </c>
      <c r="B767" s="1">
        <v>45495</v>
      </c>
      <c r="C767" t="s">
        <v>152</v>
      </c>
      <c r="D767" t="s">
        <v>32</v>
      </c>
      <c r="E767" t="s">
        <v>26</v>
      </c>
      <c r="F767" t="s">
        <v>40</v>
      </c>
      <c r="G767" t="s">
        <v>35</v>
      </c>
      <c r="H767" t="s">
        <v>36</v>
      </c>
      <c r="I767" t="s">
        <v>100</v>
      </c>
      <c r="J767">
        <v>2</v>
      </c>
      <c r="K767" s="3">
        <v>687.08</v>
      </c>
      <c r="L767" s="2">
        <v>486.96</v>
      </c>
      <c r="M767" s="2">
        <f>Table1[[#This Row],[UnitPrice]]*Table1[[#This Row],[Quantity]]</f>
        <v>1374.16</v>
      </c>
      <c r="N767" s="2">
        <f>Table1[[#This Row],[CostPrice]]*Table1[[#This Row],[Quantity]]</f>
        <v>973.92</v>
      </c>
      <c r="O767" s="2">
        <v>56.7</v>
      </c>
      <c r="P767" s="4">
        <v>0.25</v>
      </c>
      <c r="Q767" t="s">
        <v>85</v>
      </c>
      <c r="R767" s="4">
        <f t="shared" si="11"/>
        <v>4.1261570705012518E-2</v>
      </c>
    </row>
    <row r="768" spans="1:18" x14ac:dyDescent="0.25">
      <c r="A768">
        <v>1533</v>
      </c>
      <c r="B768" s="1">
        <v>45496</v>
      </c>
      <c r="C768" t="s">
        <v>128</v>
      </c>
      <c r="D768" t="s">
        <v>17</v>
      </c>
      <c r="E768" t="s">
        <v>26</v>
      </c>
      <c r="F768" t="s">
        <v>19</v>
      </c>
      <c r="G768" t="s">
        <v>20</v>
      </c>
      <c r="H768" t="s">
        <v>28</v>
      </c>
      <c r="I768" t="s">
        <v>29</v>
      </c>
      <c r="J768">
        <v>9</v>
      </c>
      <c r="K768" s="3">
        <v>493.13</v>
      </c>
      <c r="L768" s="2">
        <v>388.58</v>
      </c>
      <c r="M768" s="2">
        <f>Table1[[#This Row],[UnitPrice]]*Table1[[#This Row],[Quantity]]</f>
        <v>4438.17</v>
      </c>
      <c r="N768" s="2">
        <f>Table1[[#This Row],[CostPrice]]*Table1[[#This Row],[Quantity]]</f>
        <v>3497.22</v>
      </c>
      <c r="O768" s="2">
        <v>541.51</v>
      </c>
      <c r="P768" s="4">
        <v>0.09</v>
      </c>
      <c r="Q768" t="s">
        <v>125</v>
      </c>
      <c r="R768" s="4">
        <f t="shared" si="11"/>
        <v>0.12201200044162346</v>
      </c>
    </row>
    <row r="769" spans="1:18" x14ac:dyDescent="0.25">
      <c r="A769">
        <v>1647</v>
      </c>
      <c r="B769" s="1">
        <v>45496</v>
      </c>
      <c r="C769" t="s">
        <v>144</v>
      </c>
      <c r="D769" t="s">
        <v>32</v>
      </c>
      <c r="E769" t="s">
        <v>26</v>
      </c>
      <c r="F769" t="s">
        <v>40</v>
      </c>
      <c r="G769" t="s">
        <v>41</v>
      </c>
      <c r="H769" t="s">
        <v>46</v>
      </c>
      <c r="I769" t="s">
        <v>102</v>
      </c>
      <c r="J769">
        <v>5</v>
      </c>
      <c r="K769" s="3">
        <v>979.74</v>
      </c>
      <c r="L769" s="2">
        <v>732.57</v>
      </c>
      <c r="M769" s="2">
        <f>Table1[[#This Row],[UnitPrice]]*Table1[[#This Row],[Quantity]]</f>
        <v>4898.7</v>
      </c>
      <c r="N769" s="2">
        <f>Table1[[#This Row],[CostPrice]]*Table1[[#This Row],[Quantity]]</f>
        <v>3662.8500000000004</v>
      </c>
      <c r="O769" s="2">
        <v>843.95</v>
      </c>
      <c r="P769" s="4">
        <v>0.08</v>
      </c>
      <c r="Q769" t="s">
        <v>85</v>
      </c>
      <c r="R769" s="4">
        <f t="shared" si="11"/>
        <v>0.17228040092269378</v>
      </c>
    </row>
    <row r="770" spans="1:18" x14ac:dyDescent="0.25">
      <c r="A770">
        <v>1549</v>
      </c>
      <c r="B770" s="1">
        <v>45497</v>
      </c>
      <c r="C770" t="s">
        <v>203</v>
      </c>
      <c r="D770" t="s">
        <v>25</v>
      </c>
      <c r="E770" t="s">
        <v>18</v>
      </c>
      <c r="F770" t="s">
        <v>27</v>
      </c>
      <c r="G770" t="s">
        <v>20</v>
      </c>
      <c r="H770" t="s">
        <v>28</v>
      </c>
      <c r="I770" t="s">
        <v>29</v>
      </c>
      <c r="J770">
        <v>8</v>
      </c>
      <c r="K770" s="3">
        <v>602.39</v>
      </c>
      <c r="L770" s="2">
        <v>366.98</v>
      </c>
      <c r="M770" s="2">
        <f>Table1[[#This Row],[UnitPrice]]*Table1[[#This Row],[Quantity]]</f>
        <v>4819.12</v>
      </c>
      <c r="N770" s="2">
        <f>Table1[[#This Row],[CostPrice]]*Table1[[#This Row],[Quantity]]</f>
        <v>2935.84</v>
      </c>
      <c r="O770" s="2">
        <v>485.74</v>
      </c>
      <c r="P770" s="4">
        <v>0.28999999999999998</v>
      </c>
      <c r="Q770" t="s">
        <v>55</v>
      </c>
      <c r="R770" s="4">
        <f t="shared" ref="R770:R833" si="12">O770/M770</f>
        <v>0.1007943358953502</v>
      </c>
    </row>
    <row r="771" spans="1:18" x14ac:dyDescent="0.25">
      <c r="A771">
        <v>1152</v>
      </c>
      <c r="B771" s="1">
        <v>45498</v>
      </c>
      <c r="C771" t="s">
        <v>192</v>
      </c>
      <c r="D771" t="s">
        <v>25</v>
      </c>
      <c r="E771" t="s">
        <v>26</v>
      </c>
      <c r="F771" t="s">
        <v>27</v>
      </c>
      <c r="G771" t="s">
        <v>41</v>
      </c>
      <c r="H771" t="s">
        <v>42</v>
      </c>
      <c r="I771" t="s">
        <v>77</v>
      </c>
      <c r="J771">
        <v>1</v>
      </c>
      <c r="K771" s="3">
        <v>141.35</v>
      </c>
      <c r="L771" s="2">
        <v>87.15</v>
      </c>
      <c r="M771" s="2">
        <f>Table1[[#This Row],[UnitPrice]]*Table1[[#This Row],[Quantity]]</f>
        <v>141.35</v>
      </c>
      <c r="N771" s="2">
        <f>Table1[[#This Row],[CostPrice]]*Table1[[#This Row],[Quantity]]</f>
        <v>87.15</v>
      </c>
      <c r="O771" s="2">
        <v>34.409999999999997</v>
      </c>
      <c r="P771" s="4">
        <v>0.14000000000000001</v>
      </c>
      <c r="Q771" t="s">
        <v>55</v>
      </c>
      <c r="R771" s="4">
        <f t="shared" si="12"/>
        <v>0.24343827378846833</v>
      </c>
    </row>
    <row r="772" spans="1:18" x14ac:dyDescent="0.25">
      <c r="A772">
        <v>1419</v>
      </c>
      <c r="B772" s="1">
        <v>45499</v>
      </c>
      <c r="C772" t="s">
        <v>267</v>
      </c>
      <c r="D772" t="s">
        <v>32</v>
      </c>
      <c r="E772" t="s">
        <v>26</v>
      </c>
      <c r="F772" t="s">
        <v>19</v>
      </c>
      <c r="G772" t="s">
        <v>20</v>
      </c>
      <c r="H772" t="s">
        <v>21</v>
      </c>
      <c r="I772" t="s">
        <v>54</v>
      </c>
      <c r="J772">
        <v>7</v>
      </c>
      <c r="K772" s="3">
        <v>326.79000000000002</v>
      </c>
      <c r="L772" s="2">
        <v>269.08999999999997</v>
      </c>
      <c r="M772" s="2">
        <f>Table1[[#This Row],[UnitPrice]]*Table1[[#This Row],[Quantity]]</f>
        <v>2287.5300000000002</v>
      </c>
      <c r="N772" s="2">
        <f>Table1[[#This Row],[CostPrice]]*Table1[[#This Row],[Quantity]]</f>
        <v>1883.6299999999999</v>
      </c>
      <c r="O772" s="2">
        <v>335.27</v>
      </c>
      <c r="P772" s="4">
        <v>0.03</v>
      </c>
      <c r="Q772" t="s">
        <v>75</v>
      </c>
      <c r="R772" s="4">
        <f t="shared" si="12"/>
        <v>0.14656419806516197</v>
      </c>
    </row>
    <row r="773" spans="1:18" x14ac:dyDescent="0.25">
      <c r="A773">
        <v>1632</v>
      </c>
      <c r="B773" s="1">
        <v>45499</v>
      </c>
      <c r="C773" t="s">
        <v>274</v>
      </c>
      <c r="D773" t="s">
        <v>25</v>
      </c>
      <c r="E773" t="s">
        <v>53</v>
      </c>
      <c r="F773" t="s">
        <v>34</v>
      </c>
      <c r="G773" t="s">
        <v>20</v>
      </c>
      <c r="H773" t="s">
        <v>28</v>
      </c>
      <c r="I773" t="s">
        <v>29</v>
      </c>
      <c r="J773">
        <v>1</v>
      </c>
      <c r="K773" s="3">
        <v>525.16</v>
      </c>
      <c r="L773" s="2">
        <v>284.22000000000003</v>
      </c>
      <c r="M773" s="2">
        <f>Table1[[#This Row],[UnitPrice]]*Table1[[#This Row],[Quantity]]</f>
        <v>525.16</v>
      </c>
      <c r="N773" s="2">
        <f>Table1[[#This Row],[CostPrice]]*Table1[[#This Row],[Quantity]]</f>
        <v>284.22000000000003</v>
      </c>
      <c r="O773" s="2">
        <v>193.68</v>
      </c>
      <c r="P773" s="4">
        <v>0.09</v>
      </c>
      <c r="Q773" t="s">
        <v>85</v>
      </c>
      <c r="R773" s="4">
        <f t="shared" si="12"/>
        <v>0.36880188894813015</v>
      </c>
    </row>
    <row r="774" spans="1:18" x14ac:dyDescent="0.25">
      <c r="A774">
        <v>1637</v>
      </c>
      <c r="B774" s="1">
        <v>45501</v>
      </c>
      <c r="C774" t="s">
        <v>150</v>
      </c>
      <c r="D774" t="s">
        <v>17</v>
      </c>
      <c r="E774" t="s">
        <v>33</v>
      </c>
      <c r="F774" t="s">
        <v>19</v>
      </c>
      <c r="G774" t="s">
        <v>41</v>
      </c>
      <c r="H774" t="s">
        <v>63</v>
      </c>
      <c r="I774" t="s">
        <v>64</v>
      </c>
      <c r="J774">
        <v>1</v>
      </c>
      <c r="K774" s="3">
        <v>957.51</v>
      </c>
      <c r="L774" s="2">
        <v>653.61</v>
      </c>
      <c r="M774" s="2">
        <f>Table1[[#This Row],[UnitPrice]]*Table1[[#This Row],[Quantity]]</f>
        <v>957.51</v>
      </c>
      <c r="N774" s="2">
        <f>Table1[[#This Row],[CostPrice]]*Table1[[#This Row],[Quantity]]</f>
        <v>653.61</v>
      </c>
      <c r="O774" s="2">
        <v>83.67</v>
      </c>
      <c r="P774" s="4">
        <v>0.23</v>
      </c>
      <c r="Q774" t="s">
        <v>38</v>
      </c>
      <c r="R774" s="4">
        <f t="shared" si="12"/>
        <v>8.7382899395306579E-2</v>
      </c>
    </row>
    <row r="775" spans="1:18" x14ac:dyDescent="0.25">
      <c r="A775">
        <v>1951</v>
      </c>
      <c r="B775" s="1">
        <v>45501</v>
      </c>
      <c r="C775" t="s">
        <v>76</v>
      </c>
      <c r="D775" t="s">
        <v>32</v>
      </c>
      <c r="E775" t="s">
        <v>26</v>
      </c>
      <c r="F775" t="s">
        <v>27</v>
      </c>
      <c r="G775" t="s">
        <v>20</v>
      </c>
      <c r="H775" t="s">
        <v>28</v>
      </c>
      <c r="I775" t="s">
        <v>61</v>
      </c>
      <c r="J775">
        <v>6</v>
      </c>
      <c r="K775" s="3">
        <v>763.89</v>
      </c>
      <c r="L775" s="2">
        <v>573</v>
      </c>
      <c r="M775" s="2">
        <f>Table1[[#This Row],[UnitPrice]]*Table1[[#This Row],[Quantity]]</f>
        <v>4583.34</v>
      </c>
      <c r="N775" s="2">
        <f>Table1[[#This Row],[CostPrice]]*Table1[[#This Row],[Quantity]]</f>
        <v>3438</v>
      </c>
      <c r="O775" s="2">
        <v>503.67</v>
      </c>
      <c r="P775" s="4">
        <v>0.14000000000000001</v>
      </c>
      <c r="Q775" t="s">
        <v>125</v>
      </c>
      <c r="R775" s="4">
        <f t="shared" si="12"/>
        <v>0.1098914765214887</v>
      </c>
    </row>
    <row r="776" spans="1:18" x14ac:dyDescent="0.25">
      <c r="A776">
        <v>1953</v>
      </c>
      <c r="B776" s="1">
        <v>45501</v>
      </c>
      <c r="C776" t="s">
        <v>115</v>
      </c>
      <c r="D776" t="s">
        <v>32</v>
      </c>
      <c r="E776" t="s">
        <v>26</v>
      </c>
      <c r="F776" t="s">
        <v>34</v>
      </c>
      <c r="G776" t="s">
        <v>20</v>
      </c>
      <c r="H776" t="s">
        <v>28</v>
      </c>
      <c r="I776" t="s">
        <v>61</v>
      </c>
      <c r="J776">
        <v>9</v>
      </c>
      <c r="K776" s="3">
        <v>724.42</v>
      </c>
      <c r="L776" s="2">
        <v>505.88</v>
      </c>
      <c r="M776" s="2">
        <f>Table1[[#This Row],[UnitPrice]]*Table1[[#This Row],[Quantity]]</f>
        <v>6519.78</v>
      </c>
      <c r="N776" s="2">
        <f>Table1[[#This Row],[CostPrice]]*Table1[[#This Row],[Quantity]]</f>
        <v>4552.92</v>
      </c>
      <c r="O776" s="2">
        <v>1510.48</v>
      </c>
      <c r="P776" s="4">
        <v>7.0000000000000007E-2</v>
      </c>
      <c r="Q776" t="s">
        <v>55</v>
      </c>
      <c r="R776" s="4">
        <f t="shared" si="12"/>
        <v>0.23167652896263372</v>
      </c>
    </row>
    <row r="777" spans="1:18" x14ac:dyDescent="0.25">
      <c r="A777">
        <v>1098</v>
      </c>
      <c r="B777" s="1">
        <v>45502</v>
      </c>
      <c r="C777" t="s">
        <v>159</v>
      </c>
      <c r="D777" t="s">
        <v>25</v>
      </c>
      <c r="E777" t="s">
        <v>53</v>
      </c>
      <c r="F777" t="s">
        <v>40</v>
      </c>
      <c r="G777" t="s">
        <v>41</v>
      </c>
      <c r="H777" t="s">
        <v>46</v>
      </c>
      <c r="I777" t="s">
        <v>102</v>
      </c>
      <c r="J777">
        <v>1</v>
      </c>
      <c r="K777" s="3">
        <v>968.56</v>
      </c>
      <c r="L777" s="2">
        <v>687.82</v>
      </c>
      <c r="M777" s="2">
        <f>Table1[[#This Row],[UnitPrice]]*Table1[[#This Row],[Quantity]]</f>
        <v>968.56</v>
      </c>
      <c r="N777" s="2">
        <f>Table1[[#This Row],[CostPrice]]*Table1[[#This Row],[Quantity]]</f>
        <v>687.82</v>
      </c>
      <c r="O777" s="2">
        <v>174.2</v>
      </c>
      <c r="P777" s="4">
        <v>0.11</v>
      </c>
      <c r="Q777" t="s">
        <v>125</v>
      </c>
      <c r="R777" s="4">
        <f t="shared" si="12"/>
        <v>0.17985462955315107</v>
      </c>
    </row>
    <row r="778" spans="1:18" x14ac:dyDescent="0.25">
      <c r="A778">
        <v>1280</v>
      </c>
      <c r="B778" s="1">
        <v>45503</v>
      </c>
      <c r="C778" t="s">
        <v>183</v>
      </c>
      <c r="D778" t="s">
        <v>32</v>
      </c>
      <c r="E778" t="s">
        <v>18</v>
      </c>
      <c r="F778" t="s">
        <v>27</v>
      </c>
      <c r="G778" t="s">
        <v>35</v>
      </c>
      <c r="H778" t="s">
        <v>49</v>
      </c>
      <c r="I778" t="s">
        <v>59</v>
      </c>
      <c r="J778">
        <v>8</v>
      </c>
      <c r="K778" s="3">
        <v>574.16</v>
      </c>
      <c r="L778" s="2">
        <v>382.14</v>
      </c>
      <c r="M778" s="2">
        <f>Table1[[#This Row],[UnitPrice]]*Table1[[#This Row],[Quantity]]</f>
        <v>4593.28</v>
      </c>
      <c r="N778" s="2">
        <f>Table1[[#This Row],[CostPrice]]*Table1[[#This Row],[Quantity]]</f>
        <v>3057.12</v>
      </c>
      <c r="O778" s="2">
        <v>1306.5</v>
      </c>
      <c r="P778" s="4">
        <v>0.05</v>
      </c>
      <c r="Q778" t="s">
        <v>75</v>
      </c>
      <c r="R778" s="4">
        <f t="shared" si="12"/>
        <v>0.28443726487390275</v>
      </c>
    </row>
    <row r="779" spans="1:18" x14ac:dyDescent="0.25">
      <c r="A779">
        <v>1750</v>
      </c>
      <c r="B779" s="1">
        <v>45504</v>
      </c>
      <c r="C779" t="s">
        <v>74</v>
      </c>
      <c r="D779" t="s">
        <v>17</v>
      </c>
      <c r="E779" t="s">
        <v>26</v>
      </c>
      <c r="F779" t="s">
        <v>27</v>
      </c>
      <c r="G779" t="s">
        <v>20</v>
      </c>
      <c r="H779" t="s">
        <v>28</v>
      </c>
      <c r="I779" t="s">
        <v>61</v>
      </c>
      <c r="J779">
        <v>7</v>
      </c>
      <c r="K779" s="3">
        <v>30.78</v>
      </c>
      <c r="L779" s="2">
        <v>21.89</v>
      </c>
      <c r="M779" s="2">
        <f>Table1[[#This Row],[UnitPrice]]*Table1[[#This Row],[Quantity]]</f>
        <v>215.46</v>
      </c>
      <c r="N779" s="2">
        <f>Table1[[#This Row],[CostPrice]]*Table1[[#This Row],[Quantity]]</f>
        <v>153.23000000000002</v>
      </c>
      <c r="O779" s="2">
        <v>57.92</v>
      </c>
      <c r="P779" s="4">
        <v>0.02</v>
      </c>
      <c r="Q779" t="s">
        <v>44</v>
      </c>
      <c r="R779" s="4">
        <f t="shared" si="12"/>
        <v>0.26882019864476003</v>
      </c>
    </row>
    <row r="780" spans="1:18" x14ac:dyDescent="0.25">
      <c r="A780">
        <v>1101</v>
      </c>
      <c r="B780" s="1">
        <v>45330</v>
      </c>
      <c r="C780" t="s">
        <v>160</v>
      </c>
      <c r="D780" t="s">
        <v>25</v>
      </c>
      <c r="E780" t="s">
        <v>26</v>
      </c>
      <c r="F780" t="s">
        <v>34</v>
      </c>
      <c r="G780" t="s">
        <v>20</v>
      </c>
      <c r="H780" t="s">
        <v>113</v>
      </c>
      <c r="I780" t="s">
        <v>161</v>
      </c>
      <c r="J780">
        <v>4</v>
      </c>
      <c r="K780" s="3">
        <v>379.31</v>
      </c>
      <c r="L780" s="2">
        <v>249.88</v>
      </c>
      <c r="M780" s="2">
        <f>Table1[[#This Row],[UnitPrice]]*Table1[[#This Row],[Quantity]]</f>
        <v>1517.24</v>
      </c>
      <c r="N780" s="2">
        <f>Table1[[#This Row],[CostPrice]]*Table1[[#This Row],[Quantity]]</f>
        <v>999.52</v>
      </c>
      <c r="O780" s="2">
        <v>441.86</v>
      </c>
      <c r="P780" s="4">
        <v>0.05</v>
      </c>
      <c r="Q780" t="s">
        <v>30</v>
      </c>
      <c r="R780" s="4">
        <f t="shared" si="12"/>
        <v>0.29122617384197624</v>
      </c>
    </row>
    <row r="781" spans="1:18" x14ac:dyDescent="0.25">
      <c r="A781">
        <v>1195</v>
      </c>
      <c r="B781" s="1">
        <v>45330</v>
      </c>
      <c r="C781" t="s">
        <v>45</v>
      </c>
      <c r="D781" t="s">
        <v>17</v>
      </c>
      <c r="E781" t="s">
        <v>33</v>
      </c>
      <c r="F781" t="s">
        <v>19</v>
      </c>
      <c r="G781" t="s">
        <v>20</v>
      </c>
      <c r="H781" t="s">
        <v>113</v>
      </c>
      <c r="I781" t="s">
        <v>161</v>
      </c>
      <c r="J781">
        <v>8</v>
      </c>
      <c r="K781" s="3">
        <v>274.74</v>
      </c>
      <c r="L781" s="2">
        <v>226.24</v>
      </c>
      <c r="M781" s="2">
        <f>Table1[[#This Row],[UnitPrice]]*Table1[[#This Row],[Quantity]]</f>
        <v>2197.92</v>
      </c>
      <c r="N781" s="2">
        <f>Table1[[#This Row],[CostPrice]]*Table1[[#This Row],[Quantity]]</f>
        <v>1809.92</v>
      </c>
      <c r="O781" s="2">
        <v>-73.56</v>
      </c>
      <c r="P781" s="4">
        <v>0.21</v>
      </c>
      <c r="Q781" t="s">
        <v>30</v>
      </c>
      <c r="R781" s="4">
        <f t="shared" si="12"/>
        <v>-3.3468006114872245E-2</v>
      </c>
    </row>
    <row r="782" spans="1:18" x14ac:dyDescent="0.25">
      <c r="A782">
        <v>1567</v>
      </c>
      <c r="B782" s="1">
        <v>45330</v>
      </c>
      <c r="C782" t="s">
        <v>248</v>
      </c>
      <c r="D782" t="s">
        <v>25</v>
      </c>
      <c r="E782" t="s">
        <v>26</v>
      </c>
      <c r="F782" t="s">
        <v>40</v>
      </c>
      <c r="G782" t="s">
        <v>35</v>
      </c>
      <c r="H782" t="s">
        <v>36</v>
      </c>
      <c r="I782" t="s">
        <v>87</v>
      </c>
      <c r="J782">
        <v>3</v>
      </c>
      <c r="K782" s="3">
        <v>747.7</v>
      </c>
      <c r="L782" s="2">
        <v>574.19000000000005</v>
      </c>
      <c r="M782" s="2">
        <f>Table1[[#This Row],[UnitPrice]]*Table1[[#This Row],[Quantity]]</f>
        <v>2243.1000000000004</v>
      </c>
      <c r="N782" s="2">
        <f>Table1[[#This Row],[CostPrice]]*Table1[[#This Row],[Quantity]]</f>
        <v>1722.5700000000002</v>
      </c>
      <c r="O782" s="2">
        <v>-40.24</v>
      </c>
      <c r="P782" s="4">
        <v>0.25</v>
      </c>
      <c r="Q782" t="s">
        <v>75</v>
      </c>
      <c r="R782" s="4">
        <f t="shared" si="12"/>
        <v>-1.7939458784717578E-2</v>
      </c>
    </row>
    <row r="783" spans="1:18" x14ac:dyDescent="0.25">
      <c r="A783">
        <v>1466</v>
      </c>
      <c r="B783" s="1">
        <v>45359</v>
      </c>
      <c r="C783" t="s">
        <v>259</v>
      </c>
      <c r="D783" t="s">
        <v>17</v>
      </c>
      <c r="E783" t="s">
        <v>26</v>
      </c>
      <c r="F783" t="s">
        <v>19</v>
      </c>
      <c r="G783" t="s">
        <v>41</v>
      </c>
      <c r="H783" t="s">
        <v>63</v>
      </c>
      <c r="I783" t="s">
        <v>141</v>
      </c>
      <c r="J783">
        <v>10</v>
      </c>
      <c r="K783" s="3">
        <v>837.56</v>
      </c>
      <c r="L783" s="2">
        <v>452.29</v>
      </c>
      <c r="M783" s="2">
        <f>Table1[[#This Row],[UnitPrice]]*Table1[[#This Row],[Quantity]]</f>
        <v>8375.5999999999985</v>
      </c>
      <c r="N783" s="2">
        <f>Table1[[#This Row],[CostPrice]]*Table1[[#This Row],[Quantity]]</f>
        <v>4522.9000000000005</v>
      </c>
      <c r="O783" s="2">
        <v>2345.09</v>
      </c>
      <c r="P783" s="4">
        <v>0.18</v>
      </c>
      <c r="Q783" t="s">
        <v>85</v>
      </c>
      <c r="R783" s="4">
        <f t="shared" si="12"/>
        <v>0.27999068723434745</v>
      </c>
    </row>
    <row r="784" spans="1:18" x14ac:dyDescent="0.25">
      <c r="A784">
        <v>1811</v>
      </c>
      <c r="B784" s="1">
        <v>45359</v>
      </c>
      <c r="C784" t="s">
        <v>136</v>
      </c>
      <c r="D784" t="s">
        <v>25</v>
      </c>
      <c r="E784" t="s">
        <v>33</v>
      </c>
      <c r="F784" t="s">
        <v>19</v>
      </c>
      <c r="G784" t="s">
        <v>35</v>
      </c>
      <c r="H784" t="s">
        <v>70</v>
      </c>
      <c r="I784" t="s">
        <v>98</v>
      </c>
      <c r="J784">
        <v>8</v>
      </c>
      <c r="K784" s="3">
        <v>98.64</v>
      </c>
      <c r="L784" s="2">
        <v>60.15</v>
      </c>
      <c r="M784" s="2">
        <f>Table1[[#This Row],[UnitPrice]]*Table1[[#This Row],[Quantity]]</f>
        <v>789.12</v>
      </c>
      <c r="N784" s="2">
        <f>Table1[[#This Row],[CostPrice]]*Table1[[#This Row],[Quantity]]</f>
        <v>481.2</v>
      </c>
      <c r="O784" s="2">
        <v>86.97</v>
      </c>
      <c r="P784" s="4">
        <v>0.28000000000000003</v>
      </c>
      <c r="Q784" t="s">
        <v>92</v>
      </c>
      <c r="R784" s="4">
        <f t="shared" si="12"/>
        <v>0.11021137469586374</v>
      </c>
    </row>
    <row r="785" spans="1:18" x14ac:dyDescent="0.25">
      <c r="A785">
        <v>1167</v>
      </c>
      <c r="B785" s="1">
        <v>45390</v>
      </c>
      <c r="C785" t="s">
        <v>172</v>
      </c>
      <c r="D785" t="s">
        <v>25</v>
      </c>
      <c r="E785" t="s">
        <v>26</v>
      </c>
      <c r="F785" t="s">
        <v>27</v>
      </c>
      <c r="G785" t="s">
        <v>35</v>
      </c>
      <c r="H785" t="s">
        <v>70</v>
      </c>
      <c r="I785" t="s">
        <v>71</v>
      </c>
      <c r="J785">
        <v>2</v>
      </c>
      <c r="K785" s="3">
        <v>403.83</v>
      </c>
      <c r="L785" s="2">
        <v>215.4</v>
      </c>
      <c r="M785" s="2">
        <f>Table1[[#This Row],[UnitPrice]]*Table1[[#This Row],[Quantity]]</f>
        <v>807.66</v>
      </c>
      <c r="N785" s="2">
        <f>Table1[[#This Row],[CostPrice]]*Table1[[#This Row],[Quantity]]</f>
        <v>430.8</v>
      </c>
      <c r="O785" s="2">
        <v>142.63999999999999</v>
      </c>
      <c r="P785" s="4">
        <v>0.28999999999999998</v>
      </c>
      <c r="Q785" t="s">
        <v>55</v>
      </c>
      <c r="R785" s="4">
        <f t="shared" si="12"/>
        <v>0.17660896912066959</v>
      </c>
    </row>
    <row r="786" spans="1:18" x14ac:dyDescent="0.25">
      <c r="A786">
        <v>1644</v>
      </c>
      <c r="B786" s="1">
        <v>45390</v>
      </c>
      <c r="C786" t="s">
        <v>78</v>
      </c>
      <c r="D786" t="s">
        <v>25</v>
      </c>
      <c r="E786" t="s">
        <v>26</v>
      </c>
      <c r="F786" t="s">
        <v>19</v>
      </c>
      <c r="G786" t="s">
        <v>35</v>
      </c>
      <c r="H786" t="s">
        <v>70</v>
      </c>
      <c r="I786" t="s">
        <v>98</v>
      </c>
      <c r="J786">
        <v>4</v>
      </c>
      <c r="K786" s="3">
        <v>539.85</v>
      </c>
      <c r="L786" s="2">
        <v>349.99</v>
      </c>
      <c r="M786" s="2">
        <f>Table1[[#This Row],[UnitPrice]]*Table1[[#This Row],[Quantity]]</f>
        <v>2159.4</v>
      </c>
      <c r="N786" s="2">
        <f>Table1[[#This Row],[CostPrice]]*Table1[[#This Row],[Quantity]]</f>
        <v>1399.96</v>
      </c>
      <c r="O786" s="2">
        <v>176.4</v>
      </c>
      <c r="P786" s="4">
        <v>0.27</v>
      </c>
      <c r="Q786" t="s">
        <v>55</v>
      </c>
      <c r="R786" s="4">
        <f t="shared" si="12"/>
        <v>8.1689358155043065E-2</v>
      </c>
    </row>
    <row r="787" spans="1:18" x14ac:dyDescent="0.25">
      <c r="A787">
        <v>1684</v>
      </c>
      <c r="B787" s="1">
        <v>45390</v>
      </c>
      <c r="C787" t="s">
        <v>172</v>
      </c>
      <c r="D787" t="s">
        <v>17</v>
      </c>
      <c r="E787" t="s">
        <v>53</v>
      </c>
      <c r="F787" t="s">
        <v>27</v>
      </c>
      <c r="G787" t="s">
        <v>20</v>
      </c>
      <c r="H787" t="s">
        <v>28</v>
      </c>
      <c r="I787" t="s">
        <v>90</v>
      </c>
      <c r="J787">
        <v>9</v>
      </c>
      <c r="K787" s="3">
        <v>389.5</v>
      </c>
      <c r="L787" s="2">
        <v>259.47000000000003</v>
      </c>
      <c r="M787" s="2">
        <f>Table1[[#This Row],[UnitPrice]]*Table1[[#This Row],[Quantity]]</f>
        <v>3505.5</v>
      </c>
      <c r="N787" s="2">
        <f>Table1[[#This Row],[CostPrice]]*Table1[[#This Row],[Quantity]]</f>
        <v>2335.2300000000005</v>
      </c>
      <c r="O787" s="2">
        <v>819.72</v>
      </c>
      <c r="P787" s="4">
        <v>0.1</v>
      </c>
      <c r="Q787" t="s">
        <v>55</v>
      </c>
      <c r="R787" s="4">
        <f t="shared" si="12"/>
        <v>0.23383825417201543</v>
      </c>
    </row>
    <row r="788" spans="1:18" x14ac:dyDescent="0.25">
      <c r="A788">
        <v>1893</v>
      </c>
      <c r="B788" s="1">
        <v>45390</v>
      </c>
      <c r="C788" t="s">
        <v>209</v>
      </c>
      <c r="D788" t="s">
        <v>25</v>
      </c>
      <c r="E788" t="s">
        <v>18</v>
      </c>
      <c r="F788" t="s">
        <v>19</v>
      </c>
      <c r="G788" t="s">
        <v>41</v>
      </c>
      <c r="H788" t="s">
        <v>63</v>
      </c>
      <c r="I788" t="s">
        <v>64</v>
      </c>
      <c r="J788">
        <v>9</v>
      </c>
      <c r="K788" s="3">
        <v>498.69</v>
      </c>
      <c r="L788" s="2">
        <v>394.63</v>
      </c>
      <c r="M788" s="2">
        <f>Table1[[#This Row],[UnitPrice]]*Table1[[#This Row],[Quantity]]</f>
        <v>4488.21</v>
      </c>
      <c r="N788" s="2">
        <f>Table1[[#This Row],[CostPrice]]*Table1[[#This Row],[Quantity]]</f>
        <v>3551.67</v>
      </c>
      <c r="O788" s="2">
        <v>173.54</v>
      </c>
      <c r="P788" s="4">
        <v>0.17</v>
      </c>
      <c r="Q788" t="s">
        <v>55</v>
      </c>
      <c r="R788" s="4">
        <f t="shared" si="12"/>
        <v>3.8665748706054305E-2</v>
      </c>
    </row>
    <row r="789" spans="1:18" x14ac:dyDescent="0.25">
      <c r="A789">
        <v>1911</v>
      </c>
      <c r="B789" s="1">
        <v>45390</v>
      </c>
      <c r="C789" t="s">
        <v>67</v>
      </c>
      <c r="D789" t="s">
        <v>32</v>
      </c>
      <c r="E789" t="s">
        <v>26</v>
      </c>
      <c r="F789" t="s">
        <v>27</v>
      </c>
      <c r="G789" t="s">
        <v>35</v>
      </c>
      <c r="H789" t="s">
        <v>70</v>
      </c>
      <c r="I789" t="s">
        <v>98</v>
      </c>
      <c r="J789">
        <v>3</v>
      </c>
      <c r="K789" s="3">
        <v>908.17</v>
      </c>
      <c r="L789" s="2">
        <v>543.30999999999995</v>
      </c>
      <c r="M789" s="2">
        <f>Table1[[#This Row],[UnitPrice]]*Table1[[#This Row],[Quantity]]</f>
        <v>2724.5099999999998</v>
      </c>
      <c r="N789" s="2">
        <f>Table1[[#This Row],[CostPrice]]*Table1[[#This Row],[Quantity]]</f>
        <v>1629.9299999999998</v>
      </c>
      <c r="O789" s="2">
        <v>549.67999999999995</v>
      </c>
      <c r="P789" s="4">
        <v>0.2</v>
      </c>
      <c r="Q789" t="s">
        <v>30</v>
      </c>
      <c r="R789" s="4">
        <f t="shared" si="12"/>
        <v>0.20175370984140267</v>
      </c>
    </row>
    <row r="790" spans="1:18" x14ac:dyDescent="0.25">
      <c r="A790">
        <v>1702</v>
      </c>
      <c r="B790" s="1">
        <v>45420</v>
      </c>
      <c r="C790" t="s">
        <v>286</v>
      </c>
      <c r="D790" t="s">
        <v>25</v>
      </c>
      <c r="E790" t="s">
        <v>18</v>
      </c>
      <c r="F790" t="s">
        <v>27</v>
      </c>
      <c r="G790" t="s">
        <v>41</v>
      </c>
      <c r="H790" t="s">
        <v>63</v>
      </c>
      <c r="I790" t="s">
        <v>141</v>
      </c>
      <c r="J790">
        <v>6</v>
      </c>
      <c r="K790" s="3">
        <v>179.45</v>
      </c>
      <c r="L790" s="2">
        <v>137.57</v>
      </c>
      <c r="M790" s="2">
        <f>Table1[[#This Row],[UnitPrice]]*Table1[[#This Row],[Quantity]]</f>
        <v>1076.6999999999998</v>
      </c>
      <c r="N790" s="2">
        <f>Table1[[#This Row],[CostPrice]]*Table1[[#This Row],[Quantity]]</f>
        <v>825.42</v>
      </c>
      <c r="O790" s="2">
        <v>25.17</v>
      </c>
      <c r="P790" s="4">
        <v>0.21</v>
      </c>
      <c r="Q790" t="s">
        <v>55</v>
      </c>
      <c r="R790" s="4">
        <f t="shared" si="12"/>
        <v>2.3376985232655342E-2</v>
      </c>
    </row>
    <row r="791" spans="1:18" x14ac:dyDescent="0.25">
      <c r="A791">
        <v>1998</v>
      </c>
      <c r="B791" s="1">
        <v>45420</v>
      </c>
      <c r="C791" t="s">
        <v>232</v>
      </c>
      <c r="D791" t="s">
        <v>25</v>
      </c>
      <c r="E791" t="s">
        <v>18</v>
      </c>
      <c r="F791" t="s">
        <v>40</v>
      </c>
      <c r="G791" t="s">
        <v>20</v>
      </c>
      <c r="H791" t="s">
        <v>21</v>
      </c>
      <c r="I791" t="s">
        <v>22</v>
      </c>
      <c r="J791">
        <v>7</v>
      </c>
      <c r="K791" s="3">
        <v>515.07000000000005</v>
      </c>
      <c r="L791" s="2">
        <v>388.31</v>
      </c>
      <c r="M791" s="2">
        <f>Table1[[#This Row],[UnitPrice]]*Table1[[#This Row],[Quantity]]</f>
        <v>3605.4900000000002</v>
      </c>
      <c r="N791" s="2">
        <f>Table1[[#This Row],[CostPrice]]*Table1[[#This Row],[Quantity]]</f>
        <v>2718.17</v>
      </c>
      <c r="O791" s="2">
        <v>526.77</v>
      </c>
      <c r="P791" s="4">
        <v>0.1</v>
      </c>
      <c r="Q791" t="s">
        <v>30</v>
      </c>
      <c r="R791" s="4">
        <f t="shared" si="12"/>
        <v>0.14610219415391526</v>
      </c>
    </row>
    <row r="792" spans="1:18" x14ac:dyDescent="0.25">
      <c r="A792">
        <v>1021</v>
      </c>
      <c r="B792" s="1">
        <v>45451</v>
      </c>
      <c r="C792" t="s">
        <v>83</v>
      </c>
      <c r="D792" t="s">
        <v>17</v>
      </c>
      <c r="E792" t="s">
        <v>33</v>
      </c>
      <c r="F792" t="s">
        <v>34</v>
      </c>
      <c r="G792" t="s">
        <v>35</v>
      </c>
      <c r="H792" t="s">
        <v>70</v>
      </c>
      <c r="I792" t="s">
        <v>84</v>
      </c>
      <c r="J792">
        <v>10</v>
      </c>
      <c r="K792" s="3">
        <v>525.16999999999996</v>
      </c>
      <c r="L792" s="2">
        <v>434.39</v>
      </c>
      <c r="M792" s="2">
        <f>Table1[[#This Row],[UnitPrice]]*Table1[[#This Row],[Quantity]]</f>
        <v>5251.7</v>
      </c>
      <c r="N792" s="2">
        <f>Table1[[#This Row],[CostPrice]]*Table1[[#This Row],[Quantity]]</f>
        <v>4343.8999999999996</v>
      </c>
      <c r="O792" s="2">
        <v>592.70000000000005</v>
      </c>
      <c r="P792" s="4">
        <v>0.06</v>
      </c>
      <c r="Q792" t="s">
        <v>85</v>
      </c>
      <c r="R792" s="4">
        <f t="shared" si="12"/>
        <v>0.11285869337547842</v>
      </c>
    </row>
    <row r="793" spans="1:18" x14ac:dyDescent="0.25">
      <c r="A793">
        <v>1918</v>
      </c>
      <c r="B793" s="1">
        <v>45481</v>
      </c>
      <c r="C793" t="s">
        <v>239</v>
      </c>
      <c r="D793" t="s">
        <v>17</v>
      </c>
      <c r="E793" t="s">
        <v>53</v>
      </c>
      <c r="F793" t="s">
        <v>34</v>
      </c>
      <c r="G793" t="s">
        <v>41</v>
      </c>
      <c r="H793" t="s">
        <v>46</v>
      </c>
      <c r="I793" t="s">
        <v>57</v>
      </c>
      <c r="J793">
        <v>3</v>
      </c>
      <c r="K793" s="3">
        <v>29.57</v>
      </c>
      <c r="L793" s="2">
        <v>21.07</v>
      </c>
      <c r="M793" s="2">
        <f>Table1[[#This Row],[UnitPrice]]*Table1[[#This Row],[Quantity]]</f>
        <v>88.710000000000008</v>
      </c>
      <c r="N793" s="2">
        <f>Table1[[#This Row],[CostPrice]]*Table1[[#This Row],[Quantity]]</f>
        <v>63.21</v>
      </c>
      <c r="O793" s="2">
        <v>15.74</v>
      </c>
      <c r="P793" s="4">
        <v>0.11</v>
      </c>
      <c r="Q793" t="s">
        <v>75</v>
      </c>
      <c r="R793" s="4">
        <f t="shared" si="12"/>
        <v>0.17743208206515612</v>
      </c>
    </row>
    <row r="794" spans="1:18" x14ac:dyDescent="0.25">
      <c r="A794">
        <v>1277</v>
      </c>
      <c r="B794" s="1">
        <v>45512</v>
      </c>
      <c r="C794" t="s">
        <v>155</v>
      </c>
      <c r="D794" t="s">
        <v>25</v>
      </c>
      <c r="E794" t="s">
        <v>33</v>
      </c>
      <c r="F794" t="s">
        <v>27</v>
      </c>
      <c r="G794" t="s">
        <v>20</v>
      </c>
      <c r="H794" t="s">
        <v>21</v>
      </c>
      <c r="I794" t="s">
        <v>132</v>
      </c>
      <c r="J794">
        <v>4</v>
      </c>
      <c r="K794" s="3">
        <v>130.56</v>
      </c>
      <c r="L794" s="2">
        <v>84.63</v>
      </c>
      <c r="M794" s="2">
        <f>Table1[[#This Row],[UnitPrice]]*Table1[[#This Row],[Quantity]]</f>
        <v>522.24</v>
      </c>
      <c r="N794" s="2">
        <f>Table1[[#This Row],[CostPrice]]*Table1[[#This Row],[Quantity]]</f>
        <v>338.52</v>
      </c>
      <c r="O794" s="2">
        <v>27.05</v>
      </c>
      <c r="P794" s="4">
        <v>0.3</v>
      </c>
      <c r="Q794" t="s">
        <v>75</v>
      </c>
      <c r="R794" s="4">
        <f t="shared" si="12"/>
        <v>5.1796109068627451E-2</v>
      </c>
    </row>
    <row r="795" spans="1:18" x14ac:dyDescent="0.25">
      <c r="A795">
        <v>1558</v>
      </c>
      <c r="B795" s="1">
        <v>45512</v>
      </c>
      <c r="C795" t="s">
        <v>188</v>
      </c>
      <c r="D795" t="s">
        <v>17</v>
      </c>
      <c r="E795" t="s">
        <v>26</v>
      </c>
      <c r="F795" t="s">
        <v>34</v>
      </c>
      <c r="G795" t="s">
        <v>35</v>
      </c>
      <c r="H795" t="s">
        <v>49</v>
      </c>
      <c r="I795" t="s">
        <v>50</v>
      </c>
      <c r="J795">
        <v>10</v>
      </c>
      <c r="K795" s="3">
        <v>971.02</v>
      </c>
      <c r="L795" s="2">
        <v>695.18</v>
      </c>
      <c r="M795" s="2">
        <f>Table1[[#This Row],[UnitPrice]]*Table1[[#This Row],[Quantity]]</f>
        <v>9710.2000000000007</v>
      </c>
      <c r="N795" s="2">
        <f>Table1[[#This Row],[CostPrice]]*Table1[[#This Row],[Quantity]]</f>
        <v>6951.7999999999993</v>
      </c>
      <c r="O795" s="2">
        <v>1690.28</v>
      </c>
      <c r="P795" s="4">
        <v>0.11</v>
      </c>
      <c r="Q795" t="s">
        <v>30</v>
      </c>
      <c r="R795" s="4">
        <f t="shared" si="12"/>
        <v>0.17407262466272577</v>
      </c>
    </row>
    <row r="796" spans="1:18" x14ac:dyDescent="0.25">
      <c r="A796">
        <v>1834</v>
      </c>
      <c r="B796" s="1">
        <v>45512</v>
      </c>
      <c r="C796" t="s">
        <v>280</v>
      </c>
      <c r="D796" t="s">
        <v>17</v>
      </c>
      <c r="E796" t="s">
        <v>26</v>
      </c>
      <c r="F796" t="s">
        <v>27</v>
      </c>
      <c r="G796" t="s">
        <v>41</v>
      </c>
      <c r="H796" t="s">
        <v>63</v>
      </c>
      <c r="I796" t="s">
        <v>117</v>
      </c>
      <c r="J796">
        <v>3</v>
      </c>
      <c r="K796" s="3">
        <v>243.52</v>
      </c>
      <c r="L796" s="2">
        <v>198.29</v>
      </c>
      <c r="M796" s="2">
        <f>Table1[[#This Row],[UnitPrice]]*Table1[[#This Row],[Quantity]]</f>
        <v>730.56000000000006</v>
      </c>
      <c r="N796" s="2">
        <f>Table1[[#This Row],[CostPrice]]*Table1[[#This Row],[Quantity]]</f>
        <v>594.87</v>
      </c>
      <c r="O796" s="2">
        <v>69.94</v>
      </c>
      <c r="P796" s="4">
        <v>0.09</v>
      </c>
      <c r="Q796" t="s">
        <v>38</v>
      </c>
      <c r="R796" s="4">
        <f t="shared" si="12"/>
        <v>9.5734778799824782E-2</v>
      </c>
    </row>
    <row r="797" spans="1:18" x14ac:dyDescent="0.25">
      <c r="A797">
        <v>1373</v>
      </c>
      <c r="B797" s="1">
        <v>45573</v>
      </c>
      <c r="C797" t="s">
        <v>56</v>
      </c>
      <c r="D797" t="s">
        <v>17</v>
      </c>
      <c r="E797" t="s">
        <v>26</v>
      </c>
      <c r="F797" t="s">
        <v>27</v>
      </c>
      <c r="G797" t="s">
        <v>41</v>
      </c>
      <c r="H797" t="s">
        <v>42</v>
      </c>
      <c r="I797" t="s">
        <v>77</v>
      </c>
      <c r="J797">
        <v>4</v>
      </c>
      <c r="K797" s="3">
        <v>873.38</v>
      </c>
      <c r="L797" s="2">
        <v>499.9</v>
      </c>
      <c r="M797" s="2">
        <f>Table1[[#This Row],[UnitPrice]]*Table1[[#This Row],[Quantity]]</f>
        <v>3493.52</v>
      </c>
      <c r="N797" s="2">
        <f>Table1[[#This Row],[CostPrice]]*Table1[[#This Row],[Quantity]]</f>
        <v>1999.6</v>
      </c>
      <c r="O797" s="2">
        <v>1284.31</v>
      </c>
      <c r="P797" s="4">
        <v>0.06</v>
      </c>
      <c r="Q797" t="s">
        <v>23</v>
      </c>
      <c r="R797" s="4">
        <f t="shared" si="12"/>
        <v>0.36762634821040097</v>
      </c>
    </row>
    <row r="798" spans="1:18" x14ac:dyDescent="0.25">
      <c r="A798">
        <v>1622</v>
      </c>
      <c r="B798" s="1">
        <v>45604</v>
      </c>
      <c r="C798" t="s">
        <v>176</v>
      </c>
      <c r="D798" t="s">
        <v>17</v>
      </c>
      <c r="E798" t="s">
        <v>18</v>
      </c>
      <c r="F798" t="s">
        <v>27</v>
      </c>
      <c r="G798" t="s">
        <v>35</v>
      </c>
      <c r="H798" t="s">
        <v>70</v>
      </c>
      <c r="I798" t="s">
        <v>84</v>
      </c>
      <c r="J798">
        <v>9</v>
      </c>
      <c r="K798" s="3">
        <v>874.18</v>
      </c>
      <c r="L798" s="2">
        <v>657.86</v>
      </c>
      <c r="M798" s="2">
        <f>Table1[[#This Row],[UnitPrice]]*Table1[[#This Row],[Quantity]]</f>
        <v>7867.62</v>
      </c>
      <c r="N798" s="2">
        <f>Table1[[#This Row],[CostPrice]]*Table1[[#This Row],[Quantity]]</f>
        <v>5920.74</v>
      </c>
      <c r="O798" s="2">
        <v>1238.79</v>
      </c>
      <c r="P798" s="4">
        <v>0.09</v>
      </c>
      <c r="Q798" t="s">
        <v>85</v>
      </c>
      <c r="R798" s="4">
        <f t="shared" si="12"/>
        <v>0.15745422376779764</v>
      </c>
    </row>
    <row r="799" spans="1:18" x14ac:dyDescent="0.25">
      <c r="A799">
        <v>1379</v>
      </c>
      <c r="B799" s="1">
        <v>45634</v>
      </c>
      <c r="C799" t="s">
        <v>244</v>
      </c>
      <c r="D799" t="s">
        <v>25</v>
      </c>
      <c r="E799" t="s">
        <v>18</v>
      </c>
      <c r="F799" t="s">
        <v>19</v>
      </c>
      <c r="G799" t="s">
        <v>41</v>
      </c>
      <c r="H799" t="s">
        <v>46</v>
      </c>
      <c r="I799" t="s">
        <v>57</v>
      </c>
      <c r="J799">
        <v>4</v>
      </c>
      <c r="K799" s="3">
        <v>150.11000000000001</v>
      </c>
      <c r="L799" s="2">
        <v>125.45</v>
      </c>
      <c r="M799" s="2">
        <f>Table1[[#This Row],[UnitPrice]]*Table1[[#This Row],[Quantity]]</f>
        <v>600.44000000000005</v>
      </c>
      <c r="N799" s="2">
        <f>Table1[[#This Row],[CostPrice]]*Table1[[#This Row],[Quantity]]</f>
        <v>501.8</v>
      </c>
      <c r="O799" s="2">
        <v>74.62</v>
      </c>
      <c r="P799" s="4">
        <v>0.04</v>
      </c>
      <c r="Q799" t="s">
        <v>51</v>
      </c>
      <c r="R799" s="4">
        <f t="shared" si="12"/>
        <v>0.12427553127706348</v>
      </c>
    </row>
    <row r="800" spans="1:18" x14ac:dyDescent="0.25">
      <c r="A800">
        <v>1922</v>
      </c>
      <c r="B800" s="1">
        <v>45634</v>
      </c>
      <c r="C800" t="s">
        <v>144</v>
      </c>
      <c r="D800" t="s">
        <v>25</v>
      </c>
      <c r="E800" t="s">
        <v>18</v>
      </c>
      <c r="F800" t="s">
        <v>19</v>
      </c>
      <c r="G800" t="s">
        <v>35</v>
      </c>
      <c r="H800" t="s">
        <v>36</v>
      </c>
      <c r="I800" t="s">
        <v>37</v>
      </c>
      <c r="J800">
        <v>6</v>
      </c>
      <c r="K800" s="3">
        <v>749.45</v>
      </c>
      <c r="L800" s="2">
        <v>405</v>
      </c>
      <c r="M800" s="2">
        <f>Table1[[#This Row],[UnitPrice]]*Table1[[#This Row],[Quantity]]</f>
        <v>4496.7000000000007</v>
      </c>
      <c r="N800" s="2">
        <f>Table1[[#This Row],[CostPrice]]*Table1[[#This Row],[Quantity]]</f>
        <v>2430</v>
      </c>
      <c r="O800" s="2">
        <v>1751.93</v>
      </c>
      <c r="P800" s="4">
        <v>7.0000000000000007E-2</v>
      </c>
      <c r="Q800" t="s">
        <v>75</v>
      </c>
      <c r="R800" s="4">
        <f t="shared" si="12"/>
        <v>0.38960348700157887</v>
      </c>
    </row>
    <row r="801" spans="1:18" x14ac:dyDescent="0.25">
      <c r="A801">
        <v>1065</v>
      </c>
      <c r="B801" s="1">
        <v>45517</v>
      </c>
      <c r="C801" t="s">
        <v>133</v>
      </c>
      <c r="D801" t="s">
        <v>25</v>
      </c>
      <c r="E801" t="s">
        <v>53</v>
      </c>
      <c r="F801" t="s">
        <v>27</v>
      </c>
      <c r="G801" t="s">
        <v>35</v>
      </c>
      <c r="H801" t="s">
        <v>36</v>
      </c>
      <c r="I801" t="s">
        <v>100</v>
      </c>
      <c r="J801">
        <v>7</v>
      </c>
      <c r="K801" s="3">
        <v>636.61</v>
      </c>
      <c r="L801" s="2">
        <v>427.87</v>
      </c>
      <c r="M801" s="2">
        <f>Table1[[#This Row],[UnitPrice]]*Table1[[#This Row],[Quantity]]</f>
        <v>4456.2700000000004</v>
      </c>
      <c r="N801" s="2">
        <f>Table1[[#This Row],[CostPrice]]*Table1[[#This Row],[Quantity]]</f>
        <v>2995.09</v>
      </c>
      <c r="O801" s="2">
        <v>1327.49</v>
      </c>
      <c r="P801" s="4">
        <v>0.03</v>
      </c>
      <c r="Q801" t="s">
        <v>85</v>
      </c>
      <c r="R801" s="4">
        <f t="shared" si="12"/>
        <v>0.29789263217892986</v>
      </c>
    </row>
    <row r="802" spans="1:18" x14ac:dyDescent="0.25">
      <c r="A802">
        <v>1479</v>
      </c>
      <c r="B802" s="1">
        <v>45519</v>
      </c>
      <c r="C802" t="s">
        <v>234</v>
      </c>
      <c r="D802" t="s">
        <v>25</v>
      </c>
      <c r="E802" t="s">
        <v>18</v>
      </c>
      <c r="F802" t="s">
        <v>34</v>
      </c>
      <c r="G802" t="s">
        <v>35</v>
      </c>
      <c r="H802" t="s">
        <v>49</v>
      </c>
      <c r="I802" t="s">
        <v>66</v>
      </c>
      <c r="J802">
        <v>3</v>
      </c>
      <c r="K802" s="3">
        <v>508.07</v>
      </c>
      <c r="L802" s="2">
        <v>405.44</v>
      </c>
      <c r="M802" s="2">
        <f>Table1[[#This Row],[UnitPrice]]*Table1[[#This Row],[Quantity]]</f>
        <v>1524.21</v>
      </c>
      <c r="N802" s="2">
        <f>Table1[[#This Row],[CostPrice]]*Table1[[#This Row],[Quantity]]</f>
        <v>1216.32</v>
      </c>
      <c r="O802" s="2">
        <v>185.95</v>
      </c>
      <c r="P802" s="4">
        <v>0.08</v>
      </c>
      <c r="Q802" t="s">
        <v>92</v>
      </c>
      <c r="R802" s="4">
        <f t="shared" si="12"/>
        <v>0.12199762499917989</v>
      </c>
    </row>
    <row r="803" spans="1:18" x14ac:dyDescent="0.25">
      <c r="A803">
        <v>1659</v>
      </c>
      <c r="B803" s="1">
        <v>45519</v>
      </c>
      <c r="C803" t="s">
        <v>251</v>
      </c>
      <c r="D803" t="s">
        <v>25</v>
      </c>
      <c r="E803" t="s">
        <v>33</v>
      </c>
      <c r="F803" t="s">
        <v>27</v>
      </c>
      <c r="G803" t="s">
        <v>35</v>
      </c>
      <c r="H803" t="s">
        <v>70</v>
      </c>
      <c r="I803" t="s">
        <v>98</v>
      </c>
      <c r="J803">
        <v>3</v>
      </c>
      <c r="K803" s="3">
        <v>66.69</v>
      </c>
      <c r="L803" s="2">
        <v>52.07</v>
      </c>
      <c r="M803" s="2">
        <f>Table1[[#This Row],[UnitPrice]]*Table1[[#This Row],[Quantity]]</f>
        <v>200.07</v>
      </c>
      <c r="N803" s="2">
        <f>Table1[[#This Row],[CostPrice]]*Table1[[#This Row],[Quantity]]</f>
        <v>156.21</v>
      </c>
      <c r="O803" s="2">
        <v>39.86</v>
      </c>
      <c r="P803" s="4">
        <v>0.02</v>
      </c>
      <c r="Q803" t="s">
        <v>125</v>
      </c>
      <c r="R803" s="4">
        <f t="shared" si="12"/>
        <v>0.19923026940570801</v>
      </c>
    </row>
    <row r="804" spans="1:18" x14ac:dyDescent="0.25">
      <c r="A804">
        <v>1666</v>
      </c>
      <c r="B804" s="1">
        <v>45519</v>
      </c>
      <c r="C804" t="s">
        <v>65</v>
      </c>
      <c r="D804" t="s">
        <v>17</v>
      </c>
      <c r="E804" t="s">
        <v>18</v>
      </c>
      <c r="F804" t="s">
        <v>27</v>
      </c>
      <c r="G804" t="s">
        <v>35</v>
      </c>
      <c r="H804" t="s">
        <v>36</v>
      </c>
      <c r="I804" t="s">
        <v>87</v>
      </c>
      <c r="J804">
        <v>8</v>
      </c>
      <c r="K804" s="3">
        <v>876.72</v>
      </c>
      <c r="L804" s="2">
        <v>717.76</v>
      </c>
      <c r="M804" s="2">
        <f>Table1[[#This Row],[UnitPrice]]*Table1[[#This Row],[Quantity]]</f>
        <v>7013.76</v>
      </c>
      <c r="N804" s="2">
        <f>Table1[[#This Row],[CostPrice]]*Table1[[#This Row],[Quantity]]</f>
        <v>5742.08</v>
      </c>
      <c r="O804" s="2">
        <v>219.62</v>
      </c>
      <c r="P804" s="4">
        <v>0.15</v>
      </c>
      <c r="Q804" t="s">
        <v>51</v>
      </c>
      <c r="R804" s="4">
        <f t="shared" si="12"/>
        <v>3.131273382607902E-2</v>
      </c>
    </row>
    <row r="805" spans="1:18" x14ac:dyDescent="0.25">
      <c r="A805">
        <v>1208</v>
      </c>
      <c r="B805" s="1">
        <v>45523</v>
      </c>
      <c r="C805" t="s">
        <v>187</v>
      </c>
      <c r="D805" t="s">
        <v>17</v>
      </c>
      <c r="E805" t="s">
        <v>53</v>
      </c>
      <c r="F805" t="s">
        <v>34</v>
      </c>
      <c r="G805" t="s">
        <v>35</v>
      </c>
      <c r="H805" t="s">
        <v>70</v>
      </c>
      <c r="I805" t="s">
        <v>84</v>
      </c>
      <c r="J805">
        <v>10</v>
      </c>
      <c r="K805" s="3">
        <v>639.99</v>
      </c>
      <c r="L805" s="2">
        <v>339.03</v>
      </c>
      <c r="M805" s="2">
        <f>Table1[[#This Row],[UnitPrice]]*Table1[[#This Row],[Quantity]]</f>
        <v>6399.9</v>
      </c>
      <c r="N805" s="2">
        <f>Table1[[#This Row],[CostPrice]]*Table1[[#This Row],[Quantity]]</f>
        <v>3390.2999999999997</v>
      </c>
      <c r="O805" s="2">
        <v>1537.62</v>
      </c>
      <c r="P805" s="4">
        <v>0.23</v>
      </c>
      <c r="Q805" t="s">
        <v>85</v>
      </c>
      <c r="R805" s="4">
        <f t="shared" si="12"/>
        <v>0.24025687901373458</v>
      </c>
    </row>
    <row r="806" spans="1:18" x14ac:dyDescent="0.25">
      <c r="A806">
        <v>1085</v>
      </c>
      <c r="B806" s="1">
        <v>45525</v>
      </c>
      <c r="C806" t="s">
        <v>147</v>
      </c>
      <c r="D806" t="s">
        <v>17</v>
      </c>
      <c r="E806" t="s">
        <v>18</v>
      </c>
      <c r="F806" t="s">
        <v>34</v>
      </c>
      <c r="G806" t="s">
        <v>41</v>
      </c>
      <c r="H806" t="s">
        <v>42</v>
      </c>
      <c r="I806" t="s">
        <v>68</v>
      </c>
      <c r="J806">
        <v>1</v>
      </c>
      <c r="K806" s="3">
        <v>621.45000000000005</v>
      </c>
      <c r="L806" s="2">
        <v>515.87</v>
      </c>
      <c r="M806" s="2">
        <f>Table1[[#This Row],[UnitPrice]]*Table1[[#This Row],[Quantity]]</f>
        <v>621.45000000000005</v>
      </c>
      <c r="N806" s="2">
        <f>Table1[[#This Row],[CostPrice]]*Table1[[#This Row],[Quantity]]</f>
        <v>515.87</v>
      </c>
      <c r="O806" s="2">
        <v>43.44</v>
      </c>
      <c r="P806" s="4">
        <v>0.1</v>
      </c>
      <c r="Q806" t="s">
        <v>125</v>
      </c>
      <c r="R806" s="4">
        <f t="shared" si="12"/>
        <v>6.9901037895244988E-2</v>
      </c>
    </row>
    <row r="807" spans="1:18" x14ac:dyDescent="0.25">
      <c r="A807">
        <v>1673</v>
      </c>
      <c r="B807" s="1">
        <v>45525</v>
      </c>
      <c r="C807" t="s">
        <v>158</v>
      </c>
      <c r="D807" t="s">
        <v>25</v>
      </c>
      <c r="E807" t="s">
        <v>33</v>
      </c>
      <c r="F807" t="s">
        <v>27</v>
      </c>
      <c r="G807" t="s">
        <v>41</v>
      </c>
      <c r="H807" t="s">
        <v>63</v>
      </c>
      <c r="I807" t="s">
        <v>141</v>
      </c>
      <c r="J807">
        <v>3</v>
      </c>
      <c r="K807" s="3">
        <v>511.07</v>
      </c>
      <c r="L807" s="2">
        <v>389.92</v>
      </c>
      <c r="M807" s="2">
        <f>Table1[[#This Row],[UnitPrice]]*Table1[[#This Row],[Quantity]]</f>
        <v>1533.21</v>
      </c>
      <c r="N807" s="2">
        <f>Table1[[#This Row],[CostPrice]]*Table1[[#This Row],[Quantity]]</f>
        <v>1169.76</v>
      </c>
      <c r="O807" s="2">
        <v>72.14</v>
      </c>
      <c r="P807" s="4">
        <v>0.19</v>
      </c>
      <c r="Q807" t="s">
        <v>38</v>
      </c>
      <c r="R807" s="4">
        <f t="shared" si="12"/>
        <v>4.7051610673032394E-2</v>
      </c>
    </row>
    <row r="808" spans="1:18" x14ac:dyDescent="0.25">
      <c r="A808">
        <v>1371</v>
      </c>
      <c r="B808" s="1">
        <v>45527</v>
      </c>
      <c r="C808" t="s">
        <v>52</v>
      </c>
      <c r="D808" t="s">
        <v>32</v>
      </c>
      <c r="E808" t="s">
        <v>33</v>
      </c>
      <c r="F808" t="s">
        <v>40</v>
      </c>
      <c r="G808" t="s">
        <v>20</v>
      </c>
      <c r="H808" t="s">
        <v>28</v>
      </c>
      <c r="I808" t="s">
        <v>81</v>
      </c>
      <c r="J808">
        <v>4</v>
      </c>
      <c r="K808" s="3">
        <v>801.16</v>
      </c>
      <c r="L808" s="2">
        <v>516.23</v>
      </c>
      <c r="M808" s="2">
        <f>Table1[[#This Row],[UnitPrice]]*Table1[[#This Row],[Quantity]]</f>
        <v>3204.64</v>
      </c>
      <c r="N808" s="2">
        <f>Table1[[#This Row],[CostPrice]]*Table1[[#This Row],[Quantity]]</f>
        <v>2064.92</v>
      </c>
      <c r="O808" s="2">
        <v>787.21</v>
      </c>
      <c r="P808" s="4">
        <v>0.11</v>
      </c>
      <c r="Q808" t="s">
        <v>38</v>
      </c>
      <c r="R808" s="4">
        <f t="shared" si="12"/>
        <v>0.24564693694143494</v>
      </c>
    </row>
    <row r="809" spans="1:18" x14ac:dyDescent="0.25">
      <c r="A809">
        <v>1216</v>
      </c>
      <c r="B809" s="1">
        <v>45528</v>
      </c>
      <c r="C809" t="s">
        <v>210</v>
      </c>
      <c r="D809" t="s">
        <v>32</v>
      </c>
      <c r="E809" t="s">
        <v>53</v>
      </c>
      <c r="F809" t="s">
        <v>19</v>
      </c>
      <c r="G809" t="s">
        <v>41</v>
      </c>
      <c r="H809" t="s">
        <v>63</v>
      </c>
      <c r="I809" t="s">
        <v>117</v>
      </c>
      <c r="J809">
        <v>10</v>
      </c>
      <c r="K809" s="3">
        <v>592.22</v>
      </c>
      <c r="L809" s="2">
        <v>435.42</v>
      </c>
      <c r="M809" s="2">
        <f>Table1[[#This Row],[UnitPrice]]*Table1[[#This Row],[Quantity]]</f>
        <v>5922.2000000000007</v>
      </c>
      <c r="N809" s="2">
        <f>Table1[[#This Row],[CostPrice]]*Table1[[#This Row],[Quantity]]</f>
        <v>4354.2</v>
      </c>
      <c r="O809" s="2">
        <v>1035</v>
      </c>
      <c r="P809" s="4">
        <v>0.09</v>
      </c>
      <c r="Q809" t="s">
        <v>23</v>
      </c>
      <c r="R809" s="4">
        <f t="shared" si="12"/>
        <v>0.17476613420688256</v>
      </c>
    </row>
    <row r="810" spans="1:18" x14ac:dyDescent="0.25">
      <c r="A810">
        <v>1963</v>
      </c>
      <c r="B810" s="1">
        <v>45528</v>
      </c>
      <c r="C810" t="s">
        <v>172</v>
      </c>
      <c r="D810" t="s">
        <v>32</v>
      </c>
      <c r="E810" t="s">
        <v>18</v>
      </c>
      <c r="F810" t="s">
        <v>40</v>
      </c>
      <c r="G810" t="s">
        <v>41</v>
      </c>
      <c r="H810" t="s">
        <v>63</v>
      </c>
      <c r="I810" t="s">
        <v>64</v>
      </c>
      <c r="J810">
        <v>8</v>
      </c>
      <c r="K810" s="3">
        <v>213.26</v>
      </c>
      <c r="L810" s="2">
        <v>106.83</v>
      </c>
      <c r="M810" s="2">
        <f>Table1[[#This Row],[UnitPrice]]*Table1[[#This Row],[Quantity]]</f>
        <v>1706.08</v>
      </c>
      <c r="N810" s="2">
        <f>Table1[[#This Row],[CostPrice]]*Table1[[#This Row],[Quantity]]</f>
        <v>854.64</v>
      </c>
      <c r="O810" s="2">
        <v>732.01</v>
      </c>
      <c r="P810" s="4">
        <v>7.0000000000000007E-2</v>
      </c>
      <c r="Q810" t="s">
        <v>23</v>
      </c>
      <c r="R810" s="4">
        <f t="shared" si="12"/>
        <v>0.42905959861202292</v>
      </c>
    </row>
    <row r="811" spans="1:18" x14ac:dyDescent="0.25">
      <c r="A811">
        <v>1562</v>
      </c>
      <c r="B811" s="1">
        <v>45529</v>
      </c>
      <c r="C811" t="s">
        <v>268</v>
      </c>
      <c r="D811" t="s">
        <v>32</v>
      </c>
      <c r="E811" t="s">
        <v>53</v>
      </c>
      <c r="F811" t="s">
        <v>40</v>
      </c>
      <c r="G811" t="s">
        <v>41</v>
      </c>
      <c r="H811" t="s">
        <v>42</v>
      </c>
      <c r="I811" t="s">
        <v>68</v>
      </c>
      <c r="J811">
        <v>2</v>
      </c>
      <c r="K811" s="3">
        <v>692.41</v>
      </c>
      <c r="L811" s="2">
        <v>396.11</v>
      </c>
      <c r="M811" s="2">
        <f>Table1[[#This Row],[UnitPrice]]*Table1[[#This Row],[Quantity]]</f>
        <v>1384.82</v>
      </c>
      <c r="N811" s="2">
        <f>Table1[[#This Row],[CostPrice]]*Table1[[#This Row],[Quantity]]</f>
        <v>792.22</v>
      </c>
      <c r="O811" s="2">
        <v>384.88</v>
      </c>
      <c r="P811" s="4">
        <v>0.15</v>
      </c>
      <c r="Q811" t="s">
        <v>85</v>
      </c>
      <c r="R811" s="4">
        <f t="shared" si="12"/>
        <v>0.27792781733366068</v>
      </c>
    </row>
    <row r="812" spans="1:18" x14ac:dyDescent="0.25">
      <c r="A812">
        <v>1301</v>
      </c>
      <c r="B812" s="1">
        <v>45530</v>
      </c>
      <c r="C812" t="s">
        <v>243</v>
      </c>
      <c r="D812" t="s">
        <v>25</v>
      </c>
      <c r="E812" t="s">
        <v>18</v>
      </c>
      <c r="F812" t="s">
        <v>34</v>
      </c>
      <c r="G812" t="s">
        <v>35</v>
      </c>
      <c r="H812" t="s">
        <v>70</v>
      </c>
      <c r="I812" t="s">
        <v>71</v>
      </c>
      <c r="J812">
        <v>9</v>
      </c>
      <c r="K812" s="3">
        <v>625.02</v>
      </c>
      <c r="L812" s="2">
        <v>442.44</v>
      </c>
      <c r="M812" s="2">
        <f>Table1[[#This Row],[UnitPrice]]*Table1[[#This Row],[Quantity]]</f>
        <v>5625.18</v>
      </c>
      <c r="N812" s="2">
        <f>Table1[[#This Row],[CostPrice]]*Table1[[#This Row],[Quantity]]</f>
        <v>3981.96</v>
      </c>
      <c r="O812" s="2">
        <v>1586.97</v>
      </c>
      <c r="P812" s="4">
        <v>0.01</v>
      </c>
      <c r="Q812" t="s">
        <v>44</v>
      </c>
      <c r="R812" s="4">
        <f t="shared" si="12"/>
        <v>0.28211897219288984</v>
      </c>
    </row>
    <row r="813" spans="1:18" x14ac:dyDescent="0.25">
      <c r="A813">
        <v>1639</v>
      </c>
      <c r="B813" s="1">
        <v>45530</v>
      </c>
      <c r="C813" t="s">
        <v>120</v>
      </c>
      <c r="D813" t="s">
        <v>25</v>
      </c>
      <c r="E813" t="s">
        <v>18</v>
      </c>
      <c r="F813" t="s">
        <v>27</v>
      </c>
      <c r="G813" t="s">
        <v>20</v>
      </c>
      <c r="H813" t="s">
        <v>28</v>
      </c>
      <c r="I813" t="s">
        <v>90</v>
      </c>
      <c r="J813">
        <v>9</v>
      </c>
      <c r="K813" s="3">
        <v>320.8</v>
      </c>
      <c r="L813" s="2">
        <v>189.28</v>
      </c>
      <c r="M813" s="2">
        <f>Table1[[#This Row],[UnitPrice]]*Table1[[#This Row],[Quantity]]</f>
        <v>2887.2000000000003</v>
      </c>
      <c r="N813" s="2">
        <f>Table1[[#This Row],[CostPrice]]*Table1[[#This Row],[Quantity]]</f>
        <v>1703.52</v>
      </c>
      <c r="O813" s="2">
        <v>1097.06</v>
      </c>
      <c r="P813" s="4">
        <v>0.03</v>
      </c>
      <c r="Q813" t="s">
        <v>44</v>
      </c>
      <c r="R813" s="4">
        <f t="shared" si="12"/>
        <v>0.37997367691881401</v>
      </c>
    </row>
    <row r="814" spans="1:18" x14ac:dyDescent="0.25">
      <c r="A814">
        <v>1261</v>
      </c>
      <c r="B814" s="1">
        <v>45533</v>
      </c>
      <c r="C814" t="s">
        <v>192</v>
      </c>
      <c r="D814" t="s">
        <v>17</v>
      </c>
      <c r="E814" t="s">
        <v>18</v>
      </c>
      <c r="F814" t="s">
        <v>34</v>
      </c>
      <c r="G814" t="s">
        <v>41</v>
      </c>
      <c r="H814" t="s">
        <v>63</v>
      </c>
      <c r="I814" t="s">
        <v>117</v>
      </c>
      <c r="J814">
        <v>10</v>
      </c>
      <c r="K814" s="3">
        <v>565.79</v>
      </c>
      <c r="L814" s="2">
        <v>394.41</v>
      </c>
      <c r="M814" s="2">
        <f>Table1[[#This Row],[UnitPrice]]*Table1[[#This Row],[Quantity]]</f>
        <v>5657.9</v>
      </c>
      <c r="N814" s="2">
        <f>Table1[[#This Row],[CostPrice]]*Table1[[#This Row],[Quantity]]</f>
        <v>3944.1000000000004</v>
      </c>
      <c r="O814" s="2">
        <v>1374.33</v>
      </c>
      <c r="P814" s="4">
        <v>0.06</v>
      </c>
      <c r="Q814" t="s">
        <v>55</v>
      </c>
      <c r="R814" s="4">
        <f t="shared" si="12"/>
        <v>0.24290461125152443</v>
      </c>
    </row>
    <row r="815" spans="1:18" x14ac:dyDescent="0.25">
      <c r="A815">
        <v>1487</v>
      </c>
      <c r="B815" s="1">
        <v>45535</v>
      </c>
      <c r="C815" t="s">
        <v>212</v>
      </c>
      <c r="D815" t="s">
        <v>25</v>
      </c>
      <c r="E815" t="s">
        <v>33</v>
      </c>
      <c r="F815" t="s">
        <v>34</v>
      </c>
      <c r="G815" t="s">
        <v>20</v>
      </c>
      <c r="H815" t="s">
        <v>113</v>
      </c>
      <c r="I815" t="s">
        <v>114</v>
      </c>
      <c r="J815">
        <v>7</v>
      </c>
      <c r="K815" s="3">
        <v>658.11</v>
      </c>
      <c r="L815" s="2">
        <v>536.34</v>
      </c>
      <c r="M815" s="2">
        <f>Table1[[#This Row],[UnitPrice]]*Table1[[#This Row],[Quantity]]</f>
        <v>4606.7700000000004</v>
      </c>
      <c r="N815" s="2">
        <f>Table1[[#This Row],[CostPrice]]*Table1[[#This Row],[Quantity]]</f>
        <v>3754.38</v>
      </c>
      <c r="O815" s="2">
        <v>69.239999999999995</v>
      </c>
      <c r="P815" s="4">
        <v>0.17</v>
      </c>
      <c r="Q815" t="s">
        <v>92</v>
      </c>
      <c r="R815" s="4">
        <f t="shared" si="12"/>
        <v>1.503005359503513E-2</v>
      </c>
    </row>
    <row r="816" spans="1:18" x14ac:dyDescent="0.25">
      <c r="A816">
        <v>1836</v>
      </c>
      <c r="B816" s="1">
        <v>45331</v>
      </c>
      <c r="C816" t="s">
        <v>251</v>
      </c>
      <c r="D816" t="s">
        <v>25</v>
      </c>
      <c r="E816" t="s">
        <v>18</v>
      </c>
      <c r="F816" t="s">
        <v>40</v>
      </c>
      <c r="G816" t="s">
        <v>20</v>
      </c>
      <c r="H816" t="s">
        <v>21</v>
      </c>
      <c r="I816" t="s">
        <v>22</v>
      </c>
      <c r="J816">
        <v>8</v>
      </c>
      <c r="K816" s="3">
        <v>845.4</v>
      </c>
      <c r="L816" s="2">
        <v>692.76</v>
      </c>
      <c r="M816" s="2">
        <f>Table1[[#This Row],[UnitPrice]]*Table1[[#This Row],[Quantity]]</f>
        <v>6763.2</v>
      </c>
      <c r="N816" s="2">
        <f>Table1[[#This Row],[CostPrice]]*Table1[[#This Row],[Quantity]]</f>
        <v>5542.08</v>
      </c>
      <c r="O816" s="2">
        <v>815.33</v>
      </c>
      <c r="P816" s="4">
        <v>0.06</v>
      </c>
      <c r="Q816" t="s">
        <v>44</v>
      </c>
      <c r="R816" s="4">
        <f t="shared" si="12"/>
        <v>0.12055387982020346</v>
      </c>
    </row>
    <row r="817" spans="1:18" x14ac:dyDescent="0.25">
      <c r="A817">
        <v>1155</v>
      </c>
      <c r="B817" s="1">
        <v>45360</v>
      </c>
      <c r="C817" t="s">
        <v>195</v>
      </c>
      <c r="D817" t="s">
        <v>17</v>
      </c>
      <c r="E817" t="s">
        <v>26</v>
      </c>
      <c r="F817" t="s">
        <v>34</v>
      </c>
      <c r="G817" t="s">
        <v>41</v>
      </c>
      <c r="H817" t="s">
        <v>46</v>
      </c>
      <c r="I817" t="s">
        <v>47</v>
      </c>
      <c r="J817">
        <v>9</v>
      </c>
      <c r="K817" s="3">
        <v>630.88</v>
      </c>
      <c r="L817" s="2">
        <v>452.28</v>
      </c>
      <c r="M817" s="2">
        <f>Table1[[#This Row],[UnitPrice]]*Table1[[#This Row],[Quantity]]</f>
        <v>5677.92</v>
      </c>
      <c r="N817" s="2">
        <f>Table1[[#This Row],[CostPrice]]*Table1[[#This Row],[Quantity]]</f>
        <v>4070.5199999999995</v>
      </c>
      <c r="O817" s="2">
        <v>187.92</v>
      </c>
      <c r="P817" s="4">
        <v>0.25</v>
      </c>
      <c r="Q817" t="s">
        <v>92</v>
      </c>
      <c r="R817" s="4">
        <f t="shared" si="12"/>
        <v>3.3096626933806744E-2</v>
      </c>
    </row>
    <row r="818" spans="1:18" x14ac:dyDescent="0.25">
      <c r="A818">
        <v>1874</v>
      </c>
      <c r="B818" s="1">
        <v>45360</v>
      </c>
      <c r="C818" t="s">
        <v>56</v>
      </c>
      <c r="D818" t="s">
        <v>17</v>
      </c>
      <c r="E818" t="s">
        <v>53</v>
      </c>
      <c r="F818" t="s">
        <v>40</v>
      </c>
      <c r="G818" t="s">
        <v>41</v>
      </c>
      <c r="H818" t="s">
        <v>42</v>
      </c>
      <c r="I818" t="s">
        <v>43</v>
      </c>
      <c r="J818">
        <v>4</v>
      </c>
      <c r="K818" s="3">
        <v>253.77</v>
      </c>
      <c r="L818" s="2">
        <v>163.86</v>
      </c>
      <c r="M818" s="2">
        <f>Table1[[#This Row],[UnitPrice]]*Table1[[#This Row],[Quantity]]</f>
        <v>1015.08</v>
      </c>
      <c r="N818" s="2">
        <f>Table1[[#This Row],[CostPrice]]*Table1[[#This Row],[Quantity]]</f>
        <v>655.44</v>
      </c>
      <c r="O818" s="2">
        <v>298.74</v>
      </c>
      <c r="P818" s="4">
        <v>0.06</v>
      </c>
      <c r="Q818" t="s">
        <v>30</v>
      </c>
      <c r="R818" s="4">
        <f t="shared" si="12"/>
        <v>0.29430192694171886</v>
      </c>
    </row>
    <row r="819" spans="1:18" x14ac:dyDescent="0.25">
      <c r="A819">
        <v>1984</v>
      </c>
      <c r="B819" s="1">
        <v>45360</v>
      </c>
      <c r="C819" t="s">
        <v>226</v>
      </c>
      <c r="D819" t="s">
        <v>25</v>
      </c>
      <c r="E819" t="s">
        <v>26</v>
      </c>
      <c r="F819" t="s">
        <v>19</v>
      </c>
      <c r="G819" t="s">
        <v>41</v>
      </c>
      <c r="H819" t="s">
        <v>46</v>
      </c>
      <c r="I819" t="s">
        <v>47</v>
      </c>
      <c r="J819">
        <v>2</v>
      </c>
      <c r="K819" s="3">
        <v>312.73</v>
      </c>
      <c r="L819" s="2">
        <v>240.19</v>
      </c>
      <c r="M819" s="2">
        <f>Table1[[#This Row],[UnitPrice]]*Table1[[#This Row],[Quantity]]</f>
        <v>625.46</v>
      </c>
      <c r="N819" s="2">
        <f>Table1[[#This Row],[CostPrice]]*Table1[[#This Row],[Quantity]]</f>
        <v>480.38</v>
      </c>
      <c r="O819" s="2">
        <v>-5.03</v>
      </c>
      <c r="P819" s="4">
        <v>0.24</v>
      </c>
      <c r="Q819" t="s">
        <v>55</v>
      </c>
      <c r="R819" s="4">
        <f t="shared" si="12"/>
        <v>-8.0420810283631239E-3</v>
      </c>
    </row>
    <row r="820" spans="1:18" x14ac:dyDescent="0.25">
      <c r="A820">
        <v>1988</v>
      </c>
      <c r="B820" s="1">
        <v>45360</v>
      </c>
      <c r="C820" t="s">
        <v>187</v>
      </c>
      <c r="D820" t="s">
        <v>25</v>
      </c>
      <c r="E820" t="s">
        <v>18</v>
      </c>
      <c r="F820" t="s">
        <v>27</v>
      </c>
      <c r="G820" t="s">
        <v>41</v>
      </c>
      <c r="H820" t="s">
        <v>63</v>
      </c>
      <c r="I820" t="s">
        <v>64</v>
      </c>
      <c r="J820">
        <v>1</v>
      </c>
      <c r="K820" s="3">
        <v>225.59</v>
      </c>
      <c r="L820" s="2">
        <v>160.84</v>
      </c>
      <c r="M820" s="2">
        <f>Table1[[#This Row],[UnitPrice]]*Table1[[#This Row],[Quantity]]</f>
        <v>225.59</v>
      </c>
      <c r="N820" s="2">
        <f>Table1[[#This Row],[CostPrice]]*Table1[[#This Row],[Quantity]]</f>
        <v>160.84</v>
      </c>
      <c r="O820" s="2">
        <v>12.86</v>
      </c>
      <c r="P820" s="4">
        <v>0.23</v>
      </c>
      <c r="Q820" t="s">
        <v>85</v>
      </c>
      <c r="R820" s="4">
        <f t="shared" si="12"/>
        <v>5.7006072964227134E-2</v>
      </c>
    </row>
    <row r="821" spans="1:18" x14ac:dyDescent="0.25">
      <c r="A821">
        <v>1064</v>
      </c>
      <c r="B821" s="1">
        <v>45391</v>
      </c>
      <c r="C821" t="s">
        <v>131</v>
      </c>
      <c r="D821" t="s">
        <v>32</v>
      </c>
      <c r="E821" t="s">
        <v>18</v>
      </c>
      <c r="F821" t="s">
        <v>40</v>
      </c>
      <c r="G821" t="s">
        <v>20</v>
      </c>
      <c r="H821" t="s">
        <v>21</v>
      </c>
      <c r="I821" t="s">
        <v>132</v>
      </c>
      <c r="J821">
        <v>10</v>
      </c>
      <c r="K821" s="3">
        <v>589.19000000000005</v>
      </c>
      <c r="L821" s="2">
        <v>298.87</v>
      </c>
      <c r="M821" s="2">
        <f>Table1[[#This Row],[UnitPrice]]*Table1[[#This Row],[Quantity]]</f>
        <v>5891.9000000000005</v>
      </c>
      <c r="N821" s="2">
        <f>Table1[[#This Row],[CostPrice]]*Table1[[#This Row],[Quantity]]</f>
        <v>2988.7</v>
      </c>
      <c r="O821" s="2">
        <v>1548.06</v>
      </c>
      <c r="P821" s="4">
        <v>0.23</v>
      </c>
      <c r="Q821" t="s">
        <v>30</v>
      </c>
      <c r="R821" s="4">
        <f t="shared" si="12"/>
        <v>0.26274376686637585</v>
      </c>
    </row>
    <row r="822" spans="1:18" x14ac:dyDescent="0.25">
      <c r="A822">
        <v>1104</v>
      </c>
      <c r="B822" s="1">
        <v>45421</v>
      </c>
      <c r="C822" t="s">
        <v>124</v>
      </c>
      <c r="D822" t="s">
        <v>25</v>
      </c>
      <c r="E822" t="s">
        <v>18</v>
      </c>
      <c r="F822" t="s">
        <v>19</v>
      </c>
      <c r="G822" t="s">
        <v>20</v>
      </c>
      <c r="H822" t="s">
        <v>28</v>
      </c>
      <c r="I822" t="s">
        <v>29</v>
      </c>
      <c r="J822">
        <v>6</v>
      </c>
      <c r="K822" s="3">
        <v>124.38</v>
      </c>
      <c r="L822" s="2">
        <v>83.84</v>
      </c>
      <c r="M822" s="2">
        <f>Table1[[#This Row],[UnitPrice]]*Table1[[#This Row],[Quantity]]</f>
        <v>746.28</v>
      </c>
      <c r="N822" s="2">
        <f>Table1[[#This Row],[CostPrice]]*Table1[[#This Row],[Quantity]]</f>
        <v>503.04</v>
      </c>
      <c r="O822" s="2">
        <v>146.22</v>
      </c>
      <c r="P822" s="4">
        <v>0.13</v>
      </c>
      <c r="Q822" t="s">
        <v>92</v>
      </c>
      <c r="R822" s="4">
        <f t="shared" si="12"/>
        <v>0.19593182183630808</v>
      </c>
    </row>
    <row r="823" spans="1:18" x14ac:dyDescent="0.25">
      <c r="A823">
        <v>1536</v>
      </c>
      <c r="B823" s="1">
        <v>45421</v>
      </c>
      <c r="C823" t="s">
        <v>157</v>
      </c>
      <c r="D823" t="s">
        <v>17</v>
      </c>
      <c r="E823" t="s">
        <v>53</v>
      </c>
      <c r="F823" t="s">
        <v>27</v>
      </c>
      <c r="G823" t="s">
        <v>35</v>
      </c>
      <c r="H823" t="s">
        <v>70</v>
      </c>
      <c r="I823" t="s">
        <v>84</v>
      </c>
      <c r="J823">
        <v>8</v>
      </c>
      <c r="K823" s="3">
        <v>974.39</v>
      </c>
      <c r="L823" s="2">
        <v>766.26</v>
      </c>
      <c r="M823" s="2">
        <f>Table1[[#This Row],[UnitPrice]]*Table1[[#This Row],[Quantity]]</f>
        <v>7795.12</v>
      </c>
      <c r="N823" s="2">
        <f>Table1[[#This Row],[CostPrice]]*Table1[[#This Row],[Quantity]]</f>
        <v>6130.08</v>
      </c>
      <c r="O823" s="2">
        <v>807.58</v>
      </c>
      <c r="P823" s="4">
        <v>0.11</v>
      </c>
      <c r="Q823" t="s">
        <v>125</v>
      </c>
      <c r="R823" s="4">
        <f t="shared" si="12"/>
        <v>0.10360071429304489</v>
      </c>
    </row>
    <row r="824" spans="1:18" x14ac:dyDescent="0.25">
      <c r="A824">
        <v>1291</v>
      </c>
      <c r="B824" s="1">
        <v>45452</v>
      </c>
      <c r="C824" t="s">
        <v>156</v>
      </c>
      <c r="D824" t="s">
        <v>32</v>
      </c>
      <c r="E824" t="s">
        <v>26</v>
      </c>
      <c r="F824" t="s">
        <v>34</v>
      </c>
      <c r="G824" t="s">
        <v>41</v>
      </c>
      <c r="H824" t="s">
        <v>46</v>
      </c>
      <c r="I824" t="s">
        <v>57</v>
      </c>
      <c r="J824">
        <v>5</v>
      </c>
      <c r="K824" s="3">
        <v>907.38</v>
      </c>
      <c r="L824" s="2">
        <v>582.17999999999995</v>
      </c>
      <c r="M824" s="2">
        <f>Table1[[#This Row],[UnitPrice]]*Table1[[#This Row],[Quantity]]</f>
        <v>4536.8999999999996</v>
      </c>
      <c r="N824" s="2">
        <f>Table1[[#This Row],[CostPrice]]*Table1[[#This Row],[Quantity]]</f>
        <v>2910.8999999999996</v>
      </c>
      <c r="O824" s="2">
        <v>627.88</v>
      </c>
      <c r="P824" s="4">
        <v>0.22</v>
      </c>
      <c r="Q824" t="s">
        <v>125</v>
      </c>
      <c r="R824" s="4">
        <f t="shared" si="12"/>
        <v>0.13839405761643414</v>
      </c>
    </row>
    <row r="825" spans="1:18" x14ac:dyDescent="0.25">
      <c r="A825">
        <v>1545</v>
      </c>
      <c r="B825" s="1">
        <v>45513</v>
      </c>
      <c r="C825" t="s">
        <v>83</v>
      </c>
      <c r="D825" t="s">
        <v>25</v>
      </c>
      <c r="E825" t="s">
        <v>26</v>
      </c>
      <c r="F825" t="s">
        <v>40</v>
      </c>
      <c r="G825" t="s">
        <v>20</v>
      </c>
      <c r="H825" t="s">
        <v>21</v>
      </c>
      <c r="I825" t="s">
        <v>132</v>
      </c>
      <c r="J825">
        <v>5</v>
      </c>
      <c r="K825" s="3">
        <v>949.05</v>
      </c>
      <c r="L825" s="2">
        <v>590.05999999999995</v>
      </c>
      <c r="M825" s="2">
        <f>Table1[[#This Row],[UnitPrice]]*Table1[[#This Row],[Quantity]]</f>
        <v>4745.25</v>
      </c>
      <c r="N825" s="2">
        <f>Table1[[#This Row],[CostPrice]]*Table1[[#This Row],[Quantity]]</f>
        <v>2950.2999999999997</v>
      </c>
      <c r="O825" s="2">
        <v>1557.69</v>
      </c>
      <c r="P825" s="4">
        <v>0.05</v>
      </c>
      <c r="Q825" t="s">
        <v>38</v>
      </c>
      <c r="R825" s="4">
        <f t="shared" si="12"/>
        <v>0.32826299984194723</v>
      </c>
    </row>
    <row r="826" spans="1:18" x14ac:dyDescent="0.25">
      <c r="A826">
        <v>1748</v>
      </c>
      <c r="B826" s="1">
        <v>45513</v>
      </c>
      <c r="C826" t="s">
        <v>121</v>
      </c>
      <c r="D826" t="s">
        <v>17</v>
      </c>
      <c r="E826" t="s">
        <v>18</v>
      </c>
      <c r="F826" t="s">
        <v>40</v>
      </c>
      <c r="G826" t="s">
        <v>20</v>
      </c>
      <c r="H826" t="s">
        <v>113</v>
      </c>
      <c r="I826" t="s">
        <v>161</v>
      </c>
      <c r="J826">
        <v>7</v>
      </c>
      <c r="K826" s="3">
        <v>78.989999999999995</v>
      </c>
      <c r="L826" s="2">
        <v>46.54</v>
      </c>
      <c r="M826" s="2">
        <f>Table1[[#This Row],[UnitPrice]]*Table1[[#This Row],[Quantity]]</f>
        <v>552.92999999999995</v>
      </c>
      <c r="N826" s="2">
        <f>Table1[[#This Row],[CostPrice]]*Table1[[#This Row],[Quantity]]</f>
        <v>325.77999999999997</v>
      </c>
      <c r="O826" s="2">
        <v>166.33</v>
      </c>
      <c r="P826" s="4">
        <v>0.11</v>
      </c>
      <c r="Q826" t="s">
        <v>92</v>
      </c>
      <c r="R826" s="4">
        <f t="shared" si="12"/>
        <v>0.30081565478451167</v>
      </c>
    </row>
    <row r="827" spans="1:18" x14ac:dyDescent="0.25">
      <c r="A827">
        <v>1787</v>
      </c>
      <c r="B827" s="1">
        <v>45544</v>
      </c>
      <c r="C827" t="s">
        <v>118</v>
      </c>
      <c r="D827" t="s">
        <v>32</v>
      </c>
      <c r="E827" t="s">
        <v>33</v>
      </c>
      <c r="F827" t="s">
        <v>34</v>
      </c>
      <c r="G827" t="s">
        <v>20</v>
      </c>
      <c r="H827" t="s">
        <v>113</v>
      </c>
      <c r="I827" t="s">
        <v>114</v>
      </c>
      <c r="J827">
        <v>3</v>
      </c>
      <c r="K827" s="3">
        <v>252.1</v>
      </c>
      <c r="L827" s="2">
        <v>133.43</v>
      </c>
      <c r="M827" s="2">
        <f>Table1[[#This Row],[UnitPrice]]*Table1[[#This Row],[Quantity]]</f>
        <v>756.3</v>
      </c>
      <c r="N827" s="2">
        <f>Table1[[#This Row],[CostPrice]]*Table1[[#This Row],[Quantity]]</f>
        <v>400.29</v>
      </c>
      <c r="O827" s="2">
        <v>325.76</v>
      </c>
      <c r="P827" s="4">
        <v>0.04</v>
      </c>
      <c r="Q827" t="s">
        <v>125</v>
      </c>
      <c r="R827" s="4">
        <f t="shared" si="12"/>
        <v>0.43072854687293405</v>
      </c>
    </row>
    <row r="828" spans="1:18" x14ac:dyDescent="0.25">
      <c r="A828">
        <v>1511</v>
      </c>
      <c r="B828" s="1">
        <v>45574</v>
      </c>
      <c r="C828" t="s">
        <v>107</v>
      </c>
      <c r="D828" t="s">
        <v>17</v>
      </c>
      <c r="E828" t="s">
        <v>26</v>
      </c>
      <c r="F828" t="s">
        <v>19</v>
      </c>
      <c r="G828" t="s">
        <v>20</v>
      </c>
      <c r="H828" t="s">
        <v>28</v>
      </c>
      <c r="I828" t="s">
        <v>61</v>
      </c>
      <c r="J828">
        <v>4</v>
      </c>
      <c r="K828" s="3">
        <v>593.62</v>
      </c>
      <c r="L828" s="2">
        <v>470.71</v>
      </c>
      <c r="M828" s="2">
        <f>Table1[[#This Row],[UnitPrice]]*Table1[[#This Row],[Quantity]]</f>
        <v>2374.48</v>
      </c>
      <c r="N828" s="2">
        <f>Table1[[#This Row],[CostPrice]]*Table1[[#This Row],[Quantity]]</f>
        <v>1882.84</v>
      </c>
      <c r="O828" s="2">
        <v>301.68</v>
      </c>
      <c r="P828" s="4">
        <v>0.08</v>
      </c>
      <c r="Q828" t="s">
        <v>75</v>
      </c>
      <c r="R828" s="4">
        <f t="shared" si="12"/>
        <v>0.12705097537144974</v>
      </c>
    </row>
    <row r="829" spans="1:18" x14ac:dyDescent="0.25">
      <c r="A829">
        <v>1993</v>
      </c>
      <c r="B829" s="1">
        <v>45574</v>
      </c>
      <c r="C829" t="s">
        <v>167</v>
      </c>
      <c r="D829" t="s">
        <v>32</v>
      </c>
      <c r="E829" t="s">
        <v>18</v>
      </c>
      <c r="F829" t="s">
        <v>27</v>
      </c>
      <c r="G829" t="s">
        <v>41</v>
      </c>
      <c r="H829" t="s">
        <v>46</v>
      </c>
      <c r="I829" t="s">
        <v>102</v>
      </c>
      <c r="J829">
        <v>6</v>
      </c>
      <c r="K829" s="3">
        <v>116.11</v>
      </c>
      <c r="L829" s="2">
        <v>65.319999999999993</v>
      </c>
      <c r="M829" s="2">
        <f>Table1[[#This Row],[UnitPrice]]*Table1[[#This Row],[Quantity]]</f>
        <v>696.66</v>
      </c>
      <c r="N829" s="2">
        <f>Table1[[#This Row],[CostPrice]]*Table1[[#This Row],[Quantity]]</f>
        <v>391.91999999999996</v>
      </c>
      <c r="O829" s="2">
        <v>214.17</v>
      </c>
      <c r="P829" s="4">
        <v>0.13</v>
      </c>
      <c r="Q829" t="s">
        <v>75</v>
      </c>
      <c r="R829" s="4">
        <f t="shared" si="12"/>
        <v>0.30742399448798552</v>
      </c>
    </row>
    <row r="830" spans="1:18" x14ac:dyDescent="0.25">
      <c r="A830">
        <v>1792</v>
      </c>
      <c r="B830" s="1">
        <v>45605</v>
      </c>
      <c r="C830" t="s">
        <v>293</v>
      </c>
      <c r="D830" t="s">
        <v>32</v>
      </c>
      <c r="E830" t="s">
        <v>18</v>
      </c>
      <c r="F830" t="s">
        <v>19</v>
      </c>
      <c r="G830" t="s">
        <v>41</v>
      </c>
      <c r="H830" t="s">
        <v>46</v>
      </c>
      <c r="I830" t="s">
        <v>47</v>
      </c>
      <c r="J830">
        <v>5</v>
      </c>
      <c r="K830" s="3">
        <v>626.63</v>
      </c>
      <c r="L830" s="2">
        <v>376.26</v>
      </c>
      <c r="M830" s="2">
        <f>Table1[[#This Row],[UnitPrice]]*Table1[[#This Row],[Quantity]]</f>
        <v>3133.15</v>
      </c>
      <c r="N830" s="2">
        <f>Table1[[#This Row],[CostPrice]]*Table1[[#This Row],[Quantity]]</f>
        <v>1881.3</v>
      </c>
      <c r="O830" s="2">
        <v>437.23</v>
      </c>
      <c r="P830" s="4">
        <v>0.26</v>
      </c>
      <c r="Q830" t="s">
        <v>30</v>
      </c>
      <c r="R830" s="4">
        <f t="shared" si="12"/>
        <v>0.13954965450106124</v>
      </c>
    </row>
    <row r="831" spans="1:18" x14ac:dyDescent="0.25">
      <c r="A831">
        <v>1635</v>
      </c>
      <c r="B831" s="1">
        <v>45635</v>
      </c>
      <c r="C831" t="s">
        <v>107</v>
      </c>
      <c r="D831" t="s">
        <v>25</v>
      </c>
      <c r="E831" t="s">
        <v>53</v>
      </c>
      <c r="F831" t="s">
        <v>27</v>
      </c>
      <c r="G831" t="s">
        <v>41</v>
      </c>
      <c r="H831" t="s">
        <v>46</v>
      </c>
      <c r="I831" t="s">
        <v>47</v>
      </c>
      <c r="J831">
        <v>6</v>
      </c>
      <c r="K831" s="3">
        <v>93.87</v>
      </c>
      <c r="L831" s="2">
        <v>67.459999999999994</v>
      </c>
      <c r="M831" s="2">
        <f>Table1[[#This Row],[UnitPrice]]*Table1[[#This Row],[Quantity]]</f>
        <v>563.22</v>
      </c>
      <c r="N831" s="2">
        <f>Table1[[#This Row],[CostPrice]]*Table1[[#This Row],[Quantity]]</f>
        <v>404.76</v>
      </c>
      <c r="O831" s="2">
        <v>51.45</v>
      </c>
      <c r="P831" s="4">
        <v>0.19</v>
      </c>
      <c r="Q831" t="s">
        <v>75</v>
      </c>
      <c r="R831" s="4">
        <f t="shared" si="12"/>
        <v>9.1349739000745708E-2</v>
      </c>
    </row>
    <row r="832" spans="1:18" x14ac:dyDescent="0.25">
      <c r="A832">
        <v>1709</v>
      </c>
      <c r="B832" s="1">
        <v>45635</v>
      </c>
      <c r="C832" t="s">
        <v>289</v>
      </c>
      <c r="D832" t="s">
        <v>32</v>
      </c>
      <c r="E832" t="s">
        <v>53</v>
      </c>
      <c r="F832" t="s">
        <v>19</v>
      </c>
      <c r="G832" t="s">
        <v>35</v>
      </c>
      <c r="H832" t="s">
        <v>49</v>
      </c>
      <c r="I832" t="s">
        <v>66</v>
      </c>
      <c r="J832">
        <v>6</v>
      </c>
      <c r="K832" s="3">
        <v>401.25</v>
      </c>
      <c r="L832" s="2">
        <v>224.19</v>
      </c>
      <c r="M832" s="2">
        <f>Table1[[#This Row],[UnitPrice]]*Table1[[#This Row],[Quantity]]</f>
        <v>2407.5</v>
      </c>
      <c r="N832" s="2">
        <f>Table1[[#This Row],[CostPrice]]*Table1[[#This Row],[Quantity]]</f>
        <v>1345.1399999999999</v>
      </c>
      <c r="O832" s="2">
        <v>749.39</v>
      </c>
      <c r="P832" s="4">
        <v>0.13</v>
      </c>
      <c r="Q832" t="s">
        <v>38</v>
      </c>
      <c r="R832" s="4">
        <f t="shared" si="12"/>
        <v>0.31127310488058152</v>
      </c>
    </row>
    <row r="833" spans="1:18" x14ac:dyDescent="0.25">
      <c r="A833">
        <v>1846</v>
      </c>
      <c r="B833" s="1">
        <v>45549</v>
      </c>
      <c r="C833" t="s">
        <v>245</v>
      </c>
      <c r="D833" t="s">
        <v>17</v>
      </c>
      <c r="E833" t="s">
        <v>33</v>
      </c>
      <c r="F833" t="s">
        <v>27</v>
      </c>
      <c r="G833" t="s">
        <v>41</v>
      </c>
      <c r="H833" t="s">
        <v>46</v>
      </c>
      <c r="I833" t="s">
        <v>57</v>
      </c>
      <c r="J833">
        <v>6</v>
      </c>
      <c r="K833" s="3">
        <v>202.16</v>
      </c>
      <c r="L833" s="2">
        <v>104.59</v>
      </c>
      <c r="M833" s="2">
        <f>Table1[[#This Row],[UnitPrice]]*Table1[[#This Row],[Quantity]]</f>
        <v>1212.96</v>
      </c>
      <c r="N833" s="2">
        <f>Table1[[#This Row],[CostPrice]]*Table1[[#This Row],[Quantity]]</f>
        <v>627.54</v>
      </c>
      <c r="O833" s="2">
        <v>403.48</v>
      </c>
      <c r="P833" s="4">
        <v>0.15</v>
      </c>
      <c r="Q833" t="s">
        <v>51</v>
      </c>
      <c r="R833" s="4">
        <f t="shared" si="12"/>
        <v>0.33264081255771005</v>
      </c>
    </row>
    <row r="834" spans="1:18" x14ac:dyDescent="0.25">
      <c r="A834">
        <v>1005</v>
      </c>
      <c r="B834" s="1">
        <v>45550</v>
      </c>
      <c r="C834" t="s">
        <v>48</v>
      </c>
      <c r="D834" t="s">
        <v>17</v>
      </c>
      <c r="E834" t="s">
        <v>26</v>
      </c>
      <c r="F834" t="s">
        <v>19</v>
      </c>
      <c r="G834" t="s">
        <v>35</v>
      </c>
      <c r="H834" t="s">
        <v>49</v>
      </c>
      <c r="I834" t="s">
        <v>50</v>
      </c>
      <c r="J834">
        <v>9</v>
      </c>
      <c r="K834" s="3">
        <v>223.52</v>
      </c>
      <c r="L834" s="2">
        <v>137.13</v>
      </c>
      <c r="M834" s="2">
        <f>Table1[[#This Row],[UnitPrice]]*Table1[[#This Row],[Quantity]]</f>
        <v>2011.68</v>
      </c>
      <c r="N834" s="2">
        <f>Table1[[#This Row],[CostPrice]]*Table1[[#This Row],[Quantity]]</f>
        <v>1234.17</v>
      </c>
      <c r="O834" s="2">
        <v>314.82</v>
      </c>
      <c r="P834" s="4">
        <v>0.23</v>
      </c>
      <c r="Q834" t="s">
        <v>51</v>
      </c>
      <c r="R834" s="4">
        <f t="shared" ref="R834:R897" si="13">O834/M834</f>
        <v>0.15649606299212598</v>
      </c>
    </row>
    <row r="835" spans="1:18" x14ac:dyDescent="0.25">
      <c r="A835">
        <v>1304</v>
      </c>
      <c r="B835" s="1">
        <v>45550</v>
      </c>
      <c r="C835" t="s">
        <v>31</v>
      </c>
      <c r="D835" t="s">
        <v>32</v>
      </c>
      <c r="E835" t="s">
        <v>26</v>
      </c>
      <c r="F835" t="s">
        <v>40</v>
      </c>
      <c r="G835" t="s">
        <v>41</v>
      </c>
      <c r="H835" t="s">
        <v>46</v>
      </c>
      <c r="I835" t="s">
        <v>57</v>
      </c>
      <c r="J835">
        <v>3</v>
      </c>
      <c r="K835" s="3">
        <v>44.21</v>
      </c>
      <c r="L835" s="2">
        <v>29.79</v>
      </c>
      <c r="M835" s="2">
        <f>Table1[[#This Row],[UnitPrice]]*Table1[[#This Row],[Quantity]]</f>
        <v>132.63</v>
      </c>
      <c r="N835" s="2">
        <f>Table1[[#This Row],[CostPrice]]*Table1[[#This Row],[Quantity]]</f>
        <v>89.37</v>
      </c>
      <c r="O835" s="2">
        <v>35.299999999999997</v>
      </c>
      <c r="P835" s="4">
        <v>0.06</v>
      </c>
      <c r="Q835" t="s">
        <v>55</v>
      </c>
      <c r="R835" s="4">
        <f t="shared" si="13"/>
        <v>0.26615396215034304</v>
      </c>
    </row>
    <row r="836" spans="1:18" x14ac:dyDescent="0.25">
      <c r="A836">
        <v>1710</v>
      </c>
      <c r="B836" s="1">
        <v>45551</v>
      </c>
      <c r="C836" t="s">
        <v>290</v>
      </c>
      <c r="D836" t="s">
        <v>25</v>
      </c>
      <c r="E836" t="s">
        <v>53</v>
      </c>
      <c r="F836" t="s">
        <v>34</v>
      </c>
      <c r="G836" t="s">
        <v>35</v>
      </c>
      <c r="H836" t="s">
        <v>49</v>
      </c>
      <c r="I836" t="s">
        <v>66</v>
      </c>
      <c r="J836">
        <v>5</v>
      </c>
      <c r="K836" s="3">
        <v>597.21</v>
      </c>
      <c r="L836" s="2">
        <v>330.54</v>
      </c>
      <c r="M836" s="2">
        <f>Table1[[#This Row],[UnitPrice]]*Table1[[#This Row],[Quantity]]</f>
        <v>2986.05</v>
      </c>
      <c r="N836" s="2">
        <f>Table1[[#This Row],[CostPrice]]*Table1[[#This Row],[Quantity]]</f>
        <v>1652.7</v>
      </c>
      <c r="O836" s="2">
        <v>676.42</v>
      </c>
      <c r="P836" s="4">
        <v>0.22</v>
      </c>
      <c r="Q836" t="s">
        <v>30</v>
      </c>
      <c r="R836" s="4">
        <f t="shared" si="13"/>
        <v>0.22652668240652363</v>
      </c>
    </row>
    <row r="837" spans="1:18" x14ac:dyDescent="0.25">
      <c r="A837">
        <v>1240</v>
      </c>
      <c r="B837" s="1">
        <v>45553</v>
      </c>
      <c r="C837" t="s">
        <v>179</v>
      </c>
      <c r="D837" t="s">
        <v>32</v>
      </c>
      <c r="E837" t="s">
        <v>26</v>
      </c>
      <c r="F837" t="s">
        <v>34</v>
      </c>
      <c r="G837" t="s">
        <v>20</v>
      </c>
      <c r="H837" t="s">
        <v>113</v>
      </c>
      <c r="I837" t="s">
        <v>114</v>
      </c>
      <c r="J837">
        <v>1</v>
      </c>
      <c r="K837" s="3">
        <v>168.01</v>
      </c>
      <c r="L837" s="2">
        <v>140.05000000000001</v>
      </c>
      <c r="M837" s="2">
        <f>Table1[[#This Row],[UnitPrice]]*Table1[[#This Row],[Quantity]]</f>
        <v>168.01</v>
      </c>
      <c r="N837" s="2">
        <f>Table1[[#This Row],[CostPrice]]*Table1[[#This Row],[Quantity]]</f>
        <v>140.05000000000001</v>
      </c>
      <c r="O837" s="2">
        <v>1.08</v>
      </c>
      <c r="P837" s="4">
        <v>0.16</v>
      </c>
      <c r="Q837" t="s">
        <v>30</v>
      </c>
      <c r="R837" s="4">
        <f t="shared" si="13"/>
        <v>6.4281887982858173E-3</v>
      </c>
    </row>
    <row r="838" spans="1:18" x14ac:dyDescent="0.25">
      <c r="A838">
        <v>1432</v>
      </c>
      <c r="B838" s="1">
        <v>45553</v>
      </c>
      <c r="C838" t="s">
        <v>103</v>
      </c>
      <c r="D838" t="s">
        <v>17</v>
      </c>
      <c r="E838" t="s">
        <v>26</v>
      </c>
      <c r="F838" t="s">
        <v>19</v>
      </c>
      <c r="G838" t="s">
        <v>20</v>
      </c>
      <c r="H838" t="s">
        <v>113</v>
      </c>
      <c r="I838" t="s">
        <v>114</v>
      </c>
      <c r="J838">
        <v>6</v>
      </c>
      <c r="K838" s="3">
        <v>84.08</v>
      </c>
      <c r="L838" s="2">
        <v>64.989999999999995</v>
      </c>
      <c r="M838" s="2">
        <f>Table1[[#This Row],[UnitPrice]]*Table1[[#This Row],[Quantity]]</f>
        <v>504.48</v>
      </c>
      <c r="N838" s="2">
        <f>Table1[[#This Row],[CostPrice]]*Table1[[#This Row],[Quantity]]</f>
        <v>389.93999999999994</v>
      </c>
      <c r="O838" s="2">
        <v>94.36</v>
      </c>
      <c r="P838" s="4">
        <v>0.04</v>
      </c>
      <c r="Q838" t="s">
        <v>125</v>
      </c>
      <c r="R838" s="4">
        <f t="shared" si="13"/>
        <v>0.18704408499841421</v>
      </c>
    </row>
    <row r="839" spans="1:18" x14ac:dyDescent="0.25">
      <c r="A839">
        <v>1447</v>
      </c>
      <c r="B839" s="1">
        <v>45553</v>
      </c>
      <c r="C839" t="s">
        <v>273</v>
      </c>
      <c r="D839" t="s">
        <v>17</v>
      </c>
      <c r="E839" t="s">
        <v>33</v>
      </c>
      <c r="F839" t="s">
        <v>27</v>
      </c>
      <c r="G839" t="s">
        <v>41</v>
      </c>
      <c r="H839" t="s">
        <v>63</v>
      </c>
      <c r="I839" t="s">
        <v>64</v>
      </c>
      <c r="J839">
        <v>5</v>
      </c>
      <c r="K839" s="3">
        <v>429.92</v>
      </c>
      <c r="L839" s="2">
        <v>342.53</v>
      </c>
      <c r="M839" s="2">
        <f>Table1[[#This Row],[UnitPrice]]*Table1[[#This Row],[Quantity]]</f>
        <v>2149.6</v>
      </c>
      <c r="N839" s="2">
        <f>Table1[[#This Row],[CostPrice]]*Table1[[#This Row],[Quantity]]</f>
        <v>1712.6499999999999</v>
      </c>
      <c r="O839" s="2">
        <v>264.98</v>
      </c>
      <c r="P839" s="4">
        <v>0.08</v>
      </c>
      <c r="Q839" t="s">
        <v>125</v>
      </c>
      <c r="R839" s="4">
        <f t="shared" si="13"/>
        <v>0.12326944547822852</v>
      </c>
    </row>
    <row r="840" spans="1:18" x14ac:dyDescent="0.25">
      <c r="A840">
        <v>1313</v>
      </c>
      <c r="B840" s="1">
        <v>45554</v>
      </c>
      <c r="C840" t="s">
        <v>124</v>
      </c>
      <c r="D840" t="s">
        <v>17</v>
      </c>
      <c r="E840" t="s">
        <v>26</v>
      </c>
      <c r="F840" t="s">
        <v>27</v>
      </c>
      <c r="G840" t="s">
        <v>35</v>
      </c>
      <c r="H840" t="s">
        <v>36</v>
      </c>
      <c r="I840" t="s">
        <v>87</v>
      </c>
      <c r="J840">
        <v>8</v>
      </c>
      <c r="K840" s="3">
        <v>324.02999999999997</v>
      </c>
      <c r="L840" s="2">
        <v>199.54</v>
      </c>
      <c r="M840" s="2">
        <f>Table1[[#This Row],[UnitPrice]]*Table1[[#This Row],[Quantity]]</f>
        <v>2592.2399999999998</v>
      </c>
      <c r="N840" s="2">
        <f>Table1[[#This Row],[CostPrice]]*Table1[[#This Row],[Quantity]]</f>
        <v>1596.32</v>
      </c>
      <c r="O840" s="2">
        <v>788.54</v>
      </c>
      <c r="P840" s="4">
        <v>0.08</v>
      </c>
      <c r="Q840" t="s">
        <v>38</v>
      </c>
      <c r="R840" s="4">
        <f t="shared" si="13"/>
        <v>0.30419251303891615</v>
      </c>
    </row>
    <row r="841" spans="1:18" x14ac:dyDescent="0.25">
      <c r="A841">
        <v>1546</v>
      </c>
      <c r="B841" s="1">
        <v>45554</v>
      </c>
      <c r="C841" t="s">
        <v>229</v>
      </c>
      <c r="D841" t="s">
        <v>17</v>
      </c>
      <c r="E841" t="s">
        <v>33</v>
      </c>
      <c r="F841" t="s">
        <v>34</v>
      </c>
      <c r="G841" t="s">
        <v>41</v>
      </c>
      <c r="H841" t="s">
        <v>42</v>
      </c>
      <c r="I841" t="s">
        <v>43</v>
      </c>
      <c r="J841">
        <v>4</v>
      </c>
      <c r="K841" s="3">
        <v>717.23</v>
      </c>
      <c r="L841" s="2">
        <v>600.66999999999996</v>
      </c>
      <c r="M841" s="2">
        <f>Table1[[#This Row],[UnitPrice]]*Table1[[#This Row],[Quantity]]</f>
        <v>2868.92</v>
      </c>
      <c r="N841" s="2">
        <f>Table1[[#This Row],[CostPrice]]*Table1[[#This Row],[Quantity]]</f>
        <v>2402.6799999999998</v>
      </c>
      <c r="O841" s="2">
        <v>322.79000000000002</v>
      </c>
      <c r="P841" s="4">
        <v>0.05</v>
      </c>
      <c r="Q841" t="s">
        <v>38</v>
      </c>
      <c r="R841" s="4">
        <f t="shared" si="13"/>
        <v>0.1125127225576175</v>
      </c>
    </row>
    <row r="842" spans="1:18" x14ac:dyDescent="0.25">
      <c r="A842">
        <v>1364</v>
      </c>
      <c r="B842" s="1">
        <v>45555</v>
      </c>
      <c r="C842" t="s">
        <v>248</v>
      </c>
      <c r="D842" t="s">
        <v>17</v>
      </c>
      <c r="E842" t="s">
        <v>33</v>
      </c>
      <c r="F842" t="s">
        <v>19</v>
      </c>
      <c r="G842" t="s">
        <v>35</v>
      </c>
      <c r="H842" t="s">
        <v>70</v>
      </c>
      <c r="I842" t="s">
        <v>98</v>
      </c>
      <c r="J842">
        <v>2</v>
      </c>
      <c r="K842" s="3">
        <v>824.14</v>
      </c>
      <c r="L842" s="2">
        <v>548.12</v>
      </c>
      <c r="M842" s="2">
        <f>Table1[[#This Row],[UnitPrice]]*Table1[[#This Row],[Quantity]]</f>
        <v>1648.28</v>
      </c>
      <c r="N842" s="2">
        <f>Table1[[#This Row],[CostPrice]]*Table1[[#This Row],[Quantity]]</f>
        <v>1096.24</v>
      </c>
      <c r="O842" s="2">
        <v>255.35</v>
      </c>
      <c r="P842" s="4">
        <v>0.18</v>
      </c>
      <c r="Q842" t="s">
        <v>44</v>
      </c>
      <c r="R842" s="4">
        <f t="shared" si="13"/>
        <v>0.15491906714878539</v>
      </c>
    </row>
    <row r="843" spans="1:18" x14ac:dyDescent="0.25">
      <c r="A843">
        <v>1383</v>
      </c>
      <c r="B843" s="1">
        <v>45555</v>
      </c>
      <c r="C843" t="s">
        <v>76</v>
      </c>
      <c r="D843" t="s">
        <v>17</v>
      </c>
      <c r="E843" t="s">
        <v>26</v>
      </c>
      <c r="F843" t="s">
        <v>19</v>
      </c>
      <c r="G843" t="s">
        <v>41</v>
      </c>
      <c r="H843" t="s">
        <v>46</v>
      </c>
      <c r="I843" t="s">
        <v>57</v>
      </c>
      <c r="J843">
        <v>10</v>
      </c>
      <c r="K843" s="3">
        <v>573.78</v>
      </c>
      <c r="L843" s="2">
        <v>457.37</v>
      </c>
      <c r="M843" s="2">
        <f>Table1[[#This Row],[UnitPrice]]*Table1[[#This Row],[Quantity]]</f>
        <v>5737.7999999999993</v>
      </c>
      <c r="N843" s="2">
        <f>Table1[[#This Row],[CostPrice]]*Table1[[#This Row],[Quantity]]</f>
        <v>4573.7</v>
      </c>
      <c r="O843" s="2">
        <v>1049.3399999999999</v>
      </c>
      <c r="P843" s="4">
        <v>0.02</v>
      </c>
      <c r="Q843" t="s">
        <v>92</v>
      </c>
      <c r="R843" s="4">
        <f t="shared" si="13"/>
        <v>0.18288194081355225</v>
      </c>
    </row>
    <row r="844" spans="1:18" x14ac:dyDescent="0.25">
      <c r="A844">
        <v>1126</v>
      </c>
      <c r="B844" s="1">
        <v>45556</v>
      </c>
      <c r="C844" t="s">
        <v>180</v>
      </c>
      <c r="D844" t="s">
        <v>17</v>
      </c>
      <c r="E844" t="s">
        <v>53</v>
      </c>
      <c r="F844" t="s">
        <v>19</v>
      </c>
      <c r="G844" t="s">
        <v>41</v>
      </c>
      <c r="H844" t="s">
        <v>63</v>
      </c>
      <c r="I844" t="s">
        <v>141</v>
      </c>
      <c r="J844">
        <v>9</v>
      </c>
      <c r="K844" s="3">
        <v>974.78</v>
      </c>
      <c r="L844" s="2">
        <v>510.48</v>
      </c>
      <c r="M844" s="2">
        <f>Table1[[#This Row],[UnitPrice]]*Table1[[#This Row],[Quantity]]</f>
        <v>8773.02</v>
      </c>
      <c r="N844" s="2">
        <f>Table1[[#This Row],[CostPrice]]*Table1[[#This Row],[Quantity]]</f>
        <v>4594.32</v>
      </c>
      <c r="O844" s="2">
        <v>2775.02</v>
      </c>
      <c r="P844" s="4">
        <v>0.16</v>
      </c>
      <c r="Q844" t="s">
        <v>38</v>
      </c>
      <c r="R844" s="4">
        <f t="shared" si="13"/>
        <v>0.31631296862425934</v>
      </c>
    </row>
    <row r="845" spans="1:18" x14ac:dyDescent="0.25">
      <c r="A845">
        <v>1367</v>
      </c>
      <c r="B845" s="1">
        <v>45556</v>
      </c>
      <c r="C845" t="s">
        <v>58</v>
      </c>
      <c r="D845" t="s">
        <v>25</v>
      </c>
      <c r="E845" t="s">
        <v>18</v>
      </c>
      <c r="F845" t="s">
        <v>19</v>
      </c>
      <c r="G845" t="s">
        <v>41</v>
      </c>
      <c r="H845" t="s">
        <v>42</v>
      </c>
      <c r="I845" t="s">
        <v>77</v>
      </c>
      <c r="J845">
        <v>2</v>
      </c>
      <c r="K845" s="3">
        <v>996.83</v>
      </c>
      <c r="L845" s="2">
        <v>770.44</v>
      </c>
      <c r="M845" s="2">
        <f>Table1[[#This Row],[UnitPrice]]*Table1[[#This Row],[Quantity]]</f>
        <v>1993.66</v>
      </c>
      <c r="N845" s="2">
        <f>Table1[[#This Row],[CostPrice]]*Table1[[#This Row],[Quantity]]</f>
        <v>1540.88</v>
      </c>
      <c r="O845" s="2">
        <v>233.48</v>
      </c>
      <c r="P845" s="4">
        <v>0.11</v>
      </c>
      <c r="Q845" t="s">
        <v>75</v>
      </c>
      <c r="R845" s="4">
        <f t="shared" si="13"/>
        <v>0.11711124263916614</v>
      </c>
    </row>
    <row r="846" spans="1:18" x14ac:dyDescent="0.25">
      <c r="A846">
        <v>1035</v>
      </c>
      <c r="B846" s="1">
        <v>45557</v>
      </c>
      <c r="C846" t="s">
        <v>103</v>
      </c>
      <c r="D846" t="s">
        <v>32</v>
      </c>
      <c r="E846" t="s">
        <v>33</v>
      </c>
      <c r="F846" t="s">
        <v>40</v>
      </c>
      <c r="G846" t="s">
        <v>35</v>
      </c>
      <c r="H846" t="s">
        <v>36</v>
      </c>
      <c r="I846" t="s">
        <v>37</v>
      </c>
      <c r="J846">
        <v>10</v>
      </c>
      <c r="K846" s="3">
        <v>608.63</v>
      </c>
      <c r="L846" s="2">
        <v>372.96</v>
      </c>
      <c r="M846" s="2">
        <f>Table1[[#This Row],[UnitPrice]]*Table1[[#This Row],[Quantity]]</f>
        <v>6086.3</v>
      </c>
      <c r="N846" s="2">
        <f>Table1[[#This Row],[CostPrice]]*Table1[[#This Row],[Quantity]]</f>
        <v>3729.6</v>
      </c>
      <c r="O846" s="2">
        <v>1565.48</v>
      </c>
      <c r="P846" s="4">
        <v>0.13</v>
      </c>
      <c r="Q846" t="s">
        <v>23</v>
      </c>
      <c r="R846" s="4">
        <f t="shared" si="13"/>
        <v>0.25721374233935229</v>
      </c>
    </row>
    <row r="847" spans="1:18" x14ac:dyDescent="0.25">
      <c r="A847">
        <v>1451</v>
      </c>
      <c r="B847" s="1">
        <v>45557</v>
      </c>
      <c r="C847" t="s">
        <v>191</v>
      </c>
      <c r="D847" t="s">
        <v>25</v>
      </c>
      <c r="E847" t="s">
        <v>26</v>
      </c>
      <c r="F847" t="s">
        <v>40</v>
      </c>
      <c r="G847" t="s">
        <v>35</v>
      </c>
      <c r="H847" t="s">
        <v>70</v>
      </c>
      <c r="I847" t="s">
        <v>71</v>
      </c>
      <c r="J847">
        <v>8</v>
      </c>
      <c r="K847" s="3">
        <v>798.27</v>
      </c>
      <c r="L847" s="2">
        <v>579.53</v>
      </c>
      <c r="M847" s="2">
        <f>Table1[[#This Row],[UnitPrice]]*Table1[[#This Row],[Quantity]]</f>
        <v>6386.16</v>
      </c>
      <c r="N847" s="2">
        <f>Table1[[#This Row],[CostPrice]]*Table1[[#This Row],[Quantity]]</f>
        <v>4636.24</v>
      </c>
      <c r="O847" s="2">
        <v>855.86</v>
      </c>
      <c r="P847" s="4">
        <v>0.14000000000000001</v>
      </c>
      <c r="Q847" t="s">
        <v>55</v>
      </c>
      <c r="R847" s="4">
        <f t="shared" si="13"/>
        <v>0.1340179387926391</v>
      </c>
    </row>
    <row r="848" spans="1:18" x14ac:dyDescent="0.25">
      <c r="A848">
        <v>1480</v>
      </c>
      <c r="B848" s="1">
        <v>45557</v>
      </c>
      <c r="C848" t="s">
        <v>231</v>
      </c>
      <c r="D848" t="s">
        <v>32</v>
      </c>
      <c r="E848" t="s">
        <v>33</v>
      </c>
      <c r="F848" t="s">
        <v>34</v>
      </c>
      <c r="G848" t="s">
        <v>41</v>
      </c>
      <c r="H848" t="s">
        <v>42</v>
      </c>
      <c r="I848" t="s">
        <v>43</v>
      </c>
      <c r="J848">
        <v>3</v>
      </c>
      <c r="K848" s="3">
        <v>660.86</v>
      </c>
      <c r="L848" s="2">
        <v>415.96</v>
      </c>
      <c r="M848" s="2">
        <f>Table1[[#This Row],[UnitPrice]]*Table1[[#This Row],[Quantity]]</f>
        <v>1982.58</v>
      </c>
      <c r="N848" s="2">
        <f>Table1[[#This Row],[CostPrice]]*Table1[[#This Row],[Quantity]]</f>
        <v>1247.8799999999999</v>
      </c>
      <c r="O848" s="2">
        <v>635.57000000000005</v>
      </c>
      <c r="P848" s="4">
        <v>0.05</v>
      </c>
      <c r="Q848" t="s">
        <v>23</v>
      </c>
      <c r="R848" s="4">
        <f t="shared" si="13"/>
        <v>0.3205772276528564</v>
      </c>
    </row>
    <row r="849" spans="1:18" x14ac:dyDescent="0.25">
      <c r="A849">
        <v>1257</v>
      </c>
      <c r="B849" s="1">
        <v>45558</v>
      </c>
      <c r="C849" t="s">
        <v>91</v>
      </c>
      <c r="D849" t="s">
        <v>32</v>
      </c>
      <c r="E849" t="s">
        <v>53</v>
      </c>
      <c r="F849" t="s">
        <v>27</v>
      </c>
      <c r="G849" t="s">
        <v>41</v>
      </c>
      <c r="H849" t="s">
        <v>46</v>
      </c>
      <c r="I849" t="s">
        <v>47</v>
      </c>
      <c r="J849">
        <v>2</v>
      </c>
      <c r="K849" s="3">
        <v>283.38</v>
      </c>
      <c r="L849" s="2">
        <v>155.30000000000001</v>
      </c>
      <c r="M849" s="2">
        <f>Table1[[#This Row],[UnitPrice]]*Table1[[#This Row],[Quantity]]</f>
        <v>566.76</v>
      </c>
      <c r="N849" s="2">
        <f>Table1[[#This Row],[CostPrice]]*Table1[[#This Row],[Quantity]]</f>
        <v>310.60000000000002</v>
      </c>
      <c r="O849" s="2">
        <v>222.15</v>
      </c>
      <c r="P849" s="4">
        <v>0.06</v>
      </c>
      <c r="Q849" t="s">
        <v>38</v>
      </c>
      <c r="R849" s="4">
        <f t="shared" si="13"/>
        <v>0.39196485284776628</v>
      </c>
    </row>
    <row r="850" spans="1:18" x14ac:dyDescent="0.25">
      <c r="A850">
        <v>1704</v>
      </c>
      <c r="B850" s="1">
        <v>45558</v>
      </c>
      <c r="C850" t="s">
        <v>169</v>
      </c>
      <c r="D850" t="s">
        <v>25</v>
      </c>
      <c r="E850" t="s">
        <v>18</v>
      </c>
      <c r="F850" t="s">
        <v>19</v>
      </c>
      <c r="G850" t="s">
        <v>41</v>
      </c>
      <c r="H850" t="s">
        <v>46</v>
      </c>
      <c r="I850" t="s">
        <v>47</v>
      </c>
      <c r="J850">
        <v>10</v>
      </c>
      <c r="K850" s="3">
        <v>83.99</v>
      </c>
      <c r="L850" s="2">
        <v>46.04</v>
      </c>
      <c r="M850" s="2">
        <f>Table1[[#This Row],[UnitPrice]]*Table1[[#This Row],[Quantity]]</f>
        <v>839.9</v>
      </c>
      <c r="N850" s="2">
        <f>Table1[[#This Row],[CostPrice]]*Table1[[#This Row],[Quantity]]</f>
        <v>460.4</v>
      </c>
      <c r="O850" s="2">
        <v>253.51</v>
      </c>
      <c r="P850" s="4">
        <v>0.15</v>
      </c>
      <c r="Q850" t="s">
        <v>23</v>
      </c>
      <c r="R850" s="4">
        <f t="shared" si="13"/>
        <v>0.30183355161328729</v>
      </c>
    </row>
    <row r="851" spans="1:18" x14ac:dyDescent="0.25">
      <c r="A851">
        <v>1822</v>
      </c>
      <c r="B851" s="1">
        <v>45558</v>
      </c>
      <c r="C851" t="s">
        <v>216</v>
      </c>
      <c r="D851" t="s">
        <v>17</v>
      </c>
      <c r="E851" t="s">
        <v>18</v>
      </c>
      <c r="F851" t="s">
        <v>34</v>
      </c>
      <c r="G851" t="s">
        <v>20</v>
      </c>
      <c r="H851" t="s">
        <v>28</v>
      </c>
      <c r="I851" t="s">
        <v>81</v>
      </c>
      <c r="J851">
        <v>8</v>
      </c>
      <c r="K851" s="3">
        <v>864.98</v>
      </c>
      <c r="L851" s="2">
        <v>466.88</v>
      </c>
      <c r="M851" s="2">
        <f>Table1[[#This Row],[UnitPrice]]*Table1[[#This Row],[Quantity]]</f>
        <v>6919.84</v>
      </c>
      <c r="N851" s="2">
        <f>Table1[[#This Row],[CostPrice]]*Table1[[#This Row],[Quantity]]</f>
        <v>3735.04</v>
      </c>
      <c r="O851" s="2">
        <v>1178.05</v>
      </c>
      <c r="P851" s="4">
        <v>0.28999999999999998</v>
      </c>
      <c r="Q851" t="s">
        <v>75</v>
      </c>
      <c r="R851" s="4">
        <f t="shared" si="13"/>
        <v>0.1702423755462554</v>
      </c>
    </row>
    <row r="852" spans="1:18" x14ac:dyDescent="0.25">
      <c r="A852">
        <v>1374</v>
      </c>
      <c r="B852" s="1">
        <v>45560</v>
      </c>
      <c r="C852" t="s">
        <v>214</v>
      </c>
      <c r="D852" t="s">
        <v>25</v>
      </c>
      <c r="E852" t="s">
        <v>33</v>
      </c>
      <c r="F852" t="s">
        <v>34</v>
      </c>
      <c r="G852" t="s">
        <v>41</v>
      </c>
      <c r="H852" t="s">
        <v>63</v>
      </c>
      <c r="I852" t="s">
        <v>117</v>
      </c>
      <c r="J852">
        <v>10</v>
      </c>
      <c r="K852" s="3">
        <v>11.59</v>
      </c>
      <c r="L852" s="2">
        <v>9.27</v>
      </c>
      <c r="M852" s="2">
        <f>Table1[[#This Row],[UnitPrice]]*Table1[[#This Row],[Quantity]]</f>
        <v>115.9</v>
      </c>
      <c r="N852" s="2">
        <f>Table1[[#This Row],[CostPrice]]*Table1[[#This Row],[Quantity]]</f>
        <v>92.699999999999989</v>
      </c>
      <c r="O852" s="2">
        <v>-10.41</v>
      </c>
      <c r="P852" s="4">
        <v>0.28999999999999998</v>
      </c>
      <c r="Q852" t="s">
        <v>55</v>
      </c>
      <c r="R852" s="4">
        <f t="shared" si="13"/>
        <v>-8.9818809318377907E-2</v>
      </c>
    </row>
    <row r="853" spans="1:18" x14ac:dyDescent="0.25">
      <c r="A853">
        <v>1498</v>
      </c>
      <c r="B853" s="1">
        <v>45560</v>
      </c>
      <c r="C853" t="s">
        <v>258</v>
      </c>
      <c r="D853" t="s">
        <v>17</v>
      </c>
      <c r="E853" t="s">
        <v>26</v>
      </c>
      <c r="F853" t="s">
        <v>34</v>
      </c>
      <c r="G853" t="s">
        <v>20</v>
      </c>
      <c r="H853" t="s">
        <v>113</v>
      </c>
      <c r="I853" t="s">
        <v>114</v>
      </c>
      <c r="J853">
        <v>5</v>
      </c>
      <c r="K853" s="3">
        <v>821.64</v>
      </c>
      <c r="L853" s="2">
        <v>438.8</v>
      </c>
      <c r="M853" s="2">
        <f>Table1[[#This Row],[UnitPrice]]*Table1[[#This Row],[Quantity]]</f>
        <v>4108.2</v>
      </c>
      <c r="N853" s="2">
        <f>Table1[[#This Row],[CostPrice]]*Table1[[#This Row],[Quantity]]</f>
        <v>2194</v>
      </c>
      <c r="O853" s="2">
        <v>1174.72</v>
      </c>
      <c r="P853" s="4">
        <v>0.18</v>
      </c>
      <c r="Q853" t="s">
        <v>125</v>
      </c>
      <c r="R853" s="4">
        <f t="shared" si="13"/>
        <v>0.28594518280512149</v>
      </c>
    </row>
    <row r="854" spans="1:18" x14ac:dyDescent="0.25">
      <c r="A854">
        <v>1897</v>
      </c>
      <c r="B854" s="1">
        <v>45560</v>
      </c>
      <c r="C854" t="s">
        <v>262</v>
      </c>
      <c r="D854" t="s">
        <v>17</v>
      </c>
      <c r="E854" t="s">
        <v>33</v>
      </c>
      <c r="F854" t="s">
        <v>27</v>
      </c>
      <c r="G854" t="s">
        <v>35</v>
      </c>
      <c r="H854" t="s">
        <v>70</v>
      </c>
      <c r="I854" t="s">
        <v>98</v>
      </c>
      <c r="J854">
        <v>1</v>
      </c>
      <c r="K854" s="3">
        <v>341.36</v>
      </c>
      <c r="L854" s="2">
        <v>201.85</v>
      </c>
      <c r="M854" s="2">
        <f>Table1[[#This Row],[UnitPrice]]*Table1[[#This Row],[Quantity]]</f>
        <v>341.36</v>
      </c>
      <c r="N854" s="2">
        <f>Table1[[#This Row],[CostPrice]]*Table1[[#This Row],[Quantity]]</f>
        <v>201.85</v>
      </c>
      <c r="O854" s="2">
        <v>105.37</v>
      </c>
      <c r="P854" s="4">
        <v>0.1</v>
      </c>
      <c r="Q854" t="s">
        <v>51</v>
      </c>
      <c r="R854" s="4">
        <f t="shared" si="13"/>
        <v>0.30867705647996252</v>
      </c>
    </row>
    <row r="855" spans="1:18" x14ac:dyDescent="0.25">
      <c r="A855">
        <v>1060</v>
      </c>
      <c r="B855" s="1">
        <v>45562</v>
      </c>
      <c r="C855" t="s">
        <v>127</v>
      </c>
      <c r="D855" t="s">
        <v>17</v>
      </c>
      <c r="E855" t="s">
        <v>33</v>
      </c>
      <c r="F855" t="s">
        <v>19</v>
      </c>
      <c r="G855" t="s">
        <v>41</v>
      </c>
      <c r="H855" t="s">
        <v>42</v>
      </c>
      <c r="I855" t="s">
        <v>68</v>
      </c>
      <c r="J855">
        <v>2</v>
      </c>
      <c r="K855" s="3">
        <v>161.27000000000001</v>
      </c>
      <c r="L855" s="2">
        <v>90.45</v>
      </c>
      <c r="M855" s="2">
        <f>Table1[[#This Row],[UnitPrice]]*Table1[[#This Row],[Quantity]]</f>
        <v>322.54000000000002</v>
      </c>
      <c r="N855" s="2">
        <f>Table1[[#This Row],[CostPrice]]*Table1[[#This Row],[Quantity]]</f>
        <v>180.9</v>
      </c>
      <c r="O855" s="2">
        <v>135.19</v>
      </c>
      <c r="P855" s="4">
        <v>0.02</v>
      </c>
      <c r="Q855" t="s">
        <v>51</v>
      </c>
      <c r="R855" s="4">
        <f t="shared" si="13"/>
        <v>0.41914181186829536</v>
      </c>
    </row>
    <row r="856" spans="1:18" x14ac:dyDescent="0.25">
      <c r="A856">
        <v>1047</v>
      </c>
      <c r="B856" s="1">
        <v>45563</v>
      </c>
      <c r="C856" t="s">
        <v>115</v>
      </c>
      <c r="D856" t="s">
        <v>25</v>
      </c>
      <c r="E856" t="s">
        <v>53</v>
      </c>
      <c r="F856" t="s">
        <v>34</v>
      </c>
      <c r="G856" t="s">
        <v>41</v>
      </c>
      <c r="H856" t="s">
        <v>42</v>
      </c>
      <c r="I856" t="s">
        <v>68</v>
      </c>
      <c r="J856">
        <v>5</v>
      </c>
      <c r="K856" s="3">
        <v>768.06</v>
      </c>
      <c r="L856" s="2">
        <v>429.14</v>
      </c>
      <c r="M856" s="2">
        <f>Table1[[#This Row],[UnitPrice]]*Table1[[#This Row],[Quantity]]</f>
        <v>3840.2999999999997</v>
      </c>
      <c r="N856" s="2">
        <f>Table1[[#This Row],[CostPrice]]*Table1[[#This Row],[Quantity]]</f>
        <v>2145.6999999999998</v>
      </c>
      <c r="O856" s="2">
        <v>1003.35</v>
      </c>
      <c r="P856" s="4">
        <v>0.18</v>
      </c>
      <c r="Q856" t="s">
        <v>44</v>
      </c>
      <c r="R856" s="4">
        <f t="shared" si="13"/>
        <v>0.26126865088664952</v>
      </c>
    </row>
    <row r="857" spans="1:18" x14ac:dyDescent="0.25">
      <c r="A857">
        <v>1100</v>
      </c>
      <c r="B857" s="1">
        <v>45563</v>
      </c>
      <c r="C857" t="s">
        <v>129</v>
      </c>
      <c r="D857" t="s">
        <v>17</v>
      </c>
      <c r="E857" t="s">
        <v>33</v>
      </c>
      <c r="F857" t="s">
        <v>40</v>
      </c>
      <c r="G857" t="s">
        <v>20</v>
      </c>
      <c r="H857" t="s">
        <v>21</v>
      </c>
      <c r="I857" t="s">
        <v>54</v>
      </c>
      <c r="J857">
        <v>5</v>
      </c>
      <c r="K857" s="3">
        <v>921.93</v>
      </c>
      <c r="L857" s="2">
        <v>574.23</v>
      </c>
      <c r="M857" s="2">
        <f>Table1[[#This Row],[UnitPrice]]*Table1[[#This Row],[Quantity]]</f>
        <v>4609.6499999999996</v>
      </c>
      <c r="N857" s="2">
        <f>Table1[[#This Row],[CostPrice]]*Table1[[#This Row],[Quantity]]</f>
        <v>2871.15</v>
      </c>
      <c r="O857" s="2">
        <v>1508.02</v>
      </c>
      <c r="P857" s="4">
        <v>0.05</v>
      </c>
      <c r="Q857" t="s">
        <v>92</v>
      </c>
      <c r="R857" s="4">
        <f t="shared" si="13"/>
        <v>0.32714414326467306</v>
      </c>
    </row>
    <row r="858" spans="1:18" x14ac:dyDescent="0.25">
      <c r="A858">
        <v>1677</v>
      </c>
      <c r="B858" s="1">
        <v>45563</v>
      </c>
      <c r="C858" t="s">
        <v>223</v>
      </c>
      <c r="D858" t="s">
        <v>32</v>
      </c>
      <c r="E858" t="s">
        <v>53</v>
      </c>
      <c r="F858" t="s">
        <v>27</v>
      </c>
      <c r="G858" t="s">
        <v>35</v>
      </c>
      <c r="H858" t="s">
        <v>49</v>
      </c>
      <c r="I858" t="s">
        <v>50</v>
      </c>
      <c r="J858">
        <v>6</v>
      </c>
      <c r="K858" s="3">
        <v>276.64999999999998</v>
      </c>
      <c r="L858" s="2">
        <v>140.72</v>
      </c>
      <c r="M858" s="2">
        <f>Table1[[#This Row],[UnitPrice]]*Table1[[#This Row],[Quantity]]</f>
        <v>1659.8999999999999</v>
      </c>
      <c r="N858" s="2">
        <f>Table1[[#This Row],[CostPrice]]*Table1[[#This Row],[Quantity]]</f>
        <v>844.31999999999994</v>
      </c>
      <c r="O858" s="2">
        <v>599.79</v>
      </c>
      <c r="P858" s="4">
        <v>0.13</v>
      </c>
      <c r="Q858" t="s">
        <v>30</v>
      </c>
      <c r="R858" s="4">
        <f t="shared" si="13"/>
        <v>0.36134104464124345</v>
      </c>
    </row>
    <row r="859" spans="1:18" x14ac:dyDescent="0.25">
      <c r="A859">
        <v>1910</v>
      </c>
      <c r="B859" s="1">
        <v>45563</v>
      </c>
      <c r="C859" t="s">
        <v>147</v>
      </c>
      <c r="D859" t="s">
        <v>32</v>
      </c>
      <c r="E859" t="s">
        <v>33</v>
      </c>
      <c r="F859" t="s">
        <v>34</v>
      </c>
      <c r="G859" t="s">
        <v>41</v>
      </c>
      <c r="H859" t="s">
        <v>46</v>
      </c>
      <c r="I859" t="s">
        <v>102</v>
      </c>
      <c r="J859">
        <v>5</v>
      </c>
      <c r="K859" s="3">
        <v>859.22</v>
      </c>
      <c r="L859" s="2">
        <v>711.68</v>
      </c>
      <c r="M859" s="2">
        <f>Table1[[#This Row],[UnitPrice]]*Table1[[#This Row],[Quantity]]</f>
        <v>4296.1000000000004</v>
      </c>
      <c r="N859" s="2">
        <f>Table1[[#This Row],[CostPrice]]*Table1[[#This Row],[Quantity]]</f>
        <v>3558.3999999999996</v>
      </c>
      <c r="O859" s="2">
        <v>136.25</v>
      </c>
      <c r="P859" s="4">
        <v>0.14000000000000001</v>
      </c>
      <c r="Q859" t="s">
        <v>125</v>
      </c>
      <c r="R859" s="4">
        <f t="shared" si="13"/>
        <v>3.1714811107748889E-2</v>
      </c>
    </row>
    <row r="860" spans="1:18" x14ac:dyDescent="0.25">
      <c r="A860">
        <v>1421</v>
      </c>
      <c r="B860" s="1">
        <v>45565</v>
      </c>
      <c r="C860" t="s">
        <v>217</v>
      </c>
      <c r="D860" t="s">
        <v>25</v>
      </c>
      <c r="E860" t="s">
        <v>26</v>
      </c>
      <c r="F860" t="s">
        <v>19</v>
      </c>
      <c r="G860" t="s">
        <v>41</v>
      </c>
      <c r="H860" t="s">
        <v>46</v>
      </c>
      <c r="I860" t="s">
        <v>47</v>
      </c>
      <c r="J860">
        <v>2</v>
      </c>
      <c r="K860" s="3">
        <v>116.81</v>
      </c>
      <c r="L860" s="2">
        <v>60.63</v>
      </c>
      <c r="M860" s="2">
        <f>Table1[[#This Row],[UnitPrice]]*Table1[[#This Row],[Quantity]]</f>
        <v>233.62</v>
      </c>
      <c r="N860" s="2">
        <f>Table1[[#This Row],[CostPrice]]*Table1[[#This Row],[Quantity]]</f>
        <v>121.26</v>
      </c>
      <c r="O860" s="2">
        <v>46.95</v>
      </c>
      <c r="P860" s="4">
        <v>0.28000000000000003</v>
      </c>
      <c r="Q860" t="s">
        <v>92</v>
      </c>
      <c r="R860" s="4">
        <f t="shared" si="13"/>
        <v>0.20096738292954372</v>
      </c>
    </row>
    <row r="861" spans="1:18" x14ac:dyDescent="0.25">
      <c r="A861">
        <v>1448</v>
      </c>
      <c r="B861" s="1">
        <v>45565</v>
      </c>
      <c r="C861" t="s">
        <v>274</v>
      </c>
      <c r="D861" t="s">
        <v>25</v>
      </c>
      <c r="E861" t="s">
        <v>53</v>
      </c>
      <c r="F861" t="s">
        <v>27</v>
      </c>
      <c r="G861" t="s">
        <v>35</v>
      </c>
      <c r="H861" t="s">
        <v>36</v>
      </c>
      <c r="I861" t="s">
        <v>100</v>
      </c>
      <c r="J861">
        <v>4</v>
      </c>
      <c r="K861" s="3">
        <v>710.04</v>
      </c>
      <c r="L861" s="2">
        <v>598.38</v>
      </c>
      <c r="M861" s="2">
        <f>Table1[[#This Row],[UnitPrice]]*Table1[[#This Row],[Quantity]]</f>
        <v>2840.16</v>
      </c>
      <c r="N861" s="2">
        <f>Table1[[#This Row],[CostPrice]]*Table1[[#This Row],[Quantity]]</f>
        <v>2393.52</v>
      </c>
      <c r="O861" s="2">
        <v>446.64</v>
      </c>
      <c r="P861" s="4">
        <v>0</v>
      </c>
      <c r="Q861" t="s">
        <v>51</v>
      </c>
      <c r="R861" s="4">
        <f t="shared" si="13"/>
        <v>0.15725874598614162</v>
      </c>
    </row>
    <row r="862" spans="1:18" x14ac:dyDescent="0.25">
      <c r="A862">
        <v>1474</v>
      </c>
      <c r="B862" s="1">
        <v>45565</v>
      </c>
      <c r="C862" t="s">
        <v>217</v>
      </c>
      <c r="D862" t="s">
        <v>17</v>
      </c>
      <c r="E862" t="s">
        <v>53</v>
      </c>
      <c r="F862" t="s">
        <v>27</v>
      </c>
      <c r="G862" t="s">
        <v>35</v>
      </c>
      <c r="H862" t="s">
        <v>49</v>
      </c>
      <c r="I862" t="s">
        <v>66</v>
      </c>
      <c r="J862">
        <v>3</v>
      </c>
      <c r="K862" s="3">
        <v>427.65</v>
      </c>
      <c r="L862" s="2">
        <v>214.94</v>
      </c>
      <c r="M862" s="2">
        <f>Table1[[#This Row],[UnitPrice]]*Table1[[#This Row],[Quantity]]</f>
        <v>1282.9499999999998</v>
      </c>
      <c r="N862" s="2">
        <f>Table1[[#This Row],[CostPrice]]*Table1[[#This Row],[Quantity]]</f>
        <v>644.81999999999994</v>
      </c>
      <c r="O862" s="2">
        <v>445.69</v>
      </c>
      <c r="P862" s="4">
        <v>0.15</v>
      </c>
      <c r="Q862" t="s">
        <v>23</v>
      </c>
      <c r="R862" s="4">
        <f t="shared" si="13"/>
        <v>0.34739467633189142</v>
      </c>
    </row>
    <row r="863" spans="1:18" x14ac:dyDescent="0.25">
      <c r="A863">
        <v>1671</v>
      </c>
      <c r="B863" s="1">
        <v>45565</v>
      </c>
      <c r="C863" t="s">
        <v>39</v>
      </c>
      <c r="D863" t="s">
        <v>17</v>
      </c>
      <c r="E863" t="s">
        <v>33</v>
      </c>
      <c r="F863" t="s">
        <v>34</v>
      </c>
      <c r="G863" t="s">
        <v>20</v>
      </c>
      <c r="H863" t="s">
        <v>21</v>
      </c>
      <c r="I863" t="s">
        <v>132</v>
      </c>
      <c r="J863">
        <v>4</v>
      </c>
      <c r="K863" s="3">
        <v>534.89</v>
      </c>
      <c r="L863" s="2">
        <v>397.44</v>
      </c>
      <c r="M863" s="2">
        <f>Table1[[#This Row],[UnitPrice]]*Table1[[#This Row],[Quantity]]</f>
        <v>2139.56</v>
      </c>
      <c r="N863" s="2">
        <f>Table1[[#This Row],[CostPrice]]*Table1[[#This Row],[Quantity]]</f>
        <v>1589.76</v>
      </c>
      <c r="O863" s="2">
        <v>335.84</v>
      </c>
      <c r="P863" s="4">
        <v>0.1</v>
      </c>
      <c r="Q863" t="s">
        <v>75</v>
      </c>
      <c r="R863" s="4">
        <f t="shared" si="13"/>
        <v>0.15696685299781263</v>
      </c>
    </row>
    <row r="864" spans="1:18" x14ac:dyDescent="0.25">
      <c r="A864">
        <v>1062</v>
      </c>
      <c r="B864" s="1">
        <v>45332</v>
      </c>
      <c r="C864" t="s">
        <v>129</v>
      </c>
      <c r="D864" t="s">
        <v>25</v>
      </c>
      <c r="E864" t="s">
        <v>53</v>
      </c>
      <c r="F864" t="s">
        <v>34</v>
      </c>
      <c r="G864" t="s">
        <v>41</v>
      </c>
      <c r="H864" t="s">
        <v>42</v>
      </c>
      <c r="I864" t="s">
        <v>43</v>
      </c>
      <c r="J864">
        <v>3</v>
      </c>
      <c r="K864" s="3">
        <v>908.87</v>
      </c>
      <c r="L864" s="2">
        <v>717.39</v>
      </c>
      <c r="M864" s="2">
        <f>Table1[[#This Row],[UnitPrice]]*Table1[[#This Row],[Quantity]]</f>
        <v>2726.61</v>
      </c>
      <c r="N864" s="2">
        <f>Table1[[#This Row],[CostPrice]]*Table1[[#This Row],[Quantity]]</f>
        <v>2152.17</v>
      </c>
      <c r="O864" s="2">
        <v>519.91</v>
      </c>
      <c r="P864" s="4">
        <v>0.02</v>
      </c>
      <c r="Q864" t="s">
        <v>92</v>
      </c>
      <c r="R864" s="4">
        <f t="shared" si="13"/>
        <v>0.19068000190713008</v>
      </c>
    </row>
    <row r="865" spans="1:18" x14ac:dyDescent="0.25">
      <c r="A865">
        <v>1970</v>
      </c>
      <c r="B865" s="1">
        <v>45332</v>
      </c>
      <c r="C865" t="s">
        <v>127</v>
      </c>
      <c r="D865" t="s">
        <v>25</v>
      </c>
      <c r="E865" t="s">
        <v>53</v>
      </c>
      <c r="F865" t="s">
        <v>27</v>
      </c>
      <c r="G865" t="s">
        <v>35</v>
      </c>
      <c r="H865" t="s">
        <v>36</v>
      </c>
      <c r="I865" t="s">
        <v>37</v>
      </c>
      <c r="J865">
        <v>9</v>
      </c>
      <c r="K865" s="3">
        <v>808.39</v>
      </c>
      <c r="L865" s="2">
        <v>415</v>
      </c>
      <c r="M865" s="2">
        <f>Table1[[#This Row],[UnitPrice]]*Table1[[#This Row],[Quantity]]</f>
        <v>7275.51</v>
      </c>
      <c r="N865" s="2">
        <f>Table1[[#This Row],[CostPrice]]*Table1[[#This Row],[Quantity]]</f>
        <v>3735</v>
      </c>
      <c r="O865" s="2">
        <v>3467.75</v>
      </c>
      <c r="P865" s="4">
        <v>0.01</v>
      </c>
      <c r="Q865" t="s">
        <v>92</v>
      </c>
      <c r="R865" s="4">
        <f t="shared" si="13"/>
        <v>0.47663325320149375</v>
      </c>
    </row>
    <row r="866" spans="1:18" x14ac:dyDescent="0.25">
      <c r="A866">
        <v>1335</v>
      </c>
      <c r="B866" s="1">
        <v>45361</v>
      </c>
      <c r="C866" t="s">
        <v>126</v>
      </c>
      <c r="D866" t="s">
        <v>17</v>
      </c>
      <c r="E866" t="s">
        <v>26</v>
      </c>
      <c r="F866" t="s">
        <v>27</v>
      </c>
      <c r="G866" t="s">
        <v>20</v>
      </c>
      <c r="H866" t="s">
        <v>21</v>
      </c>
      <c r="I866" t="s">
        <v>79</v>
      </c>
      <c r="J866">
        <v>2</v>
      </c>
      <c r="K866" s="3">
        <v>748.16</v>
      </c>
      <c r="L866" s="2">
        <v>414.34</v>
      </c>
      <c r="M866" s="2">
        <f>Table1[[#This Row],[UnitPrice]]*Table1[[#This Row],[Quantity]]</f>
        <v>1496.32</v>
      </c>
      <c r="N866" s="2">
        <f>Table1[[#This Row],[CostPrice]]*Table1[[#This Row],[Quantity]]</f>
        <v>828.68</v>
      </c>
      <c r="O866" s="2">
        <v>458.16</v>
      </c>
      <c r="P866" s="4">
        <v>0.14000000000000001</v>
      </c>
      <c r="Q866" t="s">
        <v>85</v>
      </c>
      <c r="R866" s="4">
        <f t="shared" si="13"/>
        <v>0.30619118905047049</v>
      </c>
    </row>
    <row r="867" spans="1:18" x14ac:dyDescent="0.25">
      <c r="A867">
        <v>1660</v>
      </c>
      <c r="B867" s="1">
        <v>45361</v>
      </c>
      <c r="C867" t="s">
        <v>225</v>
      </c>
      <c r="D867" t="s">
        <v>25</v>
      </c>
      <c r="E867" t="s">
        <v>33</v>
      </c>
      <c r="F867" t="s">
        <v>34</v>
      </c>
      <c r="G867" t="s">
        <v>35</v>
      </c>
      <c r="H867" t="s">
        <v>49</v>
      </c>
      <c r="I867" t="s">
        <v>50</v>
      </c>
      <c r="J867">
        <v>2</v>
      </c>
      <c r="K867" s="3">
        <v>619.22</v>
      </c>
      <c r="L867" s="2">
        <v>398.71</v>
      </c>
      <c r="M867" s="2">
        <f>Table1[[#This Row],[UnitPrice]]*Table1[[#This Row],[Quantity]]</f>
        <v>1238.44</v>
      </c>
      <c r="N867" s="2">
        <f>Table1[[#This Row],[CostPrice]]*Table1[[#This Row],[Quantity]]</f>
        <v>797.42</v>
      </c>
      <c r="O867" s="2">
        <v>119.03</v>
      </c>
      <c r="P867" s="4">
        <v>0.26</v>
      </c>
      <c r="Q867" t="s">
        <v>125</v>
      </c>
      <c r="R867" s="4">
        <f t="shared" si="13"/>
        <v>9.6112851652078418E-2</v>
      </c>
    </row>
    <row r="868" spans="1:18" x14ac:dyDescent="0.25">
      <c r="A868">
        <v>1082</v>
      </c>
      <c r="B868" s="1">
        <v>45422</v>
      </c>
      <c r="C868" t="s">
        <v>148</v>
      </c>
      <c r="D868" t="s">
        <v>17</v>
      </c>
      <c r="E868" t="s">
        <v>33</v>
      </c>
      <c r="F868" t="s">
        <v>40</v>
      </c>
      <c r="G868" t="s">
        <v>35</v>
      </c>
      <c r="H868" t="s">
        <v>36</v>
      </c>
      <c r="I868" t="s">
        <v>100</v>
      </c>
      <c r="J868">
        <v>6</v>
      </c>
      <c r="K868" s="3">
        <v>733.7</v>
      </c>
      <c r="L868" s="2">
        <v>390</v>
      </c>
      <c r="M868" s="2">
        <f>Table1[[#This Row],[UnitPrice]]*Table1[[#This Row],[Quantity]]</f>
        <v>4402.2000000000007</v>
      </c>
      <c r="N868" s="2">
        <f>Table1[[#This Row],[CostPrice]]*Table1[[#This Row],[Quantity]]</f>
        <v>2340</v>
      </c>
      <c r="O868" s="2">
        <v>1666</v>
      </c>
      <c r="P868" s="4">
        <v>0.09</v>
      </c>
      <c r="Q868" t="s">
        <v>75</v>
      </c>
      <c r="R868" s="4">
        <f t="shared" si="13"/>
        <v>0.3784471400663304</v>
      </c>
    </row>
    <row r="869" spans="1:18" x14ac:dyDescent="0.25">
      <c r="A869">
        <v>1129</v>
      </c>
      <c r="B869" s="1">
        <v>45514</v>
      </c>
      <c r="C869" t="s">
        <v>107</v>
      </c>
      <c r="D869" t="s">
        <v>25</v>
      </c>
      <c r="E869" t="s">
        <v>33</v>
      </c>
      <c r="F869" t="s">
        <v>27</v>
      </c>
      <c r="G869" t="s">
        <v>20</v>
      </c>
      <c r="H869" t="s">
        <v>28</v>
      </c>
      <c r="I869" t="s">
        <v>81</v>
      </c>
      <c r="J869">
        <v>1</v>
      </c>
      <c r="K869" s="3">
        <v>792.15</v>
      </c>
      <c r="L869" s="2">
        <v>641.66</v>
      </c>
      <c r="M869" s="2">
        <f>Table1[[#This Row],[UnitPrice]]*Table1[[#This Row],[Quantity]]</f>
        <v>792.15</v>
      </c>
      <c r="N869" s="2">
        <f>Table1[[#This Row],[CostPrice]]*Table1[[#This Row],[Quantity]]</f>
        <v>641.66</v>
      </c>
      <c r="O869" s="2">
        <v>79.2</v>
      </c>
      <c r="P869" s="4">
        <v>0.09</v>
      </c>
      <c r="Q869" t="s">
        <v>30</v>
      </c>
      <c r="R869" s="4">
        <f t="shared" si="13"/>
        <v>9.9981064192387809E-2</v>
      </c>
    </row>
    <row r="870" spans="1:18" x14ac:dyDescent="0.25">
      <c r="A870">
        <v>1646</v>
      </c>
      <c r="B870" s="1">
        <v>45545</v>
      </c>
      <c r="C870" t="s">
        <v>83</v>
      </c>
      <c r="D870" t="s">
        <v>17</v>
      </c>
      <c r="E870" t="s">
        <v>18</v>
      </c>
      <c r="F870" t="s">
        <v>34</v>
      </c>
      <c r="G870" t="s">
        <v>20</v>
      </c>
      <c r="H870" t="s">
        <v>113</v>
      </c>
      <c r="I870" t="s">
        <v>161</v>
      </c>
      <c r="J870">
        <v>10</v>
      </c>
      <c r="K870" s="3">
        <v>74.59</v>
      </c>
      <c r="L870" s="2">
        <v>39.64</v>
      </c>
      <c r="M870" s="2">
        <f>Table1[[#This Row],[UnitPrice]]*Table1[[#This Row],[Quantity]]</f>
        <v>745.90000000000009</v>
      </c>
      <c r="N870" s="2">
        <f>Table1[[#This Row],[CostPrice]]*Table1[[#This Row],[Quantity]]</f>
        <v>396.4</v>
      </c>
      <c r="O870" s="2">
        <v>192.86</v>
      </c>
      <c r="P870" s="4">
        <v>0.21</v>
      </c>
      <c r="Q870" t="s">
        <v>92</v>
      </c>
      <c r="R870" s="4">
        <f t="shared" si="13"/>
        <v>0.25856012870357953</v>
      </c>
    </row>
    <row r="871" spans="1:18" x14ac:dyDescent="0.25">
      <c r="A871">
        <v>1295</v>
      </c>
      <c r="B871" s="1">
        <v>45606</v>
      </c>
      <c r="C871" t="s">
        <v>204</v>
      </c>
      <c r="D871" t="s">
        <v>17</v>
      </c>
      <c r="E871" t="s">
        <v>33</v>
      </c>
      <c r="F871" t="s">
        <v>27</v>
      </c>
      <c r="G871" t="s">
        <v>20</v>
      </c>
      <c r="H871" t="s">
        <v>113</v>
      </c>
      <c r="I871" t="s">
        <v>114</v>
      </c>
      <c r="J871">
        <v>7</v>
      </c>
      <c r="K871" s="3">
        <v>532.19000000000005</v>
      </c>
      <c r="L871" s="2">
        <v>343.04</v>
      </c>
      <c r="M871" s="2">
        <f>Table1[[#This Row],[UnitPrice]]*Table1[[#This Row],[Quantity]]</f>
        <v>3725.3300000000004</v>
      </c>
      <c r="N871" s="2">
        <f>Table1[[#This Row],[CostPrice]]*Table1[[#This Row],[Quantity]]</f>
        <v>2401.2800000000002</v>
      </c>
      <c r="O871" s="2">
        <v>355.46</v>
      </c>
      <c r="P871" s="4">
        <v>0.26</v>
      </c>
      <c r="Q871" t="s">
        <v>92</v>
      </c>
      <c r="R871" s="4">
        <f t="shared" si="13"/>
        <v>9.5417050301584011E-2</v>
      </c>
    </row>
    <row r="872" spans="1:18" x14ac:dyDescent="0.25">
      <c r="A872">
        <v>1440</v>
      </c>
      <c r="B872" s="1">
        <v>45606</v>
      </c>
      <c r="C872" t="s">
        <v>171</v>
      </c>
      <c r="D872" t="s">
        <v>17</v>
      </c>
      <c r="E872" t="s">
        <v>53</v>
      </c>
      <c r="F872" t="s">
        <v>19</v>
      </c>
      <c r="G872" t="s">
        <v>35</v>
      </c>
      <c r="H872" t="s">
        <v>70</v>
      </c>
      <c r="I872" t="s">
        <v>71</v>
      </c>
      <c r="J872">
        <v>1</v>
      </c>
      <c r="K872" s="3">
        <v>769.42</v>
      </c>
      <c r="L872" s="2">
        <v>630.38</v>
      </c>
      <c r="M872" s="2">
        <f>Table1[[#This Row],[UnitPrice]]*Table1[[#This Row],[Quantity]]</f>
        <v>769.42</v>
      </c>
      <c r="N872" s="2">
        <f>Table1[[#This Row],[CostPrice]]*Table1[[#This Row],[Quantity]]</f>
        <v>630.38</v>
      </c>
      <c r="O872" s="2">
        <v>8.24</v>
      </c>
      <c r="P872" s="4">
        <v>0.17</v>
      </c>
      <c r="Q872" t="s">
        <v>92</v>
      </c>
      <c r="R872" s="4">
        <f t="shared" si="13"/>
        <v>1.0709365496087963E-2</v>
      </c>
    </row>
    <row r="873" spans="1:18" x14ac:dyDescent="0.25">
      <c r="A873">
        <v>1827</v>
      </c>
      <c r="B873" s="1">
        <v>45606</v>
      </c>
      <c r="C873" t="s">
        <v>240</v>
      </c>
      <c r="D873" t="s">
        <v>17</v>
      </c>
      <c r="E873" t="s">
        <v>33</v>
      </c>
      <c r="F873" t="s">
        <v>34</v>
      </c>
      <c r="G873" t="s">
        <v>20</v>
      </c>
      <c r="H873" t="s">
        <v>21</v>
      </c>
      <c r="I873" t="s">
        <v>22</v>
      </c>
      <c r="J873">
        <v>10</v>
      </c>
      <c r="K873" s="3">
        <v>932.83</v>
      </c>
      <c r="L873" s="2">
        <v>500.26</v>
      </c>
      <c r="M873" s="2">
        <f>Table1[[#This Row],[UnitPrice]]*Table1[[#This Row],[Quantity]]</f>
        <v>9328.3000000000011</v>
      </c>
      <c r="N873" s="2">
        <f>Table1[[#This Row],[CostPrice]]*Table1[[#This Row],[Quantity]]</f>
        <v>5002.6000000000004</v>
      </c>
      <c r="O873" s="2">
        <v>2273.4699999999998</v>
      </c>
      <c r="P873" s="4">
        <v>0.22</v>
      </c>
      <c r="Q873" t="s">
        <v>125</v>
      </c>
      <c r="R873" s="4">
        <f t="shared" si="13"/>
        <v>0.24371750479722989</v>
      </c>
    </row>
    <row r="874" spans="1:18" x14ac:dyDescent="0.25">
      <c r="A874">
        <v>1937</v>
      </c>
      <c r="B874" s="1">
        <v>45606</v>
      </c>
      <c r="C874" t="s">
        <v>254</v>
      </c>
      <c r="D874" t="s">
        <v>25</v>
      </c>
      <c r="E874" t="s">
        <v>26</v>
      </c>
      <c r="F874" t="s">
        <v>27</v>
      </c>
      <c r="G874" t="s">
        <v>20</v>
      </c>
      <c r="H874" t="s">
        <v>113</v>
      </c>
      <c r="I874" t="s">
        <v>114</v>
      </c>
      <c r="J874">
        <v>5</v>
      </c>
      <c r="K874" s="3">
        <v>472.76</v>
      </c>
      <c r="L874" s="2">
        <v>316.55</v>
      </c>
      <c r="M874" s="2">
        <f>Table1[[#This Row],[UnitPrice]]*Table1[[#This Row],[Quantity]]</f>
        <v>2363.8000000000002</v>
      </c>
      <c r="N874" s="2">
        <f>Table1[[#This Row],[CostPrice]]*Table1[[#This Row],[Quantity]]</f>
        <v>1582.75</v>
      </c>
      <c r="O874" s="2">
        <v>639.22</v>
      </c>
      <c r="P874" s="4">
        <v>0.06</v>
      </c>
      <c r="Q874" t="s">
        <v>55</v>
      </c>
      <c r="R874" s="4">
        <f t="shared" si="13"/>
        <v>0.27042050934935274</v>
      </c>
    </row>
    <row r="875" spans="1:18" x14ac:dyDescent="0.25">
      <c r="A875">
        <v>1227</v>
      </c>
      <c r="B875" s="1">
        <v>45636</v>
      </c>
      <c r="C875" t="s">
        <v>175</v>
      </c>
      <c r="D875" t="s">
        <v>32</v>
      </c>
      <c r="E875" t="s">
        <v>33</v>
      </c>
      <c r="F875" t="s">
        <v>27</v>
      </c>
      <c r="G875" t="s">
        <v>20</v>
      </c>
      <c r="H875" t="s">
        <v>28</v>
      </c>
      <c r="I875" t="s">
        <v>81</v>
      </c>
      <c r="J875">
        <v>8</v>
      </c>
      <c r="K875" s="3">
        <v>272.19</v>
      </c>
      <c r="L875" s="2">
        <v>215.01</v>
      </c>
      <c r="M875" s="2">
        <f>Table1[[#This Row],[UnitPrice]]*Table1[[#This Row],[Quantity]]</f>
        <v>2177.52</v>
      </c>
      <c r="N875" s="2">
        <f>Table1[[#This Row],[CostPrice]]*Table1[[#This Row],[Quantity]]</f>
        <v>1720.08</v>
      </c>
      <c r="O875" s="2">
        <v>239.69</v>
      </c>
      <c r="P875" s="4">
        <v>0.1</v>
      </c>
      <c r="Q875" t="s">
        <v>125</v>
      </c>
      <c r="R875" s="4">
        <f t="shared" si="13"/>
        <v>0.11007476395165142</v>
      </c>
    </row>
    <row r="876" spans="1:18" x14ac:dyDescent="0.25">
      <c r="A876">
        <v>1974</v>
      </c>
      <c r="B876" s="1">
        <v>45636</v>
      </c>
      <c r="C876" t="s">
        <v>260</v>
      </c>
      <c r="D876" t="s">
        <v>25</v>
      </c>
      <c r="E876" t="s">
        <v>18</v>
      </c>
      <c r="F876" t="s">
        <v>40</v>
      </c>
      <c r="G876" t="s">
        <v>41</v>
      </c>
      <c r="H876" t="s">
        <v>46</v>
      </c>
      <c r="I876" t="s">
        <v>47</v>
      </c>
      <c r="J876">
        <v>6</v>
      </c>
      <c r="K876" s="3">
        <v>468.92</v>
      </c>
      <c r="L876" s="2">
        <v>371.68</v>
      </c>
      <c r="M876" s="2">
        <f>Table1[[#This Row],[UnitPrice]]*Table1[[#This Row],[Quantity]]</f>
        <v>2813.52</v>
      </c>
      <c r="N876" s="2">
        <f>Table1[[#This Row],[CostPrice]]*Table1[[#This Row],[Quantity]]</f>
        <v>2230.08</v>
      </c>
      <c r="O876" s="2">
        <v>499.03</v>
      </c>
      <c r="P876" s="4">
        <v>0.03</v>
      </c>
      <c r="Q876" t="s">
        <v>55</v>
      </c>
      <c r="R876" s="4">
        <f t="shared" si="13"/>
        <v>0.17736856322329322</v>
      </c>
    </row>
    <row r="877" spans="1:18" x14ac:dyDescent="0.25">
      <c r="A877">
        <v>1672</v>
      </c>
      <c r="B877" s="1">
        <v>45578</v>
      </c>
      <c r="C877" t="s">
        <v>151</v>
      </c>
      <c r="D877" t="s">
        <v>25</v>
      </c>
      <c r="E877" t="s">
        <v>26</v>
      </c>
      <c r="F877" t="s">
        <v>40</v>
      </c>
      <c r="G877" t="s">
        <v>20</v>
      </c>
      <c r="H877" t="s">
        <v>28</v>
      </c>
      <c r="I877" t="s">
        <v>81</v>
      </c>
      <c r="J877">
        <v>1</v>
      </c>
      <c r="K877" s="3">
        <v>631.30999999999995</v>
      </c>
      <c r="L877" s="2">
        <v>377.54</v>
      </c>
      <c r="M877" s="2">
        <f>Table1[[#This Row],[UnitPrice]]*Table1[[#This Row],[Quantity]]</f>
        <v>631.30999999999995</v>
      </c>
      <c r="N877" s="2">
        <f>Table1[[#This Row],[CostPrice]]*Table1[[#This Row],[Quantity]]</f>
        <v>377.54</v>
      </c>
      <c r="O877" s="2">
        <v>228.52</v>
      </c>
      <c r="P877" s="4">
        <v>0.04</v>
      </c>
      <c r="Q877" t="s">
        <v>38</v>
      </c>
      <c r="R877" s="4">
        <f t="shared" si="13"/>
        <v>0.36197747540827807</v>
      </c>
    </row>
    <row r="878" spans="1:18" x14ac:dyDescent="0.25">
      <c r="A878">
        <v>1961</v>
      </c>
      <c r="B878" s="1">
        <v>45578</v>
      </c>
      <c r="C878" t="s">
        <v>224</v>
      </c>
      <c r="D878" t="s">
        <v>25</v>
      </c>
      <c r="E878" t="s">
        <v>18</v>
      </c>
      <c r="F878" t="s">
        <v>34</v>
      </c>
      <c r="G878" t="s">
        <v>20</v>
      </c>
      <c r="H878" t="s">
        <v>28</v>
      </c>
      <c r="I878" t="s">
        <v>29</v>
      </c>
      <c r="J878">
        <v>7</v>
      </c>
      <c r="K878" s="3">
        <v>586.54999999999995</v>
      </c>
      <c r="L878" s="2">
        <v>356.04</v>
      </c>
      <c r="M878" s="2">
        <f>Table1[[#This Row],[UnitPrice]]*Table1[[#This Row],[Quantity]]</f>
        <v>4105.8499999999995</v>
      </c>
      <c r="N878" s="2">
        <f>Table1[[#This Row],[CostPrice]]*Table1[[#This Row],[Quantity]]</f>
        <v>2492.2800000000002</v>
      </c>
      <c r="O878" s="2">
        <v>833.46</v>
      </c>
      <c r="P878" s="4">
        <v>0.19</v>
      </c>
      <c r="Q878" t="s">
        <v>75</v>
      </c>
      <c r="R878" s="4">
        <f t="shared" si="13"/>
        <v>0.20299329006174122</v>
      </c>
    </row>
    <row r="879" spans="1:18" x14ac:dyDescent="0.25">
      <c r="A879">
        <v>1026</v>
      </c>
      <c r="B879" s="1">
        <v>45579</v>
      </c>
      <c r="C879" t="s">
        <v>56</v>
      </c>
      <c r="D879" t="s">
        <v>17</v>
      </c>
      <c r="E879" t="s">
        <v>53</v>
      </c>
      <c r="F879" t="s">
        <v>27</v>
      </c>
      <c r="G879" t="s">
        <v>41</v>
      </c>
      <c r="H879" t="s">
        <v>42</v>
      </c>
      <c r="I879" t="s">
        <v>77</v>
      </c>
      <c r="J879">
        <v>2</v>
      </c>
      <c r="K879" s="3">
        <v>945.33</v>
      </c>
      <c r="L879" s="2">
        <v>701.3</v>
      </c>
      <c r="M879" s="2">
        <f>Table1[[#This Row],[UnitPrice]]*Table1[[#This Row],[Quantity]]</f>
        <v>1890.66</v>
      </c>
      <c r="N879" s="2">
        <f>Table1[[#This Row],[CostPrice]]*Table1[[#This Row],[Quantity]]</f>
        <v>1402.6</v>
      </c>
      <c r="O879" s="2">
        <v>412.43</v>
      </c>
      <c r="P879" s="4">
        <v>0.04</v>
      </c>
      <c r="Q879" t="s">
        <v>51</v>
      </c>
      <c r="R879" s="4">
        <f t="shared" si="13"/>
        <v>0.21814075508023653</v>
      </c>
    </row>
    <row r="880" spans="1:18" x14ac:dyDescent="0.25">
      <c r="A880">
        <v>1316</v>
      </c>
      <c r="B880" s="1">
        <v>45579</v>
      </c>
      <c r="C880" t="s">
        <v>144</v>
      </c>
      <c r="D880" t="s">
        <v>17</v>
      </c>
      <c r="E880" t="s">
        <v>26</v>
      </c>
      <c r="F880" t="s">
        <v>27</v>
      </c>
      <c r="G880" t="s">
        <v>35</v>
      </c>
      <c r="H880" t="s">
        <v>49</v>
      </c>
      <c r="I880" t="s">
        <v>66</v>
      </c>
      <c r="J880">
        <v>4</v>
      </c>
      <c r="K880" s="3">
        <v>845.1</v>
      </c>
      <c r="L880" s="2">
        <v>520.74</v>
      </c>
      <c r="M880" s="2">
        <f>Table1[[#This Row],[UnitPrice]]*Table1[[#This Row],[Quantity]]</f>
        <v>3380.4</v>
      </c>
      <c r="N880" s="2">
        <f>Table1[[#This Row],[CostPrice]]*Table1[[#This Row],[Quantity]]</f>
        <v>2082.96</v>
      </c>
      <c r="O880" s="2">
        <v>519.95000000000005</v>
      </c>
      <c r="P880" s="4">
        <v>0.23</v>
      </c>
      <c r="Q880" t="s">
        <v>125</v>
      </c>
      <c r="R880" s="4">
        <f t="shared" si="13"/>
        <v>0.15381315820612945</v>
      </c>
    </row>
    <row r="881" spans="1:18" x14ac:dyDescent="0.25">
      <c r="A881">
        <v>1482</v>
      </c>
      <c r="B881" s="1">
        <v>45579</v>
      </c>
      <c r="C881" t="s">
        <v>115</v>
      </c>
      <c r="D881" t="s">
        <v>17</v>
      </c>
      <c r="E881" t="s">
        <v>18</v>
      </c>
      <c r="F881" t="s">
        <v>34</v>
      </c>
      <c r="G881" t="s">
        <v>41</v>
      </c>
      <c r="H881" t="s">
        <v>46</v>
      </c>
      <c r="I881" t="s">
        <v>47</v>
      </c>
      <c r="J881">
        <v>1</v>
      </c>
      <c r="K881" s="3">
        <v>171.76</v>
      </c>
      <c r="L881" s="2">
        <v>109.85</v>
      </c>
      <c r="M881" s="2">
        <f>Table1[[#This Row],[UnitPrice]]*Table1[[#This Row],[Quantity]]</f>
        <v>171.76</v>
      </c>
      <c r="N881" s="2">
        <f>Table1[[#This Row],[CostPrice]]*Table1[[#This Row],[Quantity]]</f>
        <v>109.85</v>
      </c>
      <c r="O881" s="2">
        <v>46.45</v>
      </c>
      <c r="P881" s="4">
        <v>0.09</v>
      </c>
      <c r="Q881" t="s">
        <v>38</v>
      </c>
      <c r="R881" s="4">
        <f t="shared" si="13"/>
        <v>0.27043549138332562</v>
      </c>
    </row>
    <row r="882" spans="1:18" x14ac:dyDescent="0.25">
      <c r="A882">
        <v>1853</v>
      </c>
      <c r="B882" s="1">
        <v>45579</v>
      </c>
      <c r="C882" t="s">
        <v>201</v>
      </c>
      <c r="D882" t="s">
        <v>25</v>
      </c>
      <c r="E882" t="s">
        <v>26</v>
      </c>
      <c r="F882" t="s">
        <v>27</v>
      </c>
      <c r="G882" t="s">
        <v>41</v>
      </c>
      <c r="H882" t="s">
        <v>46</v>
      </c>
      <c r="I882" t="s">
        <v>57</v>
      </c>
      <c r="J882">
        <v>6</v>
      </c>
      <c r="K882" s="3">
        <v>773.78</v>
      </c>
      <c r="L882" s="2">
        <v>517.62</v>
      </c>
      <c r="M882" s="2">
        <f>Table1[[#This Row],[UnitPrice]]*Table1[[#This Row],[Quantity]]</f>
        <v>4642.68</v>
      </c>
      <c r="N882" s="2">
        <f>Table1[[#This Row],[CostPrice]]*Table1[[#This Row],[Quantity]]</f>
        <v>3105.7200000000003</v>
      </c>
      <c r="O882" s="2">
        <v>1397.68</v>
      </c>
      <c r="P882" s="4">
        <v>0.03</v>
      </c>
      <c r="Q882" t="s">
        <v>30</v>
      </c>
      <c r="R882" s="4">
        <f t="shared" si="13"/>
        <v>0.30105025545590047</v>
      </c>
    </row>
    <row r="883" spans="1:18" x14ac:dyDescent="0.25">
      <c r="A883">
        <v>1162</v>
      </c>
      <c r="B883" s="1">
        <v>45580</v>
      </c>
      <c r="C883" t="s">
        <v>178</v>
      </c>
      <c r="D883" t="s">
        <v>25</v>
      </c>
      <c r="E883" t="s">
        <v>53</v>
      </c>
      <c r="F883" t="s">
        <v>40</v>
      </c>
      <c r="G883" t="s">
        <v>41</v>
      </c>
      <c r="H883" t="s">
        <v>46</v>
      </c>
      <c r="I883" t="s">
        <v>47</v>
      </c>
      <c r="J883">
        <v>3</v>
      </c>
      <c r="K883" s="3">
        <v>10.16</v>
      </c>
      <c r="L883" s="2">
        <v>7.04</v>
      </c>
      <c r="M883" s="2">
        <f>Table1[[#This Row],[UnitPrice]]*Table1[[#This Row],[Quantity]]</f>
        <v>30.48</v>
      </c>
      <c r="N883" s="2">
        <f>Table1[[#This Row],[CostPrice]]*Table1[[#This Row],[Quantity]]</f>
        <v>21.12</v>
      </c>
      <c r="O883" s="2">
        <v>0.83</v>
      </c>
      <c r="P883" s="4">
        <v>0.28000000000000003</v>
      </c>
      <c r="Q883" t="s">
        <v>75</v>
      </c>
      <c r="R883" s="4">
        <f t="shared" si="13"/>
        <v>2.7230971128608922E-2</v>
      </c>
    </row>
    <row r="884" spans="1:18" x14ac:dyDescent="0.25">
      <c r="A884">
        <v>1675</v>
      </c>
      <c r="B884" s="1">
        <v>45580</v>
      </c>
      <c r="C884" t="s">
        <v>245</v>
      </c>
      <c r="D884" t="s">
        <v>17</v>
      </c>
      <c r="E884" t="s">
        <v>33</v>
      </c>
      <c r="F884" t="s">
        <v>19</v>
      </c>
      <c r="G884" t="s">
        <v>20</v>
      </c>
      <c r="H884" t="s">
        <v>21</v>
      </c>
      <c r="I884" t="s">
        <v>79</v>
      </c>
      <c r="J884">
        <v>4</v>
      </c>
      <c r="K884" s="3">
        <v>398.92</v>
      </c>
      <c r="L884" s="2">
        <v>242.18</v>
      </c>
      <c r="M884" s="2">
        <f>Table1[[#This Row],[UnitPrice]]*Table1[[#This Row],[Quantity]]</f>
        <v>1595.68</v>
      </c>
      <c r="N884" s="2">
        <f>Table1[[#This Row],[CostPrice]]*Table1[[#This Row],[Quantity]]</f>
        <v>968.72</v>
      </c>
      <c r="O884" s="2">
        <v>196.13</v>
      </c>
      <c r="P884" s="4">
        <v>0.27</v>
      </c>
      <c r="Q884" t="s">
        <v>125</v>
      </c>
      <c r="R884" s="4">
        <f t="shared" si="13"/>
        <v>0.12291311541161135</v>
      </c>
    </row>
    <row r="885" spans="1:18" x14ac:dyDescent="0.25">
      <c r="A885">
        <v>1914</v>
      </c>
      <c r="B885" s="1">
        <v>45580</v>
      </c>
      <c r="C885" t="s">
        <v>194</v>
      </c>
      <c r="D885" t="s">
        <v>25</v>
      </c>
      <c r="E885" t="s">
        <v>53</v>
      </c>
      <c r="F885" t="s">
        <v>34</v>
      </c>
      <c r="G885" t="s">
        <v>41</v>
      </c>
      <c r="H885" t="s">
        <v>42</v>
      </c>
      <c r="I885" t="s">
        <v>68</v>
      </c>
      <c r="J885">
        <v>10</v>
      </c>
      <c r="K885" s="3">
        <v>553.69000000000005</v>
      </c>
      <c r="L885" s="2">
        <v>461.59</v>
      </c>
      <c r="M885" s="2">
        <f>Table1[[#This Row],[UnitPrice]]*Table1[[#This Row],[Quantity]]</f>
        <v>5536.9000000000005</v>
      </c>
      <c r="N885" s="2">
        <f>Table1[[#This Row],[CostPrice]]*Table1[[#This Row],[Quantity]]</f>
        <v>4615.8999999999996</v>
      </c>
      <c r="O885" s="2">
        <v>201.2</v>
      </c>
      <c r="P885" s="4">
        <v>0.13</v>
      </c>
      <c r="Q885" t="s">
        <v>30</v>
      </c>
      <c r="R885" s="4">
        <f t="shared" si="13"/>
        <v>3.63380230815077E-2</v>
      </c>
    </row>
    <row r="886" spans="1:18" x14ac:dyDescent="0.25">
      <c r="A886">
        <v>1000</v>
      </c>
      <c r="B886" s="1">
        <v>45581</v>
      </c>
      <c r="C886" t="s">
        <v>16</v>
      </c>
      <c r="D886" t="s">
        <v>17</v>
      </c>
      <c r="E886" t="s">
        <v>18</v>
      </c>
      <c r="F886" t="s">
        <v>19</v>
      </c>
      <c r="G886" t="s">
        <v>20</v>
      </c>
      <c r="H886" t="s">
        <v>21</v>
      </c>
      <c r="I886" t="s">
        <v>22</v>
      </c>
      <c r="J886">
        <v>9</v>
      </c>
      <c r="K886" s="3">
        <v>91.5</v>
      </c>
      <c r="L886" s="2">
        <v>59.26</v>
      </c>
      <c r="M886" s="2">
        <f>Table1[[#This Row],[UnitPrice]]*Table1[[#This Row],[Quantity]]</f>
        <v>823.5</v>
      </c>
      <c r="N886" s="2">
        <f>Table1[[#This Row],[CostPrice]]*Table1[[#This Row],[Quantity]]</f>
        <v>533.34</v>
      </c>
      <c r="O886" s="2">
        <v>281.92</v>
      </c>
      <c r="P886" s="4">
        <v>0.01</v>
      </c>
      <c r="Q886" t="s">
        <v>23</v>
      </c>
      <c r="R886" s="4">
        <f t="shared" si="13"/>
        <v>0.34234365513054038</v>
      </c>
    </row>
    <row r="887" spans="1:18" x14ac:dyDescent="0.25">
      <c r="A887">
        <v>1145</v>
      </c>
      <c r="B887" s="1">
        <v>45581</v>
      </c>
      <c r="C887" t="s">
        <v>120</v>
      </c>
      <c r="D887" t="s">
        <v>17</v>
      </c>
      <c r="E887" t="s">
        <v>18</v>
      </c>
      <c r="F887" t="s">
        <v>40</v>
      </c>
      <c r="G887" t="s">
        <v>35</v>
      </c>
      <c r="H887" t="s">
        <v>36</v>
      </c>
      <c r="I887" t="s">
        <v>100</v>
      </c>
      <c r="J887">
        <v>7</v>
      </c>
      <c r="K887" s="3">
        <v>300.95</v>
      </c>
      <c r="L887" s="2">
        <v>158.16</v>
      </c>
      <c r="M887" s="2">
        <f>Table1[[#This Row],[UnitPrice]]*Table1[[#This Row],[Quantity]]</f>
        <v>2106.65</v>
      </c>
      <c r="N887" s="2">
        <f>Table1[[#This Row],[CostPrice]]*Table1[[#This Row],[Quantity]]</f>
        <v>1107.1199999999999</v>
      </c>
      <c r="O887" s="2">
        <v>957.4</v>
      </c>
      <c r="P887" s="4">
        <v>0.02</v>
      </c>
      <c r="Q887" t="s">
        <v>55</v>
      </c>
      <c r="R887" s="4">
        <f t="shared" si="13"/>
        <v>0.45446562077231623</v>
      </c>
    </row>
    <row r="888" spans="1:18" x14ac:dyDescent="0.25">
      <c r="A888">
        <v>1170</v>
      </c>
      <c r="B888" s="1">
        <v>45581</v>
      </c>
      <c r="C888" t="s">
        <v>146</v>
      </c>
      <c r="D888" t="s">
        <v>32</v>
      </c>
      <c r="E888" t="s">
        <v>26</v>
      </c>
      <c r="F888" t="s">
        <v>19</v>
      </c>
      <c r="G888" t="s">
        <v>20</v>
      </c>
      <c r="H888" t="s">
        <v>28</v>
      </c>
      <c r="I888" t="s">
        <v>81</v>
      </c>
      <c r="J888">
        <v>8</v>
      </c>
      <c r="K888" s="3">
        <v>749</v>
      </c>
      <c r="L888" s="2">
        <v>533.29</v>
      </c>
      <c r="M888" s="2">
        <f>Table1[[#This Row],[UnitPrice]]*Table1[[#This Row],[Quantity]]</f>
        <v>5992</v>
      </c>
      <c r="N888" s="2">
        <f>Table1[[#This Row],[CostPrice]]*Table1[[#This Row],[Quantity]]</f>
        <v>4266.32</v>
      </c>
      <c r="O888" s="2">
        <v>1006.64</v>
      </c>
      <c r="P888" s="4">
        <v>0.12</v>
      </c>
      <c r="Q888" t="s">
        <v>38</v>
      </c>
      <c r="R888" s="4">
        <f t="shared" si="13"/>
        <v>0.1679973297730307</v>
      </c>
    </row>
    <row r="889" spans="1:18" x14ac:dyDescent="0.25">
      <c r="A889">
        <v>1458</v>
      </c>
      <c r="B889" s="1">
        <v>45581</v>
      </c>
      <c r="C889" t="s">
        <v>199</v>
      </c>
      <c r="D889" t="s">
        <v>32</v>
      </c>
      <c r="E889" t="s">
        <v>26</v>
      </c>
      <c r="F889" t="s">
        <v>19</v>
      </c>
      <c r="G889" t="s">
        <v>35</v>
      </c>
      <c r="H889" t="s">
        <v>49</v>
      </c>
      <c r="I889" t="s">
        <v>59</v>
      </c>
      <c r="J889">
        <v>6</v>
      </c>
      <c r="K889" s="3">
        <v>773.92</v>
      </c>
      <c r="L889" s="2">
        <v>568.75</v>
      </c>
      <c r="M889" s="2">
        <f>Table1[[#This Row],[UnitPrice]]*Table1[[#This Row],[Quantity]]</f>
        <v>4643.5199999999995</v>
      </c>
      <c r="N889" s="2">
        <f>Table1[[#This Row],[CostPrice]]*Table1[[#This Row],[Quantity]]</f>
        <v>3412.5</v>
      </c>
      <c r="O889" s="2">
        <v>859.54</v>
      </c>
      <c r="P889" s="4">
        <v>0.08</v>
      </c>
      <c r="Q889" t="s">
        <v>92</v>
      </c>
      <c r="R889" s="4">
        <f t="shared" si="13"/>
        <v>0.18510526497140101</v>
      </c>
    </row>
    <row r="890" spans="1:18" x14ac:dyDescent="0.25">
      <c r="A890">
        <v>1667</v>
      </c>
      <c r="B890" s="1">
        <v>45581</v>
      </c>
      <c r="C890" t="s">
        <v>69</v>
      </c>
      <c r="D890" t="s">
        <v>25</v>
      </c>
      <c r="E890" t="s">
        <v>53</v>
      </c>
      <c r="F890" t="s">
        <v>19</v>
      </c>
      <c r="G890" t="s">
        <v>20</v>
      </c>
      <c r="H890" t="s">
        <v>28</v>
      </c>
      <c r="I890" t="s">
        <v>29</v>
      </c>
      <c r="J890">
        <v>7</v>
      </c>
      <c r="K890" s="3">
        <v>209.29</v>
      </c>
      <c r="L890" s="2">
        <v>118.14</v>
      </c>
      <c r="M890" s="2">
        <f>Table1[[#This Row],[UnitPrice]]*Table1[[#This Row],[Quantity]]</f>
        <v>1465.03</v>
      </c>
      <c r="N890" s="2">
        <f>Table1[[#This Row],[CostPrice]]*Table1[[#This Row],[Quantity]]</f>
        <v>826.98</v>
      </c>
      <c r="O890" s="2">
        <v>198.54</v>
      </c>
      <c r="P890" s="4">
        <v>0.3</v>
      </c>
      <c r="Q890" t="s">
        <v>85</v>
      </c>
      <c r="R890" s="4">
        <f t="shared" si="13"/>
        <v>0.13551940915885682</v>
      </c>
    </row>
    <row r="891" spans="1:18" x14ac:dyDescent="0.25">
      <c r="A891">
        <v>1685</v>
      </c>
      <c r="B891" s="1">
        <v>45581</v>
      </c>
      <c r="C891" t="s">
        <v>146</v>
      </c>
      <c r="D891" t="s">
        <v>25</v>
      </c>
      <c r="E891" t="s">
        <v>26</v>
      </c>
      <c r="F891" t="s">
        <v>34</v>
      </c>
      <c r="G891" t="s">
        <v>41</v>
      </c>
      <c r="H891" t="s">
        <v>63</v>
      </c>
      <c r="I891" t="s">
        <v>141</v>
      </c>
      <c r="J891">
        <v>1</v>
      </c>
      <c r="K891" s="3">
        <v>827.34</v>
      </c>
      <c r="L891" s="2">
        <v>588.39</v>
      </c>
      <c r="M891" s="2">
        <f>Table1[[#This Row],[UnitPrice]]*Table1[[#This Row],[Quantity]]</f>
        <v>827.34</v>
      </c>
      <c r="N891" s="2">
        <f>Table1[[#This Row],[CostPrice]]*Table1[[#This Row],[Quantity]]</f>
        <v>588.39</v>
      </c>
      <c r="O891" s="2">
        <v>230.68</v>
      </c>
      <c r="P891" s="4">
        <v>0.01</v>
      </c>
      <c r="Q891" t="s">
        <v>23</v>
      </c>
      <c r="R891" s="4">
        <f t="shared" si="13"/>
        <v>0.27882128266492617</v>
      </c>
    </row>
    <row r="892" spans="1:18" x14ac:dyDescent="0.25">
      <c r="A892">
        <v>1031</v>
      </c>
      <c r="B892" s="1">
        <v>45583</v>
      </c>
      <c r="C892" t="s">
        <v>96</v>
      </c>
      <c r="D892" t="s">
        <v>17</v>
      </c>
      <c r="E892" t="s">
        <v>18</v>
      </c>
      <c r="F892" t="s">
        <v>34</v>
      </c>
      <c r="G892" t="s">
        <v>20</v>
      </c>
      <c r="H892" t="s">
        <v>28</v>
      </c>
      <c r="I892" t="s">
        <v>81</v>
      </c>
      <c r="J892">
        <v>10</v>
      </c>
      <c r="K892" s="3">
        <v>962.72</v>
      </c>
      <c r="L892" s="2">
        <v>570.80999999999995</v>
      </c>
      <c r="M892" s="2">
        <f>Table1[[#This Row],[UnitPrice]]*Table1[[#This Row],[Quantity]]</f>
        <v>9627.2000000000007</v>
      </c>
      <c r="N892" s="2">
        <f>Table1[[#This Row],[CostPrice]]*Table1[[#This Row],[Quantity]]</f>
        <v>5708.0999999999995</v>
      </c>
      <c r="O892" s="2">
        <v>3630.28</v>
      </c>
      <c r="P892" s="4">
        <v>0.03</v>
      </c>
      <c r="Q892" t="s">
        <v>75</v>
      </c>
      <c r="R892" s="4">
        <f t="shared" si="13"/>
        <v>0.37708575702177166</v>
      </c>
    </row>
    <row r="893" spans="1:18" x14ac:dyDescent="0.25">
      <c r="A893">
        <v>1579</v>
      </c>
      <c r="B893" s="1">
        <v>45583</v>
      </c>
      <c r="C893" t="s">
        <v>48</v>
      </c>
      <c r="D893" t="s">
        <v>17</v>
      </c>
      <c r="E893" t="s">
        <v>53</v>
      </c>
      <c r="F893" t="s">
        <v>19</v>
      </c>
      <c r="G893" t="s">
        <v>20</v>
      </c>
      <c r="H893" t="s">
        <v>28</v>
      </c>
      <c r="I893" t="s">
        <v>81</v>
      </c>
      <c r="J893">
        <v>5</v>
      </c>
      <c r="K893" s="3">
        <v>317.14999999999998</v>
      </c>
      <c r="L893" s="2">
        <v>167.7</v>
      </c>
      <c r="M893" s="2">
        <f>Table1[[#This Row],[UnitPrice]]*Table1[[#This Row],[Quantity]]</f>
        <v>1585.75</v>
      </c>
      <c r="N893" s="2">
        <f>Table1[[#This Row],[CostPrice]]*Table1[[#This Row],[Quantity]]</f>
        <v>838.5</v>
      </c>
      <c r="O893" s="2">
        <v>667.96</v>
      </c>
      <c r="P893" s="4">
        <v>0.05</v>
      </c>
      <c r="Q893" t="s">
        <v>38</v>
      </c>
      <c r="R893" s="4">
        <f t="shared" si="13"/>
        <v>0.42122654895160022</v>
      </c>
    </row>
    <row r="894" spans="1:18" x14ac:dyDescent="0.25">
      <c r="A894">
        <v>1850</v>
      </c>
      <c r="B894" s="1">
        <v>45583</v>
      </c>
      <c r="C894" t="s">
        <v>215</v>
      </c>
      <c r="D894" t="s">
        <v>32</v>
      </c>
      <c r="E894" t="s">
        <v>33</v>
      </c>
      <c r="F894" t="s">
        <v>34</v>
      </c>
      <c r="G894" t="s">
        <v>20</v>
      </c>
      <c r="H894" t="s">
        <v>21</v>
      </c>
      <c r="I894" t="s">
        <v>22</v>
      </c>
      <c r="J894">
        <v>3</v>
      </c>
      <c r="K894" s="3">
        <v>109.61</v>
      </c>
      <c r="L894" s="2">
        <v>67.19</v>
      </c>
      <c r="M894" s="2">
        <f>Table1[[#This Row],[UnitPrice]]*Table1[[#This Row],[Quantity]]</f>
        <v>328.83</v>
      </c>
      <c r="N894" s="2">
        <f>Table1[[#This Row],[CostPrice]]*Table1[[#This Row],[Quantity]]</f>
        <v>201.57</v>
      </c>
      <c r="O894" s="2">
        <v>58.21</v>
      </c>
      <c r="P894" s="4">
        <v>0.21</v>
      </c>
      <c r="Q894" t="s">
        <v>75</v>
      </c>
      <c r="R894" s="4">
        <f t="shared" si="13"/>
        <v>0.17702156129306937</v>
      </c>
    </row>
    <row r="895" spans="1:18" x14ac:dyDescent="0.25">
      <c r="A895">
        <v>1090</v>
      </c>
      <c r="B895" s="1">
        <v>45584</v>
      </c>
      <c r="C895" t="s">
        <v>155</v>
      </c>
      <c r="D895" t="s">
        <v>25</v>
      </c>
      <c r="E895" t="s">
        <v>33</v>
      </c>
      <c r="F895" t="s">
        <v>40</v>
      </c>
      <c r="G895" t="s">
        <v>20</v>
      </c>
      <c r="H895" t="s">
        <v>21</v>
      </c>
      <c r="I895" t="s">
        <v>132</v>
      </c>
      <c r="J895">
        <v>2</v>
      </c>
      <c r="K895" s="3">
        <v>830.67</v>
      </c>
      <c r="L895" s="2">
        <v>576.46</v>
      </c>
      <c r="M895" s="2">
        <f>Table1[[#This Row],[UnitPrice]]*Table1[[#This Row],[Quantity]]</f>
        <v>1661.34</v>
      </c>
      <c r="N895" s="2">
        <f>Table1[[#This Row],[CostPrice]]*Table1[[#This Row],[Quantity]]</f>
        <v>1152.92</v>
      </c>
      <c r="O895" s="2">
        <v>209.38</v>
      </c>
      <c r="P895" s="4">
        <v>0.18</v>
      </c>
      <c r="Q895" t="s">
        <v>23</v>
      </c>
      <c r="R895" s="4">
        <f t="shared" si="13"/>
        <v>0.126030794418963</v>
      </c>
    </row>
    <row r="896" spans="1:18" x14ac:dyDescent="0.25">
      <c r="A896">
        <v>1781</v>
      </c>
      <c r="B896" s="1">
        <v>45584</v>
      </c>
      <c r="C896" t="s">
        <v>110</v>
      </c>
      <c r="D896" t="s">
        <v>25</v>
      </c>
      <c r="E896" t="s">
        <v>33</v>
      </c>
      <c r="F896" t="s">
        <v>34</v>
      </c>
      <c r="G896" t="s">
        <v>41</v>
      </c>
      <c r="H896" t="s">
        <v>46</v>
      </c>
      <c r="I896" t="s">
        <v>102</v>
      </c>
      <c r="J896">
        <v>10</v>
      </c>
      <c r="K896" s="3">
        <v>972.36</v>
      </c>
      <c r="L896" s="2">
        <v>596.64</v>
      </c>
      <c r="M896" s="2">
        <f>Table1[[#This Row],[UnitPrice]]*Table1[[#This Row],[Quantity]]</f>
        <v>9723.6</v>
      </c>
      <c r="N896" s="2">
        <f>Table1[[#This Row],[CostPrice]]*Table1[[#This Row],[Quantity]]</f>
        <v>5966.4</v>
      </c>
      <c r="O896" s="2">
        <v>1034.5899999999999</v>
      </c>
      <c r="P896" s="4">
        <v>0.28000000000000003</v>
      </c>
      <c r="Q896" t="s">
        <v>38</v>
      </c>
      <c r="R896" s="4">
        <f t="shared" si="13"/>
        <v>0.10639989304372864</v>
      </c>
    </row>
    <row r="897" spans="1:18" x14ac:dyDescent="0.25">
      <c r="A897">
        <v>1110</v>
      </c>
      <c r="B897" s="1">
        <v>45585</v>
      </c>
      <c r="C897" t="s">
        <v>155</v>
      </c>
      <c r="D897" t="s">
        <v>32</v>
      </c>
      <c r="E897" t="s">
        <v>18</v>
      </c>
      <c r="F897" t="s">
        <v>19</v>
      </c>
      <c r="G897" t="s">
        <v>35</v>
      </c>
      <c r="H897" t="s">
        <v>36</v>
      </c>
      <c r="I897" t="s">
        <v>37</v>
      </c>
      <c r="J897">
        <v>8</v>
      </c>
      <c r="K897" s="3">
        <v>633.23</v>
      </c>
      <c r="L897" s="2">
        <v>493.11</v>
      </c>
      <c r="M897" s="2">
        <f>Table1[[#This Row],[UnitPrice]]*Table1[[#This Row],[Quantity]]</f>
        <v>5065.84</v>
      </c>
      <c r="N897" s="2">
        <f>Table1[[#This Row],[CostPrice]]*Table1[[#This Row],[Quantity]]</f>
        <v>3944.88</v>
      </c>
      <c r="O897" s="2">
        <v>209.11</v>
      </c>
      <c r="P897" s="4">
        <v>0.18</v>
      </c>
      <c r="Q897" t="s">
        <v>85</v>
      </c>
      <c r="R897" s="4">
        <f t="shared" si="13"/>
        <v>4.127844543057025E-2</v>
      </c>
    </row>
    <row r="898" spans="1:18" x14ac:dyDescent="0.25">
      <c r="A898">
        <v>1553</v>
      </c>
      <c r="B898" s="1">
        <v>45586</v>
      </c>
      <c r="C898" t="s">
        <v>213</v>
      </c>
      <c r="D898" t="s">
        <v>32</v>
      </c>
      <c r="E898" t="s">
        <v>53</v>
      </c>
      <c r="F898" t="s">
        <v>27</v>
      </c>
      <c r="G898" t="s">
        <v>41</v>
      </c>
      <c r="H898" t="s">
        <v>46</v>
      </c>
      <c r="I898" t="s">
        <v>47</v>
      </c>
      <c r="J898">
        <v>8</v>
      </c>
      <c r="K898" s="3">
        <v>112.5</v>
      </c>
      <c r="L898" s="2">
        <v>66.12</v>
      </c>
      <c r="M898" s="2">
        <f>Table1[[#This Row],[UnitPrice]]*Table1[[#This Row],[Quantity]]</f>
        <v>900</v>
      </c>
      <c r="N898" s="2">
        <f>Table1[[#This Row],[CostPrice]]*Table1[[#This Row],[Quantity]]</f>
        <v>528.96</v>
      </c>
      <c r="O898" s="2">
        <v>236.04</v>
      </c>
      <c r="P898" s="4">
        <v>0.15</v>
      </c>
      <c r="Q898" t="s">
        <v>92</v>
      </c>
      <c r="R898" s="4">
        <f t="shared" ref="R898:R961" si="14">O898/M898</f>
        <v>0.26226666666666665</v>
      </c>
    </row>
    <row r="899" spans="1:18" x14ac:dyDescent="0.25">
      <c r="A899">
        <v>1815</v>
      </c>
      <c r="B899" s="1">
        <v>45586</v>
      </c>
      <c r="C899" t="s">
        <v>112</v>
      </c>
      <c r="D899" t="s">
        <v>25</v>
      </c>
      <c r="E899" t="s">
        <v>33</v>
      </c>
      <c r="F899" t="s">
        <v>19</v>
      </c>
      <c r="G899" t="s">
        <v>20</v>
      </c>
      <c r="H899" t="s">
        <v>28</v>
      </c>
      <c r="I899" t="s">
        <v>61</v>
      </c>
      <c r="J899">
        <v>3</v>
      </c>
      <c r="K899" s="3">
        <v>572.28</v>
      </c>
      <c r="L899" s="2">
        <v>457.16</v>
      </c>
      <c r="M899" s="2">
        <f>Table1[[#This Row],[UnitPrice]]*Table1[[#This Row],[Quantity]]</f>
        <v>1716.84</v>
      </c>
      <c r="N899" s="2">
        <f>Table1[[#This Row],[CostPrice]]*Table1[[#This Row],[Quantity]]</f>
        <v>1371.48</v>
      </c>
      <c r="O899" s="2">
        <v>225.18</v>
      </c>
      <c r="P899" s="4">
        <v>7.0000000000000007E-2</v>
      </c>
      <c r="Q899" t="s">
        <v>55</v>
      </c>
      <c r="R899" s="4">
        <f t="shared" si="14"/>
        <v>0.13115957223736632</v>
      </c>
    </row>
    <row r="900" spans="1:18" x14ac:dyDescent="0.25">
      <c r="A900">
        <v>1678</v>
      </c>
      <c r="B900" s="1">
        <v>45587</v>
      </c>
      <c r="C900" t="s">
        <v>210</v>
      </c>
      <c r="D900" t="s">
        <v>25</v>
      </c>
      <c r="E900" t="s">
        <v>18</v>
      </c>
      <c r="F900" t="s">
        <v>34</v>
      </c>
      <c r="G900" t="s">
        <v>35</v>
      </c>
      <c r="H900" t="s">
        <v>36</v>
      </c>
      <c r="I900" t="s">
        <v>87</v>
      </c>
      <c r="J900">
        <v>2</v>
      </c>
      <c r="K900" s="3">
        <v>75.989999999999995</v>
      </c>
      <c r="L900" s="2">
        <v>39.01</v>
      </c>
      <c r="M900" s="2">
        <f>Table1[[#This Row],[UnitPrice]]*Table1[[#This Row],[Quantity]]</f>
        <v>151.97999999999999</v>
      </c>
      <c r="N900" s="2">
        <f>Table1[[#This Row],[CostPrice]]*Table1[[#This Row],[Quantity]]</f>
        <v>78.02</v>
      </c>
      <c r="O900" s="2">
        <v>64.84</v>
      </c>
      <c r="P900" s="4">
        <v>0.06</v>
      </c>
      <c r="Q900" t="s">
        <v>23</v>
      </c>
      <c r="R900" s="4">
        <f t="shared" si="14"/>
        <v>0.42663508356362684</v>
      </c>
    </row>
    <row r="901" spans="1:18" x14ac:dyDescent="0.25">
      <c r="A901">
        <v>1690</v>
      </c>
      <c r="B901" s="1">
        <v>45588</v>
      </c>
      <c r="C901" t="s">
        <v>197</v>
      </c>
      <c r="D901" t="s">
        <v>32</v>
      </c>
      <c r="E901" t="s">
        <v>18</v>
      </c>
      <c r="F901" t="s">
        <v>40</v>
      </c>
      <c r="G901" t="s">
        <v>35</v>
      </c>
      <c r="H901" t="s">
        <v>70</v>
      </c>
      <c r="I901" t="s">
        <v>98</v>
      </c>
      <c r="J901">
        <v>7</v>
      </c>
      <c r="K901" s="3">
        <v>252.89</v>
      </c>
      <c r="L901" s="2">
        <v>206.1</v>
      </c>
      <c r="M901" s="2">
        <f>Table1[[#This Row],[UnitPrice]]*Table1[[#This Row],[Quantity]]</f>
        <v>1770.23</v>
      </c>
      <c r="N901" s="2">
        <f>Table1[[#This Row],[CostPrice]]*Table1[[#This Row],[Quantity]]</f>
        <v>1442.7</v>
      </c>
      <c r="O901" s="2">
        <v>-61.92</v>
      </c>
      <c r="P901" s="4">
        <v>0.22</v>
      </c>
      <c r="Q901" t="s">
        <v>55</v>
      </c>
      <c r="R901" s="4">
        <f t="shared" si="14"/>
        <v>-3.497850561791406E-2</v>
      </c>
    </row>
    <row r="902" spans="1:18" x14ac:dyDescent="0.25">
      <c r="A902">
        <v>1473</v>
      </c>
      <c r="B902" s="1">
        <v>45590</v>
      </c>
      <c r="C902" t="s">
        <v>276</v>
      </c>
      <c r="D902" t="s">
        <v>17</v>
      </c>
      <c r="E902" t="s">
        <v>53</v>
      </c>
      <c r="F902" t="s">
        <v>27</v>
      </c>
      <c r="G902" t="s">
        <v>20</v>
      </c>
      <c r="H902" t="s">
        <v>21</v>
      </c>
      <c r="I902" t="s">
        <v>132</v>
      </c>
      <c r="J902">
        <v>7</v>
      </c>
      <c r="K902" s="3">
        <v>860.85</v>
      </c>
      <c r="L902" s="2">
        <v>699.66</v>
      </c>
      <c r="M902" s="2">
        <f>Table1[[#This Row],[UnitPrice]]*Table1[[#This Row],[Quantity]]</f>
        <v>6025.95</v>
      </c>
      <c r="N902" s="2">
        <f>Table1[[#This Row],[CostPrice]]*Table1[[#This Row],[Quantity]]</f>
        <v>4897.62</v>
      </c>
      <c r="O902" s="2">
        <v>-137.12</v>
      </c>
      <c r="P902" s="4">
        <v>0.21</v>
      </c>
      <c r="Q902" t="s">
        <v>75</v>
      </c>
      <c r="R902" s="4">
        <f t="shared" si="14"/>
        <v>-2.2754918311635512E-2</v>
      </c>
    </row>
    <row r="903" spans="1:18" x14ac:dyDescent="0.25">
      <c r="A903">
        <v>1265</v>
      </c>
      <c r="B903" s="1">
        <v>45591</v>
      </c>
      <c r="C903" t="s">
        <v>214</v>
      </c>
      <c r="D903" t="s">
        <v>17</v>
      </c>
      <c r="E903" t="s">
        <v>18</v>
      </c>
      <c r="F903" t="s">
        <v>19</v>
      </c>
      <c r="G903" t="s">
        <v>41</v>
      </c>
      <c r="H903" t="s">
        <v>63</v>
      </c>
      <c r="I903" t="s">
        <v>141</v>
      </c>
      <c r="J903">
        <v>7</v>
      </c>
      <c r="K903" s="3">
        <v>310.29000000000002</v>
      </c>
      <c r="L903" s="2">
        <v>229.92</v>
      </c>
      <c r="M903" s="2">
        <f>Table1[[#This Row],[UnitPrice]]*Table1[[#This Row],[Quantity]]</f>
        <v>2172.0300000000002</v>
      </c>
      <c r="N903" s="2">
        <f>Table1[[#This Row],[CostPrice]]*Table1[[#This Row],[Quantity]]</f>
        <v>1609.4399999999998</v>
      </c>
      <c r="O903" s="2">
        <v>475.71</v>
      </c>
      <c r="P903" s="4">
        <v>0.04</v>
      </c>
      <c r="Q903" t="s">
        <v>51</v>
      </c>
      <c r="R903" s="4">
        <f t="shared" si="14"/>
        <v>0.21901631192939322</v>
      </c>
    </row>
    <row r="904" spans="1:18" x14ac:dyDescent="0.25">
      <c r="A904">
        <v>1309</v>
      </c>
      <c r="B904" s="1">
        <v>45591</v>
      </c>
      <c r="C904" t="s">
        <v>245</v>
      </c>
      <c r="D904" t="s">
        <v>25</v>
      </c>
      <c r="E904" t="s">
        <v>33</v>
      </c>
      <c r="F904" t="s">
        <v>19</v>
      </c>
      <c r="G904" t="s">
        <v>41</v>
      </c>
      <c r="H904" t="s">
        <v>63</v>
      </c>
      <c r="I904" t="s">
        <v>141</v>
      </c>
      <c r="J904">
        <v>3</v>
      </c>
      <c r="K904" s="3">
        <v>108.19</v>
      </c>
      <c r="L904" s="2">
        <v>88.6</v>
      </c>
      <c r="M904" s="2">
        <f>Table1[[#This Row],[UnitPrice]]*Table1[[#This Row],[Quantity]]</f>
        <v>324.57</v>
      </c>
      <c r="N904" s="2">
        <f>Table1[[#This Row],[CostPrice]]*Table1[[#This Row],[Quantity]]</f>
        <v>265.79999999999995</v>
      </c>
      <c r="O904" s="2">
        <v>13.33</v>
      </c>
      <c r="P904" s="4">
        <v>0.14000000000000001</v>
      </c>
      <c r="Q904" t="s">
        <v>125</v>
      </c>
      <c r="R904" s="4">
        <f t="shared" si="14"/>
        <v>4.106972301814709E-2</v>
      </c>
    </row>
    <row r="905" spans="1:18" x14ac:dyDescent="0.25">
      <c r="A905">
        <v>1624</v>
      </c>
      <c r="B905" s="1">
        <v>45591</v>
      </c>
      <c r="C905" t="s">
        <v>170</v>
      </c>
      <c r="D905" t="s">
        <v>25</v>
      </c>
      <c r="E905" t="s">
        <v>18</v>
      </c>
      <c r="F905" t="s">
        <v>34</v>
      </c>
      <c r="G905" t="s">
        <v>20</v>
      </c>
      <c r="H905" t="s">
        <v>113</v>
      </c>
      <c r="I905" t="s">
        <v>153</v>
      </c>
      <c r="J905">
        <v>7</v>
      </c>
      <c r="K905" s="3">
        <v>726.47</v>
      </c>
      <c r="L905" s="2">
        <v>551.4</v>
      </c>
      <c r="M905" s="2">
        <f>Table1[[#This Row],[UnitPrice]]*Table1[[#This Row],[Quantity]]</f>
        <v>5085.29</v>
      </c>
      <c r="N905" s="2">
        <f>Table1[[#This Row],[CostPrice]]*Table1[[#This Row],[Quantity]]</f>
        <v>3859.7999999999997</v>
      </c>
      <c r="O905" s="2">
        <v>1022.08</v>
      </c>
      <c r="P905" s="4">
        <v>0.04</v>
      </c>
      <c r="Q905" t="s">
        <v>38</v>
      </c>
      <c r="R905" s="4">
        <f t="shared" si="14"/>
        <v>0.20098755429877158</v>
      </c>
    </row>
    <row r="906" spans="1:18" x14ac:dyDescent="0.25">
      <c r="A906">
        <v>1813</v>
      </c>
      <c r="B906" s="1">
        <v>45592</v>
      </c>
      <c r="C906" t="s">
        <v>242</v>
      </c>
      <c r="D906" t="s">
        <v>25</v>
      </c>
      <c r="E906" t="s">
        <v>53</v>
      </c>
      <c r="F906" t="s">
        <v>34</v>
      </c>
      <c r="G906" t="s">
        <v>35</v>
      </c>
      <c r="H906" t="s">
        <v>49</v>
      </c>
      <c r="I906" t="s">
        <v>50</v>
      </c>
      <c r="J906">
        <v>7</v>
      </c>
      <c r="K906" s="3">
        <v>857.72</v>
      </c>
      <c r="L906" s="2">
        <v>704.19</v>
      </c>
      <c r="M906" s="2">
        <f>Table1[[#This Row],[UnitPrice]]*Table1[[#This Row],[Quantity]]</f>
        <v>6004.04</v>
      </c>
      <c r="N906" s="2">
        <f>Table1[[#This Row],[CostPrice]]*Table1[[#This Row],[Quantity]]</f>
        <v>4929.33</v>
      </c>
      <c r="O906" s="2">
        <v>834.55</v>
      </c>
      <c r="P906" s="4">
        <v>0.04</v>
      </c>
      <c r="Q906" t="s">
        <v>85</v>
      </c>
      <c r="R906" s="4">
        <f t="shared" si="14"/>
        <v>0.13899807462974931</v>
      </c>
    </row>
    <row r="907" spans="1:18" x14ac:dyDescent="0.25">
      <c r="A907">
        <v>1714</v>
      </c>
      <c r="B907" s="1">
        <v>45593</v>
      </c>
      <c r="C907" t="s">
        <v>278</v>
      </c>
      <c r="D907" t="s">
        <v>32</v>
      </c>
      <c r="E907" t="s">
        <v>26</v>
      </c>
      <c r="F907" t="s">
        <v>19</v>
      </c>
      <c r="G907" t="s">
        <v>35</v>
      </c>
      <c r="H907" t="s">
        <v>36</v>
      </c>
      <c r="I907" t="s">
        <v>37</v>
      </c>
      <c r="J907">
        <v>1</v>
      </c>
      <c r="K907" s="3">
        <v>698.98</v>
      </c>
      <c r="L907" s="2">
        <v>507.37</v>
      </c>
      <c r="M907" s="2">
        <f>Table1[[#This Row],[UnitPrice]]*Table1[[#This Row],[Quantity]]</f>
        <v>698.98</v>
      </c>
      <c r="N907" s="2">
        <f>Table1[[#This Row],[CostPrice]]*Table1[[#This Row],[Quantity]]</f>
        <v>507.37</v>
      </c>
      <c r="O907" s="2">
        <v>135.69</v>
      </c>
      <c r="P907" s="4">
        <v>0.08</v>
      </c>
      <c r="Q907" t="s">
        <v>55</v>
      </c>
      <c r="R907" s="4">
        <f t="shared" si="14"/>
        <v>0.19412572605797018</v>
      </c>
    </row>
    <row r="908" spans="1:18" x14ac:dyDescent="0.25">
      <c r="A908">
        <v>1919</v>
      </c>
      <c r="B908" s="1">
        <v>45594</v>
      </c>
      <c r="C908" t="s">
        <v>298</v>
      </c>
      <c r="D908" t="s">
        <v>32</v>
      </c>
      <c r="E908" t="s">
        <v>33</v>
      </c>
      <c r="F908" t="s">
        <v>19</v>
      </c>
      <c r="G908" t="s">
        <v>35</v>
      </c>
      <c r="H908" t="s">
        <v>36</v>
      </c>
      <c r="I908" t="s">
        <v>37</v>
      </c>
      <c r="J908">
        <v>3</v>
      </c>
      <c r="K908" s="3">
        <v>912.31</v>
      </c>
      <c r="L908" s="2">
        <v>464.31</v>
      </c>
      <c r="M908" s="2">
        <f>Table1[[#This Row],[UnitPrice]]*Table1[[#This Row],[Quantity]]</f>
        <v>2736.93</v>
      </c>
      <c r="N908" s="2">
        <f>Table1[[#This Row],[CostPrice]]*Table1[[#This Row],[Quantity]]</f>
        <v>1392.93</v>
      </c>
      <c r="O908" s="2">
        <v>851.35</v>
      </c>
      <c r="P908" s="4">
        <v>0.18</v>
      </c>
      <c r="Q908" t="s">
        <v>85</v>
      </c>
      <c r="R908" s="4">
        <f t="shared" si="14"/>
        <v>0.31106020248965083</v>
      </c>
    </row>
    <row r="909" spans="1:18" x14ac:dyDescent="0.25">
      <c r="A909">
        <v>1163</v>
      </c>
      <c r="B909" s="1">
        <v>45595</v>
      </c>
      <c r="C909" t="s">
        <v>197</v>
      </c>
      <c r="D909" t="s">
        <v>32</v>
      </c>
      <c r="E909" t="s">
        <v>53</v>
      </c>
      <c r="F909" t="s">
        <v>19</v>
      </c>
      <c r="G909" t="s">
        <v>35</v>
      </c>
      <c r="H909" t="s">
        <v>49</v>
      </c>
      <c r="I909" t="s">
        <v>50</v>
      </c>
      <c r="J909">
        <v>1</v>
      </c>
      <c r="K909" s="3">
        <v>908.4</v>
      </c>
      <c r="L909" s="2">
        <v>482.64</v>
      </c>
      <c r="M909" s="2">
        <f>Table1[[#This Row],[UnitPrice]]*Table1[[#This Row],[Quantity]]</f>
        <v>908.4</v>
      </c>
      <c r="N909" s="2">
        <f>Table1[[#This Row],[CostPrice]]*Table1[[#This Row],[Quantity]]</f>
        <v>482.64</v>
      </c>
      <c r="O909" s="2">
        <v>271.33</v>
      </c>
      <c r="P909" s="4">
        <v>0.17</v>
      </c>
      <c r="Q909" t="s">
        <v>38</v>
      </c>
      <c r="R909" s="4">
        <f t="shared" si="14"/>
        <v>0.29869000440334653</v>
      </c>
    </row>
    <row r="910" spans="1:18" x14ac:dyDescent="0.25">
      <c r="A910">
        <v>1444</v>
      </c>
      <c r="B910" s="1">
        <v>45595</v>
      </c>
      <c r="C910" t="s">
        <v>252</v>
      </c>
      <c r="D910" t="s">
        <v>25</v>
      </c>
      <c r="E910" t="s">
        <v>33</v>
      </c>
      <c r="F910" t="s">
        <v>40</v>
      </c>
      <c r="G910" t="s">
        <v>35</v>
      </c>
      <c r="H910" t="s">
        <v>36</v>
      </c>
      <c r="I910" t="s">
        <v>87</v>
      </c>
      <c r="J910">
        <v>2</v>
      </c>
      <c r="K910" s="3">
        <v>419.87</v>
      </c>
      <c r="L910" s="2">
        <v>236.13</v>
      </c>
      <c r="M910" s="2">
        <f>Table1[[#This Row],[UnitPrice]]*Table1[[#This Row],[Quantity]]</f>
        <v>839.74</v>
      </c>
      <c r="N910" s="2">
        <f>Table1[[#This Row],[CostPrice]]*Table1[[#This Row],[Quantity]]</f>
        <v>472.26</v>
      </c>
      <c r="O910" s="2">
        <v>199.53</v>
      </c>
      <c r="P910" s="4">
        <v>0.2</v>
      </c>
      <c r="Q910" t="s">
        <v>125</v>
      </c>
      <c r="R910" s="4">
        <f t="shared" si="14"/>
        <v>0.23760926000905042</v>
      </c>
    </row>
    <row r="911" spans="1:18" x14ac:dyDescent="0.25">
      <c r="A911">
        <v>1271</v>
      </c>
      <c r="B911" s="1">
        <v>45596</v>
      </c>
      <c r="C911" t="s">
        <v>234</v>
      </c>
      <c r="D911" t="s">
        <v>32</v>
      </c>
      <c r="E911" t="s">
        <v>26</v>
      </c>
      <c r="F911" t="s">
        <v>34</v>
      </c>
      <c r="G911" t="s">
        <v>20</v>
      </c>
      <c r="H911" t="s">
        <v>28</v>
      </c>
      <c r="I911" t="s">
        <v>81</v>
      </c>
      <c r="J911">
        <v>4</v>
      </c>
      <c r="K911" s="3">
        <v>412.23</v>
      </c>
      <c r="L911" s="2">
        <v>286.06</v>
      </c>
      <c r="M911" s="2">
        <f>Table1[[#This Row],[UnitPrice]]*Table1[[#This Row],[Quantity]]</f>
        <v>1648.92</v>
      </c>
      <c r="N911" s="2">
        <f>Table1[[#This Row],[CostPrice]]*Table1[[#This Row],[Quantity]]</f>
        <v>1144.24</v>
      </c>
      <c r="O911" s="2">
        <v>42.98</v>
      </c>
      <c r="P911" s="4">
        <v>0.28000000000000003</v>
      </c>
      <c r="Q911" t="s">
        <v>38</v>
      </c>
      <c r="R911" s="4">
        <f t="shared" si="14"/>
        <v>2.60655459330956E-2</v>
      </c>
    </row>
    <row r="912" spans="1:18" x14ac:dyDescent="0.25">
      <c r="A912">
        <v>1302</v>
      </c>
      <c r="B912" s="1">
        <v>45596</v>
      </c>
      <c r="C912" t="s">
        <v>52</v>
      </c>
      <c r="D912" t="s">
        <v>25</v>
      </c>
      <c r="E912" t="s">
        <v>33</v>
      </c>
      <c r="F912" t="s">
        <v>27</v>
      </c>
      <c r="G912" t="s">
        <v>35</v>
      </c>
      <c r="H912" t="s">
        <v>49</v>
      </c>
      <c r="I912" t="s">
        <v>66</v>
      </c>
      <c r="J912">
        <v>9</v>
      </c>
      <c r="K912" s="3">
        <v>256.47000000000003</v>
      </c>
      <c r="L912" s="2">
        <v>191.24</v>
      </c>
      <c r="M912" s="2">
        <f>Table1[[#This Row],[UnitPrice]]*Table1[[#This Row],[Quantity]]</f>
        <v>2308.2300000000005</v>
      </c>
      <c r="N912" s="2">
        <f>Table1[[#This Row],[CostPrice]]*Table1[[#This Row],[Quantity]]</f>
        <v>1721.16</v>
      </c>
      <c r="O912" s="2">
        <v>448.58</v>
      </c>
      <c r="P912" s="4">
        <v>0.06</v>
      </c>
      <c r="Q912" t="s">
        <v>51</v>
      </c>
      <c r="R912" s="4">
        <f t="shared" si="14"/>
        <v>0.19433938558982419</v>
      </c>
    </row>
    <row r="913" spans="1:18" x14ac:dyDescent="0.25">
      <c r="A913">
        <v>1535</v>
      </c>
      <c r="B913" s="1">
        <v>45596</v>
      </c>
      <c r="C913" t="s">
        <v>212</v>
      </c>
      <c r="D913" t="s">
        <v>32</v>
      </c>
      <c r="E913" t="s">
        <v>53</v>
      </c>
      <c r="F913" t="s">
        <v>19</v>
      </c>
      <c r="G913" t="s">
        <v>35</v>
      </c>
      <c r="H913" t="s">
        <v>70</v>
      </c>
      <c r="I913" t="s">
        <v>84</v>
      </c>
      <c r="J913">
        <v>4</v>
      </c>
      <c r="K913" s="3">
        <v>33.299999999999997</v>
      </c>
      <c r="L913" s="2">
        <v>25.56</v>
      </c>
      <c r="M913" s="2">
        <f>Table1[[#This Row],[UnitPrice]]*Table1[[#This Row],[Quantity]]</f>
        <v>133.19999999999999</v>
      </c>
      <c r="N913" s="2">
        <f>Table1[[#This Row],[CostPrice]]*Table1[[#This Row],[Quantity]]</f>
        <v>102.24</v>
      </c>
      <c r="O913" s="2">
        <v>10.98</v>
      </c>
      <c r="P913" s="4">
        <v>0.15</v>
      </c>
      <c r="Q913" t="s">
        <v>44</v>
      </c>
      <c r="R913" s="4">
        <f t="shared" si="14"/>
        <v>8.2432432432432437E-2</v>
      </c>
    </row>
    <row r="914" spans="1:18" x14ac:dyDescent="0.25">
      <c r="A914">
        <v>1730</v>
      </c>
      <c r="B914" s="1">
        <v>45596</v>
      </c>
      <c r="C914" t="s">
        <v>172</v>
      </c>
      <c r="D914" t="s">
        <v>17</v>
      </c>
      <c r="E914" t="s">
        <v>53</v>
      </c>
      <c r="F914" t="s">
        <v>19</v>
      </c>
      <c r="G914" t="s">
        <v>20</v>
      </c>
      <c r="H914" t="s">
        <v>28</v>
      </c>
      <c r="I914" t="s">
        <v>90</v>
      </c>
      <c r="J914">
        <v>5</v>
      </c>
      <c r="K914" s="3">
        <v>92.24</v>
      </c>
      <c r="L914" s="2">
        <v>49</v>
      </c>
      <c r="M914" s="2">
        <f>Table1[[#This Row],[UnitPrice]]*Table1[[#This Row],[Quantity]]</f>
        <v>461.2</v>
      </c>
      <c r="N914" s="2">
        <f>Table1[[#This Row],[CostPrice]]*Table1[[#This Row],[Quantity]]</f>
        <v>245</v>
      </c>
      <c r="O914" s="2">
        <v>114.74</v>
      </c>
      <c r="P914" s="4">
        <v>0.22</v>
      </c>
      <c r="Q914" t="s">
        <v>23</v>
      </c>
      <c r="R914" s="4">
        <f t="shared" si="14"/>
        <v>0.24878577623590634</v>
      </c>
    </row>
    <row r="915" spans="1:18" x14ac:dyDescent="0.25">
      <c r="A915">
        <v>1088</v>
      </c>
      <c r="B915" s="1">
        <v>45302</v>
      </c>
      <c r="C915" t="s">
        <v>152</v>
      </c>
      <c r="D915" t="s">
        <v>32</v>
      </c>
      <c r="E915" t="s">
        <v>53</v>
      </c>
      <c r="F915" t="s">
        <v>40</v>
      </c>
      <c r="G915" t="s">
        <v>20</v>
      </c>
      <c r="H915" t="s">
        <v>113</v>
      </c>
      <c r="I915" t="s">
        <v>153</v>
      </c>
      <c r="J915">
        <v>4</v>
      </c>
      <c r="K915" s="3">
        <v>446.17</v>
      </c>
      <c r="L915" s="2">
        <v>371.52</v>
      </c>
      <c r="M915" s="2">
        <f>Table1[[#This Row],[UnitPrice]]*Table1[[#This Row],[Quantity]]</f>
        <v>1784.68</v>
      </c>
      <c r="N915" s="2">
        <f>Table1[[#This Row],[CostPrice]]*Table1[[#This Row],[Quantity]]</f>
        <v>1486.08</v>
      </c>
      <c r="O915" s="2">
        <v>-165.42</v>
      </c>
      <c r="P915" s="4">
        <v>0.26</v>
      </c>
      <c r="Q915" t="s">
        <v>44</v>
      </c>
      <c r="R915" s="4">
        <f t="shared" si="14"/>
        <v>-9.2688885402425078E-2</v>
      </c>
    </row>
    <row r="916" spans="1:18" x14ac:dyDescent="0.25">
      <c r="A916">
        <v>1294</v>
      </c>
      <c r="B916" s="1">
        <v>45302</v>
      </c>
      <c r="C916" t="s">
        <v>126</v>
      </c>
      <c r="D916" t="s">
        <v>32</v>
      </c>
      <c r="E916" t="s">
        <v>26</v>
      </c>
      <c r="F916" t="s">
        <v>40</v>
      </c>
      <c r="G916" t="s">
        <v>35</v>
      </c>
      <c r="H916" t="s">
        <v>49</v>
      </c>
      <c r="I916" t="s">
        <v>50</v>
      </c>
      <c r="J916">
        <v>5</v>
      </c>
      <c r="K916" s="3">
        <v>587.64</v>
      </c>
      <c r="L916" s="2">
        <v>389.2</v>
      </c>
      <c r="M916" s="2">
        <f>Table1[[#This Row],[UnitPrice]]*Table1[[#This Row],[Quantity]]</f>
        <v>2938.2</v>
      </c>
      <c r="N916" s="2">
        <f>Table1[[#This Row],[CostPrice]]*Table1[[#This Row],[Quantity]]</f>
        <v>1946</v>
      </c>
      <c r="O916" s="2">
        <v>874.67</v>
      </c>
      <c r="P916" s="4">
        <v>0.04</v>
      </c>
      <c r="Q916" t="s">
        <v>51</v>
      </c>
      <c r="R916" s="4">
        <f t="shared" si="14"/>
        <v>0.29768906133006601</v>
      </c>
    </row>
    <row r="917" spans="1:18" x14ac:dyDescent="0.25">
      <c r="A917">
        <v>1775</v>
      </c>
      <c r="B917" s="1">
        <v>45302</v>
      </c>
      <c r="C917" t="s">
        <v>241</v>
      </c>
      <c r="D917" t="s">
        <v>25</v>
      </c>
      <c r="E917" t="s">
        <v>53</v>
      </c>
      <c r="F917" t="s">
        <v>34</v>
      </c>
      <c r="G917" t="s">
        <v>20</v>
      </c>
      <c r="H917" t="s">
        <v>113</v>
      </c>
      <c r="I917" t="s">
        <v>161</v>
      </c>
      <c r="J917">
        <v>6</v>
      </c>
      <c r="K917" s="3">
        <v>304.97000000000003</v>
      </c>
      <c r="L917" s="2">
        <v>203.1</v>
      </c>
      <c r="M917" s="2">
        <f>Table1[[#This Row],[UnitPrice]]*Table1[[#This Row],[Quantity]]</f>
        <v>1829.8200000000002</v>
      </c>
      <c r="N917" s="2">
        <f>Table1[[#This Row],[CostPrice]]*Table1[[#This Row],[Quantity]]</f>
        <v>1218.5999999999999</v>
      </c>
      <c r="O917" s="2">
        <v>190.36</v>
      </c>
      <c r="P917" s="4">
        <v>0.23</v>
      </c>
      <c r="Q917" t="s">
        <v>38</v>
      </c>
      <c r="R917" s="4">
        <f t="shared" si="14"/>
        <v>0.10403209058814528</v>
      </c>
    </row>
    <row r="918" spans="1:18" x14ac:dyDescent="0.25">
      <c r="A918">
        <v>1972</v>
      </c>
      <c r="B918" s="1">
        <v>45302</v>
      </c>
      <c r="C918" t="s">
        <v>130</v>
      </c>
      <c r="D918" t="s">
        <v>25</v>
      </c>
      <c r="E918" t="s">
        <v>18</v>
      </c>
      <c r="F918" t="s">
        <v>40</v>
      </c>
      <c r="G918" t="s">
        <v>41</v>
      </c>
      <c r="H918" t="s">
        <v>42</v>
      </c>
      <c r="I918" t="s">
        <v>43</v>
      </c>
      <c r="J918">
        <v>6</v>
      </c>
      <c r="K918" s="3">
        <v>518.76</v>
      </c>
      <c r="L918" s="2">
        <v>430.15</v>
      </c>
      <c r="M918" s="2">
        <f>Table1[[#This Row],[UnitPrice]]*Table1[[#This Row],[Quantity]]</f>
        <v>3112.56</v>
      </c>
      <c r="N918" s="2">
        <f>Table1[[#This Row],[CostPrice]]*Table1[[#This Row],[Quantity]]</f>
        <v>2580.8999999999996</v>
      </c>
      <c r="O918" s="2">
        <v>158.15</v>
      </c>
      <c r="P918" s="4">
        <v>0.12</v>
      </c>
      <c r="Q918" t="s">
        <v>51</v>
      </c>
      <c r="R918" s="4">
        <f t="shared" si="14"/>
        <v>5.0810265504921993E-2</v>
      </c>
    </row>
    <row r="919" spans="1:18" x14ac:dyDescent="0.25">
      <c r="A919">
        <v>1430</v>
      </c>
      <c r="B919" s="1">
        <v>45333</v>
      </c>
      <c r="C919" t="s">
        <v>269</v>
      </c>
      <c r="D919" t="s">
        <v>25</v>
      </c>
      <c r="E919" t="s">
        <v>18</v>
      </c>
      <c r="F919" t="s">
        <v>34</v>
      </c>
      <c r="G919" t="s">
        <v>41</v>
      </c>
      <c r="H919" t="s">
        <v>63</v>
      </c>
      <c r="I919" t="s">
        <v>64</v>
      </c>
      <c r="J919">
        <v>2</v>
      </c>
      <c r="K919" s="3">
        <v>188.21</v>
      </c>
      <c r="L919" s="2">
        <v>149.41</v>
      </c>
      <c r="M919" s="2">
        <f>Table1[[#This Row],[UnitPrice]]*Table1[[#This Row],[Quantity]]</f>
        <v>376.42</v>
      </c>
      <c r="N919" s="2">
        <f>Table1[[#This Row],[CostPrice]]*Table1[[#This Row],[Quantity]]</f>
        <v>298.82</v>
      </c>
      <c r="O919" s="2">
        <v>62.54</v>
      </c>
      <c r="P919" s="4">
        <v>0.04</v>
      </c>
      <c r="Q919" t="s">
        <v>51</v>
      </c>
      <c r="R919" s="4">
        <f t="shared" si="14"/>
        <v>0.16614420062695923</v>
      </c>
    </row>
    <row r="920" spans="1:18" x14ac:dyDescent="0.25">
      <c r="A920">
        <v>1128</v>
      </c>
      <c r="B920" s="1">
        <v>45362</v>
      </c>
      <c r="C920" t="s">
        <v>150</v>
      </c>
      <c r="D920" t="s">
        <v>17</v>
      </c>
      <c r="E920" t="s">
        <v>18</v>
      </c>
      <c r="F920" t="s">
        <v>19</v>
      </c>
      <c r="G920" t="s">
        <v>20</v>
      </c>
      <c r="H920" t="s">
        <v>28</v>
      </c>
      <c r="I920" t="s">
        <v>29</v>
      </c>
      <c r="J920">
        <v>3</v>
      </c>
      <c r="K920" s="3">
        <v>831.23</v>
      </c>
      <c r="L920" s="2">
        <v>614.80999999999995</v>
      </c>
      <c r="M920" s="2">
        <f>Table1[[#This Row],[UnitPrice]]*Table1[[#This Row],[Quantity]]</f>
        <v>2493.69</v>
      </c>
      <c r="N920" s="2">
        <f>Table1[[#This Row],[CostPrice]]*Table1[[#This Row],[Quantity]]</f>
        <v>1844.4299999999998</v>
      </c>
      <c r="O920" s="2">
        <v>-73.91</v>
      </c>
      <c r="P920" s="4">
        <v>0.28999999999999998</v>
      </c>
      <c r="Q920" t="s">
        <v>55</v>
      </c>
      <c r="R920" s="4">
        <f t="shared" si="14"/>
        <v>-2.9638808352281155E-2</v>
      </c>
    </row>
    <row r="921" spans="1:18" x14ac:dyDescent="0.25">
      <c r="A921">
        <v>1293</v>
      </c>
      <c r="B921" s="1">
        <v>45393</v>
      </c>
      <c r="C921" t="s">
        <v>186</v>
      </c>
      <c r="D921" t="s">
        <v>25</v>
      </c>
      <c r="E921" t="s">
        <v>18</v>
      </c>
      <c r="F921" t="s">
        <v>34</v>
      </c>
      <c r="G921" t="s">
        <v>35</v>
      </c>
      <c r="H921" t="s">
        <v>36</v>
      </c>
      <c r="I921" t="s">
        <v>100</v>
      </c>
      <c r="J921">
        <v>5</v>
      </c>
      <c r="K921" s="3">
        <v>726.56</v>
      </c>
      <c r="L921" s="2">
        <v>505.44</v>
      </c>
      <c r="M921" s="2">
        <f>Table1[[#This Row],[UnitPrice]]*Table1[[#This Row],[Quantity]]</f>
        <v>3632.7999999999997</v>
      </c>
      <c r="N921" s="2">
        <f>Table1[[#This Row],[CostPrice]]*Table1[[#This Row],[Quantity]]</f>
        <v>2527.1999999999998</v>
      </c>
      <c r="O921" s="2">
        <v>124.74</v>
      </c>
      <c r="P921" s="4">
        <v>0.27</v>
      </c>
      <c r="Q921" t="s">
        <v>85</v>
      </c>
      <c r="R921" s="4">
        <f t="shared" si="14"/>
        <v>3.433715040739925E-2</v>
      </c>
    </row>
    <row r="922" spans="1:18" x14ac:dyDescent="0.25">
      <c r="A922">
        <v>1235</v>
      </c>
      <c r="B922" s="1">
        <v>45423</v>
      </c>
      <c r="C922" t="s">
        <v>146</v>
      </c>
      <c r="D922" t="s">
        <v>25</v>
      </c>
      <c r="E922" t="s">
        <v>26</v>
      </c>
      <c r="F922" t="s">
        <v>27</v>
      </c>
      <c r="G922" t="s">
        <v>35</v>
      </c>
      <c r="H922" t="s">
        <v>70</v>
      </c>
      <c r="I922" t="s">
        <v>98</v>
      </c>
      <c r="J922">
        <v>4</v>
      </c>
      <c r="K922" s="3">
        <v>497.41</v>
      </c>
      <c r="L922" s="2">
        <v>268.33</v>
      </c>
      <c r="M922" s="2">
        <f>Table1[[#This Row],[UnitPrice]]*Table1[[#This Row],[Quantity]]</f>
        <v>1989.64</v>
      </c>
      <c r="N922" s="2">
        <f>Table1[[#This Row],[CostPrice]]*Table1[[#This Row],[Quantity]]</f>
        <v>1073.32</v>
      </c>
      <c r="O922" s="2">
        <v>617.87</v>
      </c>
      <c r="P922" s="4">
        <v>0.15</v>
      </c>
      <c r="Q922" t="s">
        <v>125</v>
      </c>
      <c r="R922" s="4">
        <f t="shared" si="14"/>
        <v>0.3105436159305201</v>
      </c>
    </row>
    <row r="923" spans="1:18" x14ac:dyDescent="0.25">
      <c r="A923">
        <v>1726</v>
      </c>
      <c r="B923" s="1">
        <v>45423</v>
      </c>
      <c r="C923" t="s">
        <v>94</v>
      </c>
      <c r="D923" t="s">
        <v>25</v>
      </c>
      <c r="E923" t="s">
        <v>53</v>
      </c>
      <c r="F923" t="s">
        <v>40</v>
      </c>
      <c r="G923" t="s">
        <v>41</v>
      </c>
      <c r="H923" t="s">
        <v>42</v>
      </c>
      <c r="I923" t="s">
        <v>43</v>
      </c>
      <c r="J923">
        <v>3</v>
      </c>
      <c r="K923" s="3">
        <v>870.51</v>
      </c>
      <c r="L923" s="2">
        <v>702.22</v>
      </c>
      <c r="M923" s="2">
        <f>Table1[[#This Row],[UnitPrice]]*Table1[[#This Row],[Quantity]]</f>
        <v>2611.5299999999997</v>
      </c>
      <c r="N923" s="2">
        <f>Table1[[#This Row],[CostPrice]]*Table1[[#This Row],[Quantity]]</f>
        <v>2106.66</v>
      </c>
      <c r="O923" s="2">
        <v>-121.9</v>
      </c>
      <c r="P923" s="4">
        <v>0.24</v>
      </c>
      <c r="Q923" t="s">
        <v>38</v>
      </c>
      <c r="R923" s="4">
        <f t="shared" si="14"/>
        <v>-4.6677618101266312E-2</v>
      </c>
    </row>
    <row r="924" spans="1:18" x14ac:dyDescent="0.25">
      <c r="A924">
        <v>1888</v>
      </c>
      <c r="B924" s="1">
        <v>45423</v>
      </c>
      <c r="C924" t="s">
        <v>88</v>
      </c>
      <c r="D924" t="s">
        <v>25</v>
      </c>
      <c r="E924" t="s">
        <v>18</v>
      </c>
      <c r="F924" t="s">
        <v>40</v>
      </c>
      <c r="G924" t="s">
        <v>41</v>
      </c>
      <c r="H924" t="s">
        <v>63</v>
      </c>
      <c r="I924" t="s">
        <v>117</v>
      </c>
      <c r="J924">
        <v>2</v>
      </c>
      <c r="K924" s="3">
        <v>49.7</v>
      </c>
      <c r="L924" s="2">
        <v>39.67</v>
      </c>
      <c r="M924" s="2">
        <f>Table1[[#This Row],[UnitPrice]]*Table1[[#This Row],[Quantity]]</f>
        <v>99.4</v>
      </c>
      <c r="N924" s="2">
        <f>Table1[[#This Row],[CostPrice]]*Table1[[#This Row],[Quantity]]</f>
        <v>79.34</v>
      </c>
      <c r="O924" s="2">
        <v>15.09</v>
      </c>
      <c r="P924" s="4">
        <v>0.05</v>
      </c>
      <c r="Q924" t="s">
        <v>44</v>
      </c>
      <c r="R924" s="4">
        <f t="shared" si="14"/>
        <v>0.15181086519114687</v>
      </c>
    </row>
    <row r="925" spans="1:18" x14ac:dyDescent="0.25">
      <c r="A925">
        <v>1274</v>
      </c>
      <c r="B925" s="1">
        <v>45484</v>
      </c>
      <c r="C925" t="s">
        <v>116</v>
      </c>
      <c r="D925" t="s">
        <v>17</v>
      </c>
      <c r="E925" t="s">
        <v>53</v>
      </c>
      <c r="F925" t="s">
        <v>19</v>
      </c>
      <c r="G925" t="s">
        <v>35</v>
      </c>
      <c r="H925" t="s">
        <v>49</v>
      </c>
      <c r="I925" t="s">
        <v>50</v>
      </c>
      <c r="J925">
        <v>3</v>
      </c>
      <c r="K925" s="3">
        <v>448.55</v>
      </c>
      <c r="L925" s="2">
        <v>265.61</v>
      </c>
      <c r="M925" s="2">
        <f>Table1[[#This Row],[UnitPrice]]*Table1[[#This Row],[Quantity]]</f>
        <v>1345.65</v>
      </c>
      <c r="N925" s="2">
        <f>Table1[[#This Row],[CostPrice]]*Table1[[#This Row],[Quantity]]</f>
        <v>796.83</v>
      </c>
      <c r="O925" s="2">
        <v>360.43</v>
      </c>
      <c r="P925" s="4">
        <v>0.14000000000000001</v>
      </c>
      <c r="Q925" t="s">
        <v>23</v>
      </c>
      <c r="R925" s="4">
        <f t="shared" si="14"/>
        <v>0.26784825177423549</v>
      </c>
    </row>
    <row r="926" spans="1:18" x14ac:dyDescent="0.25">
      <c r="A926">
        <v>1445</v>
      </c>
      <c r="B926" s="1">
        <v>45484</v>
      </c>
      <c r="C926" t="s">
        <v>99</v>
      </c>
      <c r="D926" t="s">
        <v>17</v>
      </c>
      <c r="E926" t="s">
        <v>26</v>
      </c>
      <c r="F926" t="s">
        <v>27</v>
      </c>
      <c r="G926" t="s">
        <v>41</v>
      </c>
      <c r="H926" t="s">
        <v>63</v>
      </c>
      <c r="I926" t="s">
        <v>117</v>
      </c>
      <c r="J926">
        <v>1</v>
      </c>
      <c r="K926" s="3">
        <v>97.66</v>
      </c>
      <c r="L926" s="2">
        <v>59.06</v>
      </c>
      <c r="M926" s="2">
        <f>Table1[[#This Row],[UnitPrice]]*Table1[[#This Row],[Quantity]]</f>
        <v>97.66</v>
      </c>
      <c r="N926" s="2">
        <f>Table1[[#This Row],[CostPrice]]*Table1[[#This Row],[Quantity]]</f>
        <v>59.06</v>
      </c>
      <c r="O926" s="2">
        <v>27.86</v>
      </c>
      <c r="P926" s="4">
        <v>0.11</v>
      </c>
      <c r="Q926" t="s">
        <v>75</v>
      </c>
      <c r="R926" s="4">
        <f t="shared" si="14"/>
        <v>0.28527544542289579</v>
      </c>
    </row>
    <row r="927" spans="1:18" x14ac:dyDescent="0.25">
      <c r="A927">
        <v>1330</v>
      </c>
      <c r="B927" s="1">
        <v>45515</v>
      </c>
      <c r="C927" t="s">
        <v>76</v>
      </c>
      <c r="D927" t="s">
        <v>17</v>
      </c>
      <c r="E927" t="s">
        <v>18</v>
      </c>
      <c r="F927" t="s">
        <v>34</v>
      </c>
      <c r="G927" t="s">
        <v>41</v>
      </c>
      <c r="H927" t="s">
        <v>46</v>
      </c>
      <c r="I927" t="s">
        <v>102</v>
      </c>
      <c r="J927">
        <v>4</v>
      </c>
      <c r="K927" s="3">
        <v>957.2</v>
      </c>
      <c r="L927" s="2">
        <v>653.01</v>
      </c>
      <c r="M927" s="2">
        <f>Table1[[#This Row],[UnitPrice]]*Table1[[#This Row],[Quantity]]</f>
        <v>3828.8</v>
      </c>
      <c r="N927" s="2">
        <f>Table1[[#This Row],[CostPrice]]*Table1[[#This Row],[Quantity]]</f>
        <v>2612.04</v>
      </c>
      <c r="O927" s="2">
        <v>297.85000000000002</v>
      </c>
      <c r="P927" s="4">
        <v>0.24</v>
      </c>
      <c r="Q927" t="s">
        <v>92</v>
      </c>
      <c r="R927" s="4">
        <f t="shared" si="14"/>
        <v>7.7791997492687004E-2</v>
      </c>
    </row>
    <row r="928" spans="1:18" x14ac:dyDescent="0.25">
      <c r="A928">
        <v>1355</v>
      </c>
      <c r="B928" s="1">
        <v>45515</v>
      </c>
      <c r="C928" t="s">
        <v>257</v>
      </c>
      <c r="D928" t="s">
        <v>25</v>
      </c>
      <c r="E928" t="s">
        <v>26</v>
      </c>
      <c r="F928" t="s">
        <v>27</v>
      </c>
      <c r="G928" t="s">
        <v>41</v>
      </c>
      <c r="H928" t="s">
        <v>46</v>
      </c>
      <c r="I928" t="s">
        <v>57</v>
      </c>
      <c r="J928">
        <v>3</v>
      </c>
      <c r="K928" s="3">
        <v>223.27</v>
      </c>
      <c r="L928" s="2">
        <v>143.72999999999999</v>
      </c>
      <c r="M928" s="2">
        <f>Table1[[#This Row],[UnitPrice]]*Table1[[#This Row],[Quantity]]</f>
        <v>669.81000000000006</v>
      </c>
      <c r="N928" s="2">
        <f>Table1[[#This Row],[CostPrice]]*Table1[[#This Row],[Quantity]]</f>
        <v>431.18999999999994</v>
      </c>
      <c r="O928" s="2">
        <v>211.83</v>
      </c>
      <c r="P928" s="4">
        <v>0.04</v>
      </c>
      <c r="Q928" t="s">
        <v>125</v>
      </c>
      <c r="R928" s="4">
        <f t="shared" si="14"/>
        <v>0.31625386303578623</v>
      </c>
    </row>
    <row r="929" spans="1:18" x14ac:dyDescent="0.25">
      <c r="A929">
        <v>1759</v>
      </c>
      <c r="B929" s="1">
        <v>45515</v>
      </c>
      <c r="C929" t="s">
        <v>238</v>
      </c>
      <c r="D929" t="s">
        <v>17</v>
      </c>
      <c r="E929" t="s">
        <v>33</v>
      </c>
      <c r="F929" t="s">
        <v>27</v>
      </c>
      <c r="G929" t="s">
        <v>20</v>
      </c>
      <c r="H929" t="s">
        <v>113</v>
      </c>
      <c r="I929" t="s">
        <v>161</v>
      </c>
      <c r="J929">
        <v>4</v>
      </c>
      <c r="K929" s="3">
        <v>178.94</v>
      </c>
      <c r="L929" s="2">
        <v>112.46</v>
      </c>
      <c r="M929" s="2">
        <f>Table1[[#This Row],[UnitPrice]]*Table1[[#This Row],[Quantity]]</f>
        <v>715.76</v>
      </c>
      <c r="N929" s="2">
        <f>Table1[[#This Row],[CostPrice]]*Table1[[#This Row],[Quantity]]</f>
        <v>449.84</v>
      </c>
      <c r="O929" s="2">
        <v>237.29</v>
      </c>
      <c r="P929" s="4">
        <v>0.04</v>
      </c>
      <c r="Q929" t="s">
        <v>85</v>
      </c>
      <c r="R929" s="4">
        <f t="shared" si="14"/>
        <v>0.33152173913043476</v>
      </c>
    </row>
    <row r="930" spans="1:18" x14ac:dyDescent="0.25">
      <c r="A930">
        <v>1472</v>
      </c>
      <c r="B930" s="1">
        <v>45546</v>
      </c>
      <c r="C930" t="s">
        <v>217</v>
      </c>
      <c r="D930" t="s">
        <v>25</v>
      </c>
      <c r="E930" t="s">
        <v>26</v>
      </c>
      <c r="F930" t="s">
        <v>27</v>
      </c>
      <c r="G930" t="s">
        <v>35</v>
      </c>
      <c r="H930" t="s">
        <v>49</v>
      </c>
      <c r="I930" t="s">
        <v>66</v>
      </c>
      <c r="J930">
        <v>5</v>
      </c>
      <c r="K930" s="3">
        <v>997.47</v>
      </c>
      <c r="L930" s="2">
        <v>732.66</v>
      </c>
      <c r="M930" s="2">
        <f>Table1[[#This Row],[UnitPrice]]*Table1[[#This Row],[Quantity]]</f>
        <v>4987.3500000000004</v>
      </c>
      <c r="N930" s="2">
        <f>Table1[[#This Row],[CostPrice]]*Table1[[#This Row],[Quantity]]</f>
        <v>3663.2999999999997</v>
      </c>
      <c r="O930" s="2">
        <v>1124.56</v>
      </c>
      <c r="P930" s="4">
        <v>0.04</v>
      </c>
      <c r="Q930" t="s">
        <v>44</v>
      </c>
      <c r="R930" s="4">
        <f t="shared" si="14"/>
        <v>0.22548247065074636</v>
      </c>
    </row>
    <row r="931" spans="1:18" x14ac:dyDescent="0.25">
      <c r="A931">
        <v>1889</v>
      </c>
      <c r="B931" s="1">
        <v>45637</v>
      </c>
      <c r="C931" t="s">
        <v>266</v>
      </c>
      <c r="D931" t="s">
        <v>17</v>
      </c>
      <c r="E931" t="s">
        <v>53</v>
      </c>
      <c r="F931" t="s">
        <v>40</v>
      </c>
      <c r="G931" t="s">
        <v>20</v>
      </c>
      <c r="H931" t="s">
        <v>113</v>
      </c>
      <c r="I931" t="s">
        <v>114</v>
      </c>
      <c r="J931">
        <v>2</v>
      </c>
      <c r="K931" s="3">
        <v>900.3</v>
      </c>
      <c r="L931" s="2">
        <v>504.98</v>
      </c>
      <c r="M931" s="2">
        <f>Table1[[#This Row],[UnitPrice]]*Table1[[#This Row],[Quantity]]</f>
        <v>1800.6</v>
      </c>
      <c r="N931" s="2">
        <f>Table1[[#This Row],[CostPrice]]*Table1[[#This Row],[Quantity]]</f>
        <v>1009.96</v>
      </c>
      <c r="O931" s="2">
        <v>304.48</v>
      </c>
      <c r="P931" s="4">
        <v>0.27</v>
      </c>
      <c r="Q931" t="s">
        <v>75</v>
      </c>
      <c r="R931" s="4">
        <f t="shared" si="14"/>
        <v>0.16909918915916919</v>
      </c>
    </row>
    <row r="932" spans="1:18" x14ac:dyDescent="0.25">
      <c r="A932">
        <v>1987</v>
      </c>
      <c r="B932" s="1">
        <v>45611</v>
      </c>
      <c r="C932" t="s">
        <v>147</v>
      </c>
      <c r="D932" t="s">
        <v>32</v>
      </c>
      <c r="E932" t="s">
        <v>26</v>
      </c>
      <c r="F932" t="s">
        <v>34</v>
      </c>
      <c r="G932" t="s">
        <v>35</v>
      </c>
      <c r="H932" t="s">
        <v>36</v>
      </c>
      <c r="I932" t="s">
        <v>37</v>
      </c>
      <c r="J932">
        <v>3</v>
      </c>
      <c r="K932" s="3">
        <v>402.88</v>
      </c>
      <c r="L932" s="2">
        <v>247.57</v>
      </c>
      <c r="M932" s="2">
        <f>Table1[[#This Row],[UnitPrice]]*Table1[[#This Row],[Quantity]]</f>
        <v>1208.6399999999999</v>
      </c>
      <c r="N932" s="2">
        <f>Table1[[#This Row],[CostPrice]]*Table1[[#This Row],[Quantity]]</f>
        <v>742.71</v>
      </c>
      <c r="O932" s="2">
        <v>369.24</v>
      </c>
      <c r="P932" s="4">
        <v>0.08</v>
      </c>
      <c r="Q932" t="s">
        <v>75</v>
      </c>
      <c r="R932" s="4">
        <f t="shared" si="14"/>
        <v>0.3055003971405878</v>
      </c>
    </row>
    <row r="933" spans="1:18" x14ac:dyDescent="0.25">
      <c r="A933">
        <v>1029</v>
      </c>
      <c r="B933" s="1">
        <v>45612</v>
      </c>
      <c r="C933" t="s">
        <v>94</v>
      </c>
      <c r="D933" t="s">
        <v>25</v>
      </c>
      <c r="E933" t="s">
        <v>18</v>
      </c>
      <c r="F933" t="s">
        <v>19</v>
      </c>
      <c r="G933" t="s">
        <v>41</v>
      </c>
      <c r="H933" t="s">
        <v>42</v>
      </c>
      <c r="I933" t="s">
        <v>68</v>
      </c>
      <c r="J933">
        <v>1</v>
      </c>
      <c r="K933" s="3">
        <v>859.3</v>
      </c>
      <c r="L933" s="2">
        <v>496.55</v>
      </c>
      <c r="M933" s="2">
        <f>Table1[[#This Row],[UnitPrice]]*Table1[[#This Row],[Quantity]]</f>
        <v>859.3</v>
      </c>
      <c r="N933" s="2">
        <f>Table1[[#This Row],[CostPrice]]*Table1[[#This Row],[Quantity]]</f>
        <v>496.55</v>
      </c>
      <c r="O933" s="2">
        <v>156.52000000000001</v>
      </c>
      <c r="P933" s="4">
        <v>0.24</v>
      </c>
      <c r="Q933" t="s">
        <v>55</v>
      </c>
      <c r="R933" s="4">
        <f t="shared" si="14"/>
        <v>0.18214826021180033</v>
      </c>
    </row>
    <row r="934" spans="1:18" x14ac:dyDescent="0.25">
      <c r="A934">
        <v>1816</v>
      </c>
      <c r="B934" s="1">
        <v>45612</v>
      </c>
      <c r="C934" t="s">
        <v>210</v>
      </c>
      <c r="D934" t="s">
        <v>32</v>
      </c>
      <c r="E934" t="s">
        <v>53</v>
      </c>
      <c r="F934" t="s">
        <v>27</v>
      </c>
      <c r="G934" t="s">
        <v>20</v>
      </c>
      <c r="H934" t="s">
        <v>21</v>
      </c>
      <c r="I934" t="s">
        <v>132</v>
      </c>
      <c r="J934">
        <v>2</v>
      </c>
      <c r="K934" s="3">
        <v>917.87</v>
      </c>
      <c r="L934" s="2">
        <v>755.29</v>
      </c>
      <c r="M934" s="2">
        <f>Table1[[#This Row],[UnitPrice]]*Table1[[#This Row],[Quantity]]</f>
        <v>1835.74</v>
      </c>
      <c r="N934" s="2">
        <f>Table1[[#This Row],[CostPrice]]*Table1[[#This Row],[Quantity]]</f>
        <v>1510.58</v>
      </c>
      <c r="O934" s="2">
        <v>-97.06</v>
      </c>
      <c r="P934" s="4">
        <v>0.23</v>
      </c>
      <c r="Q934" t="s">
        <v>23</v>
      </c>
      <c r="R934" s="4">
        <f t="shared" si="14"/>
        <v>-5.2872411125758551E-2</v>
      </c>
    </row>
    <row r="935" spans="1:18" x14ac:dyDescent="0.25">
      <c r="A935">
        <v>1587</v>
      </c>
      <c r="B935" s="1">
        <v>45613</v>
      </c>
      <c r="C935" t="s">
        <v>162</v>
      </c>
      <c r="D935" t="s">
        <v>17</v>
      </c>
      <c r="E935" t="s">
        <v>33</v>
      </c>
      <c r="F935" t="s">
        <v>34</v>
      </c>
      <c r="G935" t="s">
        <v>35</v>
      </c>
      <c r="H935" t="s">
        <v>70</v>
      </c>
      <c r="I935" t="s">
        <v>84</v>
      </c>
      <c r="J935">
        <v>7</v>
      </c>
      <c r="K935" s="3">
        <v>305.99</v>
      </c>
      <c r="L935" s="2">
        <v>195.27</v>
      </c>
      <c r="M935" s="2">
        <f>Table1[[#This Row],[UnitPrice]]*Table1[[#This Row],[Quantity]]</f>
        <v>2141.9300000000003</v>
      </c>
      <c r="N935" s="2">
        <f>Table1[[#This Row],[CostPrice]]*Table1[[#This Row],[Quantity]]</f>
        <v>1366.89</v>
      </c>
      <c r="O935" s="2">
        <v>539.42999999999995</v>
      </c>
      <c r="P935" s="4">
        <v>0.11</v>
      </c>
      <c r="Q935" t="s">
        <v>38</v>
      </c>
      <c r="R935" s="4">
        <f t="shared" si="14"/>
        <v>0.25184296405578144</v>
      </c>
    </row>
    <row r="936" spans="1:18" x14ac:dyDescent="0.25">
      <c r="A936">
        <v>1696</v>
      </c>
      <c r="B936" s="1">
        <v>45614</v>
      </c>
      <c r="C936" t="s">
        <v>200</v>
      </c>
      <c r="D936" t="s">
        <v>17</v>
      </c>
      <c r="E936" t="s">
        <v>18</v>
      </c>
      <c r="F936" t="s">
        <v>19</v>
      </c>
      <c r="G936" t="s">
        <v>35</v>
      </c>
      <c r="H936" t="s">
        <v>49</v>
      </c>
      <c r="I936" t="s">
        <v>66</v>
      </c>
      <c r="J936">
        <v>4</v>
      </c>
      <c r="K936" s="3">
        <v>715.84</v>
      </c>
      <c r="L936" s="2">
        <v>581.58000000000004</v>
      </c>
      <c r="M936" s="2">
        <f>Table1[[#This Row],[UnitPrice]]*Table1[[#This Row],[Quantity]]</f>
        <v>2863.36</v>
      </c>
      <c r="N936" s="2">
        <f>Table1[[#This Row],[CostPrice]]*Table1[[#This Row],[Quantity]]</f>
        <v>2326.3200000000002</v>
      </c>
      <c r="O936" s="2">
        <v>78.900000000000006</v>
      </c>
      <c r="P936" s="4">
        <v>0.16</v>
      </c>
      <c r="Q936" t="s">
        <v>55</v>
      </c>
      <c r="R936" s="4">
        <f t="shared" si="14"/>
        <v>2.755504023245418E-2</v>
      </c>
    </row>
    <row r="937" spans="1:18" x14ac:dyDescent="0.25">
      <c r="A937">
        <v>1323</v>
      </c>
      <c r="B937" s="1">
        <v>45615</v>
      </c>
      <c r="C937" t="s">
        <v>73</v>
      </c>
      <c r="D937" t="s">
        <v>17</v>
      </c>
      <c r="E937" t="s">
        <v>26</v>
      </c>
      <c r="F937" t="s">
        <v>40</v>
      </c>
      <c r="G937" t="s">
        <v>41</v>
      </c>
      <c r="H937" t="s">
        <v>42</v>
      </c>
      <c r="I937" t="s">
        <v>68</v>
      </c>
      <c r="J937">
        <v>9</v>
      </c>
      <c r="K937" s="3">
        <v>482.97</v>
      </c>
      <c r="L937" s="2">
        <v>337.95</v>
      </c>
      <c r="M937" s="2">
        <f>Table1[[#This Row],[UnitPrice]]*Table1[[#This Row],[Quantity]]</f>
        <v>4346.7300000000005</v>
      </c>
      <c r="N937" s="2">
        <f>Table1[[#This Row],[CostPrice]]*Table1[[#This Row],[Quantity]]</f>
        <v>3041.5499999999997</v>
      </c>
      <c r="O937" s="2">
        <v>435.83</v>
      </c>
      <c r="P937" s="4">
        <v>0.2</v>
      </c>
      <c r="Q937" t="s">
        <v>75</v>
      </c>
      <c r="R937" s="4">
        <f t="shared" si="14"/>
        <v>0.10026617710324771</v>
      </c>
    </row>
    <row r="938" spans="1:18" x14ac:dyDescent="0.25">
      <c r="A938">
        <v>1650</v>
      </c>
      <c r="B938" s="1">
        <v>45615</v>
      </c>
      <c r="C938" t="s">
        <v>210</v>
      </c>
      <c r="D938" t="s">
        <v>32</v>
      </c>
      <c r="E938" t="s">
        <v>18</v>
      </c>
      <c r="F938" t="s">
        <v>27</v>
      </c>
      <c r="G938" t="s">
        <v>20</v>
      </c>
      <c r="H938" t="s">
        <v>113</v>
      </c>
      <c r="I938" t="s">
        <v>114</v>
      </c>
      <c r="J938">
        <v>2</v>
      </c>
      <c r="K938" s="3">
        <v>465.38</v>
      </c>
      <c r="L938" s="2">
        <v>385.19</v>
      </c>
      <c r="M938" s="2">
        <f>Table1[[#This Row],[UnitPrice]]*Table1[[#This Row],[Quantity]]</f>
        <v>930.76</v>
      </c>
      <c r="N938" s="2">
        <f>Table1[[#This Row],[CostPrice]]*Table1[[#This Row],[Quantity]]</f>
        <v>770.38</v>
      </c>
      <c r="O938" s="2">
        <v>39.380000000000003</v>
      </c>
      <c r="P938" s="4">
        <v>0.13</v>
      </c>
      <c r="Q938" t="s">
        <v>23</v>
      </c>
      <c r="R938" s="4">
        <f t="shared" si="14"/>
        <v>4.2309510507542225E-2</v>
      </c>
    </row>
    <row r="939" spans="1:18" x14ac:dyDescent="0.25">
      <c r="A939">
        <v>1245</v>
      </c>
      <c r="B939" s="1">
        <v>45616</v>
      </c>
      <c r="C939" t="s">
        <v>227</v>
      </c>
      <c r="D939" t="s">
        <v>25</v>
      </c>
      <c r="E939" t="s">
        <v>26</v>
      </c>
      <c r="F939" t="s">
        <v>34</v>
      </c>
      <c r="G939" t="s">
        <v>35</v>
      </c>
      <c r="H939" t="s">
        <v>36</v>
      </c>
      <c r="I939" t="s">
        <v>37</v>
      </c>
      <c r="J939">
        <v>5</v>
      </c>
      <c r="K939" s="3">
        <v>774.66</v>
      </c>
      <c r="L939" s="2">
        <v>471.57</v>
      </c>
      <c r="M939" s="2">
        <f>Table1[[#This Row],[UnitPrice]]*Table1[[#This Row],[Quantity]]</f>
        <v>3873.2999999999997</v>
      </c>
      <c r="N939" s="2">
        <f>Table1[[#This Row],[CostPrice]]*Table1[[#This Row],[Quantity]]</f>
        <v>2357.85</v>
      </c>
      <c r="O939" s="2">
        <v>1399.25</v>
      </c>
      <c r="P939" s="4">
        <v>0.03</v>
      </c>
      <c r="Q939" t="s">
        <v>55</v>
      </c>
      <c r="R939" s="4">
        <f t="shared" si="14"/>
        <v>0.36125526037229239</v>
      </c>
    </row>
    <row r="940" spans="1:18" x14ac:dyDescent="0.25">
      <c r="A940">
        <v>1830</v>
      </c>
      <c r="B940" s="1">
        <v>45616</v>
      </c>
      <c r="C940" t="s">
        <v>178</v>
      </c>
      <c r="D940" t="s">
        <v>32</v>
      </c>
      <c r="E940" t="s">
        <v>33</v>
      </c>
      <c r="F940" t="s">
        <v>34</v>
      </c>
      <c r="G940" t="s">
        <v>20</v>
      </c>
      <c r="H940" t="s">
        <v>21</v>
      </c>
      <c r="I940" t="s">
        <v>54</v>
      </c>
      <c r="J940">
        <v>9</v>
      </c>
      <c r="K940" s="3">
        <v>820.93</v>
      </c>
      <c r="L940" s="2">
        <v>582.84</v>
      </c>
      <c r="M940" s="2">
        <f>Table1[[#This Row],[UnitPrice]]*Table1[[#This Row],[Quantity]]</f>
        <v>7388.37</v>
      </c>
      <c r="N940" s="2">
        <f>Table1[[#This Row],[CostPrice]]*Table1[[#This Row],[Quantity]]</f>
        <v>5245.56</v>
      </c>
      <c r="O940" s="2">
        <v>1403.97</v>
      </c>
      <c r="P940" s="4">
        <v>0.1</v>
      </c>
      <c r="Q940" t="s">
        <v>125</v>
      </c>
      <c r="R940" s="4">
        <f t="shared" si="14"/>
        <v>0.19002432200877867</v>
      </c>
    </row>
    <row r="941" spans="1:18" x14ac:dyDescent="0.25">
      <c r="A941">
        <v>1324</v>
      </c>
      <c r="B941" s="1">
        <v>45617</v>
      </c>
      <c r="C941" t="s">
        <v>250</v>
      </c>
      <c r="D941" t="s">
        <v>17</v>
      </c>
      <c r="E941" t="s">
        <v>18</v>
      </c>
      <c r="F941" t="s">
        <v>27</v>
      </c>
      <c r="G941" t="s">
        <v>20</v>
      </c>
      <c r="H941" t="s">
        <v>113</v>
      </c>
      <c r="I941" t="s">
        <v>114</v>
      </c>
      <c r="J941">
        <v>1</v>
      </c>
      <c r="K941" s="3">
        <v>383.97</v>
      </c>
      <c r="L941" s="2">
        <v>199.12</v>
      </c>
      <c r="M941" s="2">
        <f>Table1[[#This Row],[UnitPrice]]*Table1[[#This Row],[Quantity]]</f>
        <v>383.97</v>
      </c>
      <c r="N941" s="2">
        <f>Table1[[#This Row],[CostPrice]]*Table1[[#This Row],[Quantity]]</f>
        <v>199.12</v>
      </c>
      <c r="O941" s="2">
        <v>177.17</v>
      </c>
      <c r="P941" s="4">
        <v>0.02</v>
      </c>
      <c r="Q941" t="s">
        <v>30</v>
      </c>
      <c r="R941" s="4">
        <f t="shared" si="14"/>
        <v>0.46141625647837065</v>
      </c>
    </row>
    <row r="942" spans="1:18" x14ac:dyDescent="0.25">
      <c r="A942">
        <v>1377</v>
      </c>
      <c r="B942" s="1">
        <v>45617</v>
      </c>
      <c r="C942" t="s">
        <v>122</v>
      </c>
      <c r="D942" t="s">
        <v>17</v>
      </c>
      <c r="E942" t="s">
        <v>33</v>
      </c>
      <c r="F942" t="s">
        <v>40</v>
      </c>
      <c r="G942" t="s">
        <v>35</v>
      </c>
      <c r="H942" t="s">
        <v>70</v>
      </c>
      <c r="I942" t="s">
        <v>71</v>
      </c>
      <c r="J942">
        <v>3</v>
      </c>
      <c r="K942" s="3">
        <v>550.82000000000005</v>
      </c>
      <c r="L942" s="2">
        <v>321.13</v>
      </c>
      <c r="M942" s="2">
        <f>Table1[[#This Row],[UnitPrice]]*Table1[[#This Row],[Quantity]]</f>
        <v>1652.46</v>
      </c>
      <c r="N942" s="2">
        <f>Table1[[#This Row],[CostPrice]]*Table1[[#This Row],[Quantity]]</f>
        <v>963.39</v>
      </c>
      <c r="O942" s="2">
        <v>457.73</v>
      </c>
      <c r="P942" s="4">
        <v>0.14000000000000001</v>
      </c>
      <c r="Q942" t="s">
        <v>125</v>
      </c>
      <c r="R942" s="4">
        <f t="shared" si="14"/>
        <v>0.27699914067511466</v>
      </c>
    </row>
    <row r="943" spans="1:18" x14ac:dyDescent="0.25">
      <c r="A943">
        <v>1994</v>
      </c>
      <c r="B943" s="1">
        <v>45617</v>
      </c>
      <c r="C943" t="s">
        <v>109</v>
      </c>
      <c r="D943" t="s">
        <v>25</v>
      </c>
      <c r="E943" t="s">
        <v>18</v>
      </c>
      <c r="F943" t="s">
        <v>40</v>
      </c>
      <c r="G943" t="s">
        <v>20</v>
      </c>
      <c r="H943" t="s">
        <v>113</v>
      </c>
      <c r="I943" t="s">
        <v>161</v>
      </c>
      <c r="J943">
        <v>8</v>
      </c>
      <c r="K943" s="3">
        <v>437.71</v>
      </c>
      <c r="L943" s="2">
        <v>290.06</v>
      </c>
      <c r="M943" s="2">
        <f>Table1[[#This Row],[UnitPrice]]*Table1[[#This Row],[Quantity]]</f>
        <v>3501.68</v>
      </c>
      <c r="N943" s="2">
        <f>Table1[[#This Row],[CostPrice]]*Table1[[#This Row],[Quantity]]</f>
        <v>2320.48</v>
      </c>
      <c r="O943" s="2">
        <v>1146.18</v>
      </c>
      <c r="P943" s="4">
        <v>0.01</v>
      </c>
      <c r="Q943" t="s">
        <v>55</v>
      </c>
      <c r="R943" s="4">
        <f t="shared" si="14"/>
        <v>0.32732288501519274</v>
      </c>
    </row>
    <row r="944" spans="1:18" x14ac:dyDescent="0.25">
      <c r="A944">
        <v>1679</v>
      </c>
      <c r="B944" s="1">
        <v>45618</v>
      </c>
      <c r="C944" t="s">
        <v>281</v>
      </c>
      <c r="D944" t="s">
        <v>32</v>
      </c>
      <c r="E944" t="s">
        <v>18</v>
      </c>
      <c r="F944" t="s">
        <v>19</v>
      </c>
      <c r="G944" t="s">
        <v>41</v>
      </c>
      <c r="H944" t="s">
        <v>63</v>
      </c>
      <c r="I944" t="s">
        <v>141</v>
      </c>
      <c r="J944">
        <v>9</v>
      </c>
      <c r="K944" s="3">
        <v>912.82</v>
      </c>
      <c r="L944" s="2">
        <v>459.14</v>
      </c>
      <c r="M944" s="2">
        <f>Table1[[#This Row],[UnitPrice]]*Table1[[#This Row],[Quantity]]</f>
        <v>8215.380000000001</v>
      </c>
      <c r="N944" s="2">
        <f>Table1[[#This Row],[CostPrice]]*Table1[[#This Row],[Quantity]]</f>
        <v>4132.26</v>
      </c>
      <c r="O944" s="2">
        <v>3343.74</v>
      </c>
      <c r="P944" s="4">
        <v>0.09</v>
      </c>
      <c r="Q944" t="s">
        <v>85</v>
      </c>
      <c r="R944" s="4">
        <f t="shared" si="14"/>
        <v>0.40700977921897702</v>
      </c>
    </row>
    <row r="945" spans="1:18" x14ac:dyDescent="0.25">
      <c r="A945">
        <v>1630</v>
      </c>
      <c r="B945" s="1">
        <v>45620</v>
      </c>
      <c r="C945" t="s">
        <v>96</v>
      </c>
      <c r="D945" t="s">
        <v>17</v>
      </c>
      <c r="E945" t="s">
        <v>53</v>
      </c>
      <c r="F945" t="s">
        <v>40</v>
      </c>
      <c r="G945" t="s">
        <v>41</v>
      </c>
      <c r="H945" t="s">
        <v>46</v>
      </c>
      <c r="I945" t="s">
        <v>102</v>
      </c>
      <c r="J945">
        <v>7</v>
      </c>
      <c r="K945" s="3">
        <v>996.53</v>
      </c>
      <c r="L945" s="2">
        <v>738.58</v>
      </c>
      <c r="M945" s="2">
        <f>Table1[[#This Row],[UnitPrice]]*Table1[[#This Row],[Quantity]]</f>
        <v>6975.71</v>
      </c>
      <c r="N945" s="2">
        <f>Table1[[#This Row],[CostPrice]]*Table1[[#This Row],[Quantity]]</f>
        <v>5170.0600000000004</v>
      </c>
      <c r="O945" s="2">
        <v>-147.55000000000001</v>
      </c>
      <c r="P945" s="4">
        <v>0.28000000000000003</v>
      </c>
      <c r="Q945" t="s">
        <v>75</v>
      </c>
      <c r="R945" s="4">
        <f t="shared" si="14"/>
        <v>-2.1151968760169216E-2</v>
      </c>
    </row>
    <row r="946" spans="1:18" x14ac:dyDescent="0.25">
      <c r="A946">
        <v>1310</v>
      </c>
      <c r="B946" s="1">
        <v>45621</v>
      </c>
      <c r="C946" t="s">
        <v>246</v>
      </c>
      <c r="D946" t="s">
        <v>17</v>
      </c>
      <c r="E946" t="s">
        <v>53</v>
      </c>
      <c r="F946" t="s">
        <v>40</v>
      </c>
      <c r="G946" t="s">
        <v>41</v>
      </c>
      <c r="H946" t="s">
        <v>42</v>
      </c>
      <c r="I946" t="s">
        <v>43</v>
      </c>
      <c r="J946">
        <v>3</v>
      </c>
      <c r="K946" s="3">
        <v>485.66</v>
      </c>
      <c r="L946" s="2">
        <v>325.8</v>
      </c>
      <c r="M946" s="2">
        <f>Table1[[#This Row],[UnitPrice]]*Table1[[#This Row],[Quantity]]</f>
        <v>1456.98</v>
      </c>
      <c r="N946" s="2">
        <f>Table1[[#This Row],[CostPrice]]*Table1[[#This Row],[Quantity]]</f>
        <v>977.40000000000009</v>
      </c>
      <c r="O946" s="2">
        <v>86.2</v>
      </c>
      <c r="P946" s="4">
        <v>0.27</v>
      </c>
      <c r="Q946" t="s">
        <v>55</v>
      </c>
      <c r="R946" s="4">
        <f t="shared" si="14"/>
        <v>5.9163475133495312E-2</v>
      </c>
    </row>
    <row r="947" spans="1:18" x14ac:dyDescent="0.25">
      <c r="A947">
        <v>1917</v>
      </c>
      <c r="B947" s="1">
        <v>45621</v>
      </c>
      <c r="C947" t="s">
        <v>142</v>
      </c>
      <c r="D947" t="s">
        <v>32</v>
      </c>
      <c r="E947" t="s">
        <v>33</v>
      </c>
      <c r="F947" t="s">
        <v>19</v>
      </c>
      <c r="G947" t="s">
        <v>35</v>
      </c>
      <c r="H947" t="s">
        <v>36</v>
      </c>
      <c r="I947" t="s">
        <v>87</v>
      </c>
      <c r="J947">
        <v>9</v>
      </c>
      <c r="K947" s="3">
        <v>446.59</v>
      </c>
      <c r="L947" s="2">
        <v>303.17</v>
      </c>
      <c r="M947" s="2">
        <f>Table1[[#This Row],[UnitPrice]]*Table1[[#This Row],[Quantity]]</f>
        <v>4019.31</v>
      </c>
      <c r="N947" s="2">
        <f>Table1[[#This Row],[CostPrice]]*Table1[[#This Row],[Quantity]]</f>
        <v>2728.53</v>
      </c>
      <c r="O947" s="2">
        <v>1009.43</v>
      </c>
      <c r="P947" s="4">
        <v>7.0000000000000007E-2</v>
      </c>
      <c r="Q947" t="s">
        <v>85</v>
      </c>
      <c r="R947" s="4">
        <f t="shared" si="14"/>
        <v>0.25114509704401999</v>
      </c>
    </row>
    <row r="948" spans="1:18" x14ac:dyDescent="0.25">
      <c r="A948">
        <v>1009</v>
      </c>
      <c r="B948" s="1">
        <v>45623</v>
      </c>
      <c r="C948" t="s">
        <v>60</v>
      </c>
      <c r="D948" t="s">
        <v>17</v>
      </c>
      <c r="E948" t="s">
        <v>18</v>
      </c>
      <c r="F948" t="s">
        <v>40</v>
      </c>
      <c r="G948" t="s">
        <v>20</v>
      </c>
      <c r="H948" t="s">
        <v>28</v>
      </c>
      <c r="I948" t="s">
        <v>61</v>
      </c>
      <c r="J948">
        <v>3</v>
      </c>
      <c r="K948" s="3">
        <v>456.46</v>
      </c>
      <c r="L948" s="2">
        <v>380.61</v>
      </c>
      <c r="M948" s="2">
        <f>Table1[[#This Row],[UnitPrice]]*Table1[[#This Row],[Quantity]]</f>
        <v>1369.3799999999999</v>
      </c>
      <c r="N948" s="2">
        <f>Table1[[#This Row],[CostPrice]]*Table1[[#This Row],[Quantity]]</f>
        <v>1141.83</v>
      </c>
      <c r="O948" s="2">
        <v>-128.49</v>
      </c>
      <c r="P948" s="4">
        <v>0.26</v>
      </c>
      <c r="Q948" t="s">
        <v>30</v>
      </c>
      <c r="R948" s="4">
        <f t="shared" si="14"/>
        <v>-9.383078473469747E-2</v>
      </c>
    </row>
    <row r="949" spans="1:18" x14ac:dyDescent="0.25">
      <c r="A949">
        <v>1362</v>
      </c>
      <c r="B949" s="1">
        <v>45623</v>
      </c>
      <c r="C949" t="s">
        <v>170</v>
      </c>
      <c r="D949" t="s">
        <v>25</v>
      </c>
      <c r="E949" t="s">
        <v>53</v>
      </c>
      <c r="F949" t="s">
        <v>27</v>
      </c>
      <c r="G949" t="s">
        <v>20</v>
      </c>
      <c r="H949" t="s">
        <v>28</v>
      </c>
      <c r="I949" t="s">
        <v>61</v>
      </c>
      <c r="J949">
        <v>5</v>
      </c>
      <c r="K949" s="3">
        <v>988.57</v>
      </c>
      <c r="L949" s="2">
        <v>694.15</v>
      </c>
      <c r="M949" s="2">
        <f>Table1[[#This Row],[UnitPrice]]*Table1[[#This Row],[Quantity]]</f>
        <v>4942.8500000000004</v>
      </c>
      <c r="N949" s="2">
        <f>Table1[[#This Row],[CostPrice]]*Table1[[#This Row],[Quantity]]</f>
        <v>3470.75</v>
      </c>
      <c r="O949" s="2">
        <v>335.24</v>
      </c>
      <c r="P949" s="4">
        <v>0.23</v>
      </c>
      <c r="Q949" t="s">
        <v>75</v>
      </c>
      <c r="R949" s="4">
        <f t="shared" si="14"/>
        <v>6.7823219397715892E-2</v>
      </c>
    </row>
    <row r="950" spans="1:18" x14ac:dyDescent="0.25">
      <c r="A950">
        <v>1156</v>
      </c>
      <c r="B950" s="1">
        <v>45624</v>
      </c>
      <c r="C950" t="s">
        <v>178</v>
      </c>
      <c r="D950" t="s">
        <v>17</v>
      </c>
      <c r="E950" t="s">
        <v>33</v>
      </c>
      <c r="F950" t="s">
        <v>19</v>
      </c>
      <c r="G950" t="s">
        <v>20</v>
      </c>
      <c r="H950" t="s">
        <v>28</v>
      </c>
      <c r="I950" t="s">
        <v>29</v>
      </c>
      <c r="J950">
        <v>7</v>
      </c>
      <c r="K950" s="3">
        <v>155.66999999999999</v>
      </c>
      <c r="L950" s="2">
        <v>115.46</v>
      </c>
      <c r="M950" s="2">
        <f>Table1[[#This Row],[UnitPrice]]*Table1[[#This Row],[Quantity]]</f>
        <v>1089.6899999999998</v>
      </c>
      <c r="N950" s="2">
        <f>Table1[[#This Row],[CostPrice]]*Table1[[#This Row],[Quantity]]</f>
        <v>808.21999999999991</v>
      </c>
      <c r="O950" s="2">
        <v>150.71</v>
      </c>
      <c r="P950" s="4">
        <v>0.12</v>
      </c>
      <c r="Q950" t="s">
        <v>125</v>
      </c>
      <c r="R950" s="4">
        <f t="shared" si="14"/>
        <v>0.1383053896062183</v>
      </c>
    </row>
    <row r="951" spans="1:18" x14ac:dyDescent="0.25">
      <c r="A951">
        <v>1715</v>
      </c>
      <c r="B951" s="1">
        <v>45624</v>
      </c>
      <c r="C951" t="s">
        <v>286</v>
      </c>
      <c r="D951" t="s">
        <v>25</v>
      </c>
      <c r="E951" t="s">
        <v>26</v>
      </c>
      <c r="F951" t="s">
        <v>34</v>
      </c>
      <c r="G951" t="s">
        <v>20</v>
      </c>
      <c r="H951" t="s">
        <v>21</v>
      </c>
      <c r="I951" t="s">
        <v>79</v>
      </c>
      <c r="J951">
        <v>7</v>
      </c>
      <c r="K951" s="3">
        <v>707.54</v>
      </c>
      <c r="L951" s="2">
        <v>595.01</v>
      </c>
      <c r="M951" s="2">
        <f>Table1[[#This Row],[UnitPrice]]*Table1[[#This Row],[Quantity]]</f>
        <v>4952.78</v>
      </c>
      <c r="N951" s="2">
        <f>Table1[[#This Row],[CostPrice]]*Table1[[#This Row],[Quantity]]</f>
        <v>4165.07</v>
      </c>
      <c r="O951" s="2">
        <v>688.65</v>
      </c>
      <c r="P951" s="4">
        <v>0.02</v>
      </c>
      <c r="Q951" t="s">
        <v>23</v>
      </c>
      <c r="R951" s="4">
        <f t="shared" si="14"/>
        <v>0.13904312325602994</v>
      </c>
    </row>
    <row r="952" spans="1:18" x14ac:dyDescent="0.25">
      <c r="A952">
        <v>1333</v>
      </c>
      <c r="B952" s="1">
        <v>45625</v>
      </c>
      <c r="C952" t="s">
        <v>230</v>
      </c>
      <c r="D952" t="s">
        <v>32</v>
      </c>
      <c r="E952" t="s">
        <v>33</v>
      </c>
      <c r="F952" t="s">
        <v>27</v>
      </c>
      <c r="G952" t="s">
        <v>35</v>
      </c>
      <c r="H952" t="s">
        <v>70</v>
      </c>
      <c r="I952" t="s">
        <v>84</v>
      </c>
      <c r="J952">
        <v>5</v>
      </c>
      <c r="K952" s="3">
        <v>29.58</v>
      </c>
      <c r="L952" s="2">
        <v>20.14</v>
      </c>
      <c r="M952" s="2">
        <f>Table1[[#This Row],[UnitPrice]]*Table1[[#This Row],[Quantity]]</f>
        <v>147.89999999999998</v>
      </c>
      <c r="N952" s="2">
        <f>Table1[[#This Row],[CostPrice]]*Table1[[#This Row],[Quantity]]</f>
        <v>100.7</v>
      </c>
      <c r="O952" s="2">
        <v>13.18</v>
      </c>
      <c r="P952" s="4">
        <v>0.23</v>
      </c>
      <c r="Q952" t="s">
        <v>38</v>
      </c>
      <c r="R952" s="4">
        <f t="shared" si="14"/>
        <v>8.9114266396213671E-2</v>
      </c>
    </row>
    <row r="953" spans="1:18" x14ac:dyDescent="0.25">
      <c r="A953">
        <v>1348</v>
      </c>
      <c r="B953" s="1">
        <v>45303</v>
      </c>
      <c r="C953" t="s">
        <v>107</v>
      </c>
      <c r="D953" t="s">
        <v>17</v>
      </c>
      <c r="E953" t="s">
        <v>26</v>
      </c>
      <c r="F953" t="s">
        <v>27</v>
      </c>
      <c r="G953" t="s">
        <v>20</v>
      </c>
      <c r="H953" t="s">
        <v>21</v>
      </c>
      <c r="I953" t="s">
        <v>132</v>
      </c>
      <c r="J953">
        <v>8</v>
      </c>
      <c r="K953" s="3">
        <v>939.48</v>
      </c>
      <c r="L953" s="2">
        <v>483.03</v>
      </c>
      <c r="M953" s="2">
        <f>Table1[[#This Row],[UnitPrice]]*Table1[[#This Row],[Quantity]]</f>
        <v>7515.84</v>
      </c>
      <c r="N953" s="2">
        <f>Table1[[#This Row],[CostPrice]]*Table1[[#This Row],[Quantity]]</f>
        <v>3864.24</v>
      </c>
      <c r="O953" s="2">
        <v>1922.96</v>
      </c>
      <c r="P953" s="4">
        <v>0.23</v>
      </c>
      <c r="Q953" t="s">
        <v>23</v>
      </c>
      <c r="R953" s="4">
        <f t="shared" si="14"/>
        <v>0.25585430238004003</v>
      </c>
    </row>
    <row r="954" spans="1:18" x14ac:dyDescent="0.25">
      <c r="A954">
        <v>1477</v>
      </c>
      <c r="B954" s="1">
        <v>45303</v>
      </c>
      <c r="C954" t="s">
        <v>256</v>
      </c>
      <c r="D954" t="s">
        <v>17</v>
      </c>
      <c r="E954" t="s">
        <v>18</v>
      </c>
      <c r="F954" t="s">
        <v>34</v>
      </c>
      <c r="G954" t="s">
        <v>35</v>
      </c>
      <c r="H954" t="s">
        <v>70</v>
      </c>
      <c r="I954" t="s">
        <v>98</v>
      </c>
      <c r="J954">
        <v>8</v>
      </c>
      <c r="K954" s="3">
        <v>456.76</v>
      </c>
      <c r="L954" s="2">
        <v>373.23</v>
      </c>
      <c r="M954" s="2">
        <f>Table1[[#This Row],[UnitPrice]]*Table1[[#This Row],[Quantity]]</f>
        <v>3654.08</v>
      </c>
      <c r="N954" s="2">
        <f>Table1[[#This Row],[CostPrice]]*Table1[[#This Row],[Quantity]]</f>
        <v>2985.84</v>
      </c>
      <c r="O954" s="2">
        <v>47.05</v>
      </c>
      <c r="P954" s="4">
        <v>0.17</v>
      </c>
      <c r="Q954" t="s">
        <v>85</v>
      </c>
      <c r="R954" s="4">
        <f t="shared" si="14"/>
        <v>1.2876018040108591E-2</v>
      </c>
    </row>
    <row r="955" spans="1:18" x14ac:dyDescent="0.25">
      <c r="A955">
        <v>1916</v>
      </c>
      <c r="B955" s="1">
        <v>45303</v>
      </c>
      <c r="C955" t="s">
        <v>209</v>
      </c>
      <c r="D955" t="s">
        <v>32</v>
      </c>
      <c r="E955" t="s">
        <v>18</v>
      </c>
      <c r="F955" t="s">
        <v>34</v>
      </c>
      <c r="G955" t="s">
        <v>41</v>
      </c>
      <c r="H955" t="s">
        <v>63</v>
      </c>
      <c r="I955" t="s">
        <v>141</v>
      </c>
      <c r="J955">
        <v>1</v>
      </c>
      <c r="K955" s="3">
        <v>951.95</v>
      </c>
      <c r="L955" s="2">
        <v>806.48</v>
      </c>
      <c r="M955" s="2">
        <f>Table1[[#This Row],[UnitPrice]]*Table1[[#This Row],[Quantity]]</f>
        <v>951.95</v>
      </c>
      <c r="N955" s="2">
        <f>Table1[[#This Row],[CostPrice]]*Table1[[#This Row],[Quantity]]</f>
        <v>806.48</v>
      </c>
      <c r="O955" s="2">
        <v>-130.6</v>
      </c>
      <c r="P955" s="4">
        <v>0.28999999999999998</v>
      </c>
      <c r="Q955" t="s">
        <v>51</v>
      </c>
      <c r="R955" s="4">
        <f t="shared" si="14"/>
        <v>-0.1371920794159357</v>
      </c>
    </row>
    <row r="956" spans="1:18" x14ac:dyDescent="0.25">
      <c r="A956">
        <v>1612</v>
      </c>
      <c r="B956" s="1">
        <v>45334</v>
      </c>
      <c r="C956" t="s">
        <v>274</v>
      </c>
      <c r="D956" t="s">
        <v>17</v>
      </c>
      <c r="E956" t="s">
        <v>53</v>
      </c>
      <c r="F956" t="s">
        <v>19</v>
      </c>
      <c r="G956" t="s">
        <v>35</v>
      </c>
      <c r="H956" t="s">
        <v>70</v>
      </c>
      <c r="I956" t="s">
        <v>84</v>
      </c>
      <c r="J956">
        <v>7</v>
      </c>
      <c r="K956" s="3">
        <v>960</v>
      </c>
      <c r="L956" s="2">
        <v>759.92</v>
      </c>
      <c r="M956" s="2">
        <f>Table1[[#This Row],[UnitPrice]]*Table1[[#This Row],[Quantity]]</f>
        <v>6720</v>
      </c>
      <c r="N956" s="2">
        <f>Table1[[#This Row],[CostPrice]]*Table1[[#This Row],[Quantity]]</f>
        <v>5319.44</v>
      </c>
      <c r="O956" s="2">
        <v>56.56</v>
      </c>
      <c r="P956" s="4">
        <v>0.2</v>
      </c>
      <c r="Q956" t="s">
        <v>85</v>
      </c>
      <c r="R956" s="4">
        <f t="shared" si="14"/>
        <v>8.4166666666666678E-3</v>
      </c>
    </row>
    <row r="957" spans="1:18" x14ac:dyDescent="0.25">
      <c r="A957">
        <v>1967</v>
      </c>
      <c r="B957" s="1">
        <v>45334</v>
      </c>
      <c r="C957" t="s">
        <v>166</v>
      </c>
      <c r="D957" t="s">
        <v>32</v>
      </c>
      <c r="E957" t="s">
        <v>18</v>
      </c>
      <c r="F957" t="s">
        <v>19</v>
      </c>
      <c r="G957" t="s">
        <v>20</v>
      </c>
      <c r="H957" t="s">
        <v>28</v>
      </c>
      <c r="I957" t="s">
        <v>61</v>
      </c>
      <c r="J957">
        <v>6</v>
      </c>
      <c r="K957" s="3">
        <v>729.85</v>
      </c>
      <c r="L957" s="2">
        <v>419.53</v>
      </c>
      <c r="M957" s="2">
        <f>Table1[[#This Row],[UnitPrice]]*Table1[[#This Row],[Quantity]]</f>
        <v>4379.1000000000004</v>
      </c>
      <c r="N957" s="2">
        <f>Table1[[#This Row],[CostPrice]]*Table1[[#This Row],[Quantity]]</f>
        <v>2517.1799999999998</v>
      </c>
      <c r="O957" s="2">
        <v>1117.47</v>
      </c>
      <c r="P957" s="4">
        <v>0.17</v>
      </c>
      <c r="Q957" t="s">
        <v>23</v>
      </c>
      <c r="R957" s="4">
        <f t="shared" si="14"/>
        <v>0.25518257176132081</v>
      </c>
    </row>
    <row r="958" spans="1:18" x14ac:dyDescent="0.25">
      <c r="A958">
        <v>1089</v>
      </c>
      <c r="B958" s="1">
        <v>45363</v>
      </c>
      <c r="C958" t="s">
        <v>154</v>
      </c>
      <c r="D958" t="s">
        <v>17</v>
      </c>
      <c r="E958" t="s">
        <v>18</v>
      </c>
      <c r="F958" t="s">
        <v>34</v>
      </c>
      <c r="G958" t="s">
        <v>35</v>
      </c>
      <c r="H958" t="s">
        <v>49</v>
      </c>
      <c r="I958" t="s">
        <v>66</v>
      </c>
      <c r="J958">
        <v>2</v>
      </c>
      <c r="K958" s="3">
        <v>949.27</v>
      </c>
      <c r="L958" s="2">
        <v>748.47</v>
      </c>
      <c r="M958" s="2">
        <f>Table1[[#This Row],[UnitPrice]]*Table1[[#This Row],[Quantity]]</f>
        <v>1898.54</v>
      </c>
      <c r="N958" s="2">
        <f>Table1[[#This Row],[CostPrice]]*Table1[[#This Row],[Quantity]]</f>
        <v>1496.94</v>
      </c>
      <c r="O958" s="2">
        <v>344.64</v>
      </c>
      <c r="P958" s="4">
        <v>0.03</v>
      </c>
      <c r="Q958" t="s">
        <v>23</v>
      </c>
      <c r="R958" s="4">
        <f t="shared" si="14"/>
        <v>0.18152896436208876</v>
      </c>
    </row>
    <row r="959" spans="1:18" x14ac:dyDescent="0.25">
      <c r="A959">
        <v>1033</v>
      </c>
      <c r="B959" s="1">
        <v>45394</v>
      </c>
      <c r="C959" t="s">
        <v>99</v>
      </c>
      <c r="D959" t="s">
        <v>17</v>
      </c>
      <c r="E959" t="s">
        <v>26</v>
      </c>
      <c r="F959" t="s">
        <v>40</v>
      </c>
      <c r="G959" t="s">
        <v>35</v>
      </c>
      <c r="H959" t="s">
        <v>36</v>
      </c>
      <c r="I959" t="s">
        <v>100</v>
      </c>
      <c r="J959">
        <v>6</v>
      </c>
      <c r="K959" s="3">
        <v>625.04</v>
      </c>
      <c r="L959" s="2">
        <v>457.65</v>
      </c>
      <c r="M959" s="2">
        <f>Table1[[#This Row],[UnitPrice]]*Table1[[#This Row],[Quantity]]</f>
        <v>3750.24</v>
      </c>
      <c r="N959" s="2">
        <f>Table1[[#This Row],[CostPrice]]*Table1[[#This Row],[Quantity]]</f>
        <v>2745.8999999999996</v>
      </c>
      <c r="O959" s="2">
        <v>854.33</v>
      </c>
      <c r="P959" s="4">
        <v>0.04</v>
      </c>
      <c r="Q959" t="s">
        <v>30</v>
      </c>
      <c r="R959" s="4">
        <f t="shared" si="14"/>
        <v>0.22780675370109649</v>
      </c>
    </row>
    <row r="960" spans="1:18" x14ac:dyDescent="0.25">
      <c r="A960">
        <v>1097</v>
      </c>
      <c r="B960" s="1">
        <v>45394</v>
      </c>
      <c r="C960" t="s">
        <v>158</v>
      </c>
      <c r="D960" t="s">
        <v>25</v>
      </c>
      <c r="E960" t="s">
        <v>33</v>
      </c>
      <c r="F960" t="s">
        <v>34</v>
      </c>
      <c r="G960" t="s">
        <v>20</v>
      </c>
      <c r="H960" t="s">
        <v>28</v>
      </c>
      <c r="I960" t="s">
        <v>90</v>
      </c>
      <c r="J960">
        <v>6</v>
      </c>
      <c r="K960" s="3">
        <v>812.71</v>
      </c>
      <c r="L960" s="2">
        <v>564.61</v>
      </c>
      <c r="M960" s="2">
        <f>Table1[[#This Row],[UnitPrice]]*Table1[[#This Row],[Quantity]]</f>
        <v>4876.26</v>
      </c>
      <c r="N960" s="2">
        <f>Table1[[#This Row],[CostPrice]]*Table1[[#This Row],[Quantity]]</f>
        <v>3387.66</v>
      </c>
      <c r="O960" s="2">
        <v>610.87</v>
      </c>
      <c r="P960" s="4">
        <v>0.18</v>
      </c>
      <c r="Q960" t="s">
        <v>38</v>
      </c>
      <c r="R960" s="4">
        <f t="shared" si="14"/>
        <v>0.12527428808143945</v>
      </c>
    </row>
    <row r="961" spans="1:18" x14ac:dyDescent="0.25">
      <c r="A961">
        <v>1300</v>
      </c>
      <c r="B961" s="1">
        <v>45394</v>
      </c>
      <c r="C961" t="s">
        <v>216</v>
      </c>
      <c r="D961" t="s">
        <v>32</v>
      </c>
      <c r="E961" t="s">
        <v>18</v>
      </c>
      <c r="F961" t="s">
        <v>19</v>
      </c>
      <c r="G961" t="s">
        <v>20</v>
      </c>
      <c r="H961" t="s">
        <v>28</v>
      </c>
      <c r="I961" t="s">
        <v>90</v>
      </c>
      <c r="J961">
        <v>4</v>
      </c>
      <c r="K961" s="3">
        <v>228.2</v>
      </c>
      <c r="L961" s="2">
        <v>192.76</v>
      </c>
      <c r="M961" s="2">
        <f>Table1[[#This Row],[UnitPrice]]*Table1[[#This Row],[Quantity]]</f>
        <v>912.8</v>
      </c>
      <c r="N961" s="2">
        <f>Table1[[#This Row],[CostPrice]]*Table1[[#This Row],[Quantity]]</f>
        <v>771.04</v>
      </c>
      <c r="O961" s="2">
        <v>86.99</v>
      </c>
      <c r="P961" s="4">
        <v>0.06</v>
      </c>
      <c r="Q961" t="s">
        <v>51</v>
      </c>
      <c r="R961" s="4">
        <f t="shared" si="14"/>
        <v>9.5300175284837862E-2</v>
      </c>
    </row>
    <row r="962" spans="1:18" x14ac:dyDescent="0.25">
      <c r="A962">
        <v>1586</v>
      </c>
      <c r="B962" s="1">
        <v>45394</v>
      </c>
      <c r="C962" t="s">
        <v>69</v>
      </c>
      <c r="D962" t="s">
        <v>32</v>
      </c>
      <c r="E962" t="s">
        <v>53</v>
      </c>
      <c r="F962" t="s">
        <v>40</v>
      </c>
      <c r="G962" t="s">
        <v>20</v>
      </c>
      <c r="H962" t="s">
        <v>21</v>
      </c>
      <c r="I962" t="s">
        <v>22</v>
      </c>
      <c r="J962">
        <v>1</v>
      </c>
      <c r="K962" s="3">
        <v>336.2</v>
      </c>
      <c r="L962" s="2">
        <v>195.73</v>
      </c>
      <c r="M962" s="2">
        <f>Table1[[#This Row],[UnitPrice]]*Table1[[#This Row],[Quantity]]</f>
        <v>336.2</v>
      </c>
      <c r="N962" s="2">
        <f>Table1[[#This Row],[CostPrice]]*Table1[[#This Row],[Quantity]]</f>
        <v>195.73</v>
      </c>
      <c r="O962" s="2">
        <v>49.7</v>
      </c>
      <c r="P962" s="4">
        <v>0.27</v>
      </c>
      <c r="Q962" t="s">
        <v>125</v>
      </c>
      <c r="R962" s="4">
        <f t="shared" ref="R962:R1001" si="15">O962/M962</f>
        <v>0.14782867340868533</v>
      </c>
    </row>
    <row r="963" spans="1:18" x14ac:dyDescent="0.25">
      <c r="A963">
        <v>1707</v>
      </c>
      <c r="B963" s="1">
        <v>45394</v>
      </c>
      <c r="C963" t="s">
        <v>99</v>
      </c>
      <c r="D963" t="s">
        <v>25</v>
      </c>
      <c r="E963" t="s">
        <v>53</v>
      </c>
      <c r="F963" t="s">
        <v>40</v>
      </c>
      <c r="G963" t="s">
        <v>20</v>
      </c>
      <c r="H963" t="s">
        <v>28</v>
      </c>
      <c r="I963" t="s">
        <v>90</v>
      </c>
      <c r="J963">
        <v>2</v>
      </c>
      <c r="K963" s="3">
        <v>870.52</v>
      </c>
      <c r="L963" s="2">
        <v>456.58</v>
      </c>
      <c r="M963" s="2">
        <f>Table1[[#This Row],[UnitPrice]]*Table1[[#This Row],[Quantity]]</f>
        <v>1741.04</v>
      </c>
      <c r="N963" s="2">
        <f>Table1[[#This Row],[CostPrice]]*Table1[[#This Row],[Quantity]]</f>
        <v>913.16</v>
      </c>
      <c r="O963" s="2">
        <v>723.42</v>
      </c>
      <c r="P963" s="4">
        <v>0.06</v>
      </c>
      <c r="Q963" t="s">
        <v>92</v>
      </c>
      <c r="R963" s="4">
        <f t="shared" si="15"/>
        <v>0.4155102697238432</v>
      </c>
    </row>
    <row r="964" spans="1:18" x14ac:dyDescent="0.25">
      <c r="A964">
        <v>1786</v>
      </c>
      <c r="B964" s="1">
        <v>45394</v>
      </c>
      <c r="C964" t="s">
        <v>72</v>
      </c>
      <c r="D964" t="s">
        <v>25</v>
      </c>
      <c r="E964" t="s">
        <v>26</v>
      </c>
      <c r="F964" t="s">
        <v>34</v>
      </c>
      <c r="G964" t="s">
        <v>35</v>
      </c>
      <c r="H964" t="s">
        <v>36</v>
      </c>
      <c r="I964" t="s">
        <v>37</v>
      </c>
      <c r="J964">
        <v>7</v>
      </c>
      <c r="K964" s="3">
        <v>104.73</v>
      </c>
      <c r="L964" s="2">
        <v>71.67</v>
      </c>
      <c r="M964" s="2">
        <f>Table1[[#This Row],[UnitPrice]]*Table1[[#This Row],[Quantity]]</f>
        <v>733.11</v>
      </c>
      <c r="N964" s="2">
        <f>Table1[[#This Row],[CostPrice]]*Table1[[#This Row],[Quantity]]</f>
        <v>501.69</v>
      </c>
      <c r="O964" s="2">
        <v>70.14</v>
      </c>
      <c r="P964" s="4">
        <v>0.22</v>
      </c>
      <c r="Q964" t="s">
        <v>51</v>
      </c>
      <c r="R964" s="4">
        <f t="shared" si="15"/>
        <v>9.5674591807505011E-2</v>
      </c>
    </row>
    <row r="965" spans="1:18" x14ac:dyDescent="0.25">
      <c r="A965">
        <v>1210</v>
      </c>
      <c r="B965" s="1">
        <v>45424</v>
      </c>
      <c r="C965" t="s">
        <v>72</v>
      </c>
      <c r="D965" t="s">
        <v>32</v>
      </c>
      <c r="E965" t="s">
        <v>18</v>
      </c>
      <c r="F965" t="s">
        <v>27</v>
      </c>
      <c r="G965" t="s">
        <v>35</v>
      </c>
      <c r="H965" t="s">
        <v>70</v>
      </c>
      <c r="I965" t="s">
        <v>84</v>
      </c>
      <c r="J965">
        <v>9</v>
      </c>
      <c r="K965" s="3">
        <v>154.99</v>
      </c>
      <c r="L965" s="2">
        <v>131.62</v>
      </c>
      <c r="M965" s="2">
        <f>Table1[[#This Row],[UnitPrice]]*Table1[[#This Row],[Quantity]]</f>
        <v>1394.91</v>
      </c>
      <c r="N965" s="2">
        <f>Table1[[#This Row],[CostPrice]]*Table1[[#This Row],[Quantity]]</f>
        <v>1184.58</v>
      </c>
      <c r="O965" s="2">
        <v>15.04</v>
      </c>
      <c r="P965" s="4">
        <v>0.14000000000000001</v>
      </c>
      <c r="Q965" t="s">
        <v>30</v>
      </c>
      <c r="R965" s="4">
        <f t="shared" si="15"/>
        <v>1.0782057623789348E-2</v>
      </c>
    </row>
    <row r="966" spans="1:18" x14ac:dyDescent="0.25">
      <c r="A966">
        <v>1361</v>
      </c>
      <c r="B966" s="1">
        <v>45424</v>
      </c>
      <c r="C966" t="s">
        <v>259</v>
      </c>
      <c r="D966" t="s">
        <v>32</v>
      </c>
      <c r="E966" t="s">
        <v>18</v>
      </c>
      <c r="F966" t="s">
        <v>34</v>
      </c>
      <c r="G966" t="s">
        <v>20</v>
      </c>
      <c r="H966" t="s">
        <v>28</v>
      </c>
      <c r="I966" t="s">
        <v>29</v>
      </c>
      <c r="J966">
        <v>5</v>
      </c>
      <c r="K966" s="3">
        <v>855.7</v>
      </c>
      <c r="L966" s="2">
        <v>554.70000000000005</v>
      </c>
      <c r="M966" s="2">
        <f>Table1[[#This Row],[UnitPrice]]*Table1[[#This Row],[Quantity]]</f>
        <v>4278.5</v>
      </c>
      <c r="N966" s="2">
        <f>Table1[[#This Row],[CostPrice]]*Table1[[#This Row],[Quantity]]</f>
        <v>2773.5</v>
      </c>
      <c r="O966" s="2">
        <v>1034.3699999999999</v>
      </c>
      <c r="P966" s="4">
        <v>0.11</v>
      </c>
      <c r="Q966" t="s">
        <v>30</v>
      </c>
      <c r="R966" s="4">
        <f t="shared" si="15"/>
        <v>0.24175996260371624</v>
      </c>
    </row>
    <row r="967" spans="1:18" x14ac:dyDescent="0.25">
      <c r="A967">
        <v>1852</v>
      </c>
      <c r="B967" s="1">
        <v>45424</v>
      </c>
      <c r="C967" t="s">
        <v>271</v>
      </c>
      <c r="D967" t="s">
        <v>32</v>
      </c>
      <c r="E967" t="s">
        <v>18</v>
      </c>
      <c r="F967" t="s">
        <v>19</v>
      </c>
      <c r="G967" t="s">
        <v>20</v>
      </c>
      <c r="H967" t="s">
        <v>113</v>
      </c>
      <c r="I967" t="s">
        <v>153</v>
      </c>
      <c r="J967">
        <v>2</v>
      </c>
      <c r="K967" s="3">
        <v>130.66</v>
      </c>
      <c r="L967" s="2">
        <v>104.75</v>
      </c>
      <c r="M967" s="2">
        <f>Table1[[#This Row],[UnitPrice]]*Table1[[#This Row],[Quantity]]</f>
        <v>261.32</v>
      </c>
      <c r="N967" s="2">
        <f>Table1[[#This Row],[CostPrice]]*Table1[[#This Row],[Quantity]]</f>
        <v>209.5</v>
      </c>
      <c r="O967" s="2">
        <v>-8.2799999999999994</v>
      </c>
      <c r="P967" s="4">
        <v>0.23</v>
      </c>
      <c r="Q967" t="s">
        <v>75</v>
      </c>
      <c r="R967" s="4">
        <f t="shared" si="15"/>
        <v>-3.1685290065819681E-2</v>
      </c>
    </row>
    <row r="968" spans="1:18" x14ac:dyDescent="0.25">
      <c r="A968">
        <v>1939</v>
      </c>
      <c r="B968" s="1">
        <v>45424</v>
      </c>
      <c r="C968" t="s">
        <v>198</v>
      </c>
      <c r="D968" t="s">
        <v>32</v>
      </c>
      <c r="E968" t="s">
        <v>26</v>
      </c>
      <c r="F968" t="s">
        <v>40</v>
      </c>
      <c r="G968" t="s">
        <v>35</v>
      </c>
      <c r="H968" t="s">
        <v>70</v>
      </c>
      <c r="I968" t="s">
        <v>84</v>
      </c>
      <c r="J968">
        <v>3</v>
      </c>
      <c r="K968" s="3">
        <v>878.5</v>
      </c>
      <c r="L968" s="2">
        <v>697.74</v>
      </c>
      <c r="M968" s="2">
        <f>Table1[[#This Row],[UnitPrice]]*Table1[[#This Row],[Quantity]]</f>
        <v>2635.5</v>
      </c>
      <c r="N968" s="2">
        <f>Table1[[#This Row],[CostPrice]]*Table1[[#This Row],[Quantity]]</f>
        <v>2093.2200000000003</v>
      </c>
      <c r="O968" s="2">
        <v>-142.94999999999999</v>
      </c>
      <c r="P968" s="4">
        <v>0.26</v>
      </c>
      <c r="Q968" t="s">
        <v>55</v>
      </c>
      <c r="R968" s="4">
        <f t="shared" si="15"/>
        <v>-5.4240182128628342E-2</v>
      </c>
    </row>
    <row r="969" spans="1:18" x14ac:dyDescent="0.25">
      <c r="A969">
        <v>1013</v>
      </c>
      <c r="B969" s="1">
        <v>45485</v>
      </c>
      <c r="C969" t="s">
        <v>69</v>
      </c>
      <c r="D969" t="s">
        <v>32</v>
      </c>
      <c r="E969" t="s">
        <v>53</v>
      </c>
      <c r="F969" t="s">
        <v>40</v>
      </c>
      <c r="G969" t="s">
        <v>35</v>
      </c>
      <c r="H969" t="s">
        <v>70</v>
      </c>
      <c r="I969" t="s">
        <v>71</v>
      </c>
      <c r="J969">
        <v>2</v>
      </c>
      <c r="K969" s="3">
        <v>251.67</v>
      </c>
      <c r="L969" s="2">
        <v>131.47</v>
      </c>
      <c r="M969" s="2">
        <f>Table1[[#This Row],[UnitPrice]]*Table1[[#This Row],[Quantity]]</f>
        <v>503.34</v>
      </c>
      <c r="N969" s="2">
        <f>Table1[[#This Row],[CostPrice]]*Table1[[#This Row],[Quantity]]</f>
        <v>262.94</v>
      </c>
      <c r="O969" s="2">
        <v>235.37</v>
      </c>
      <c r="P969" s="4">
        <v>0.01</v>
      </c>
      <c r="Q969" t="s">
        <v>38</v>
      </c>
      <c r="R969" s="4">
        <f t="shared" si="15"/>
        <v>0.4676163229626098</v>
      </c>
    </row>
    <row r="970" spans="1:18" x14ac:dyDescent="0.25">
      <c r="A970">
        <v>1450</v>
      </c>
      <c r="B970" s="1">
        <v>45485</v>
      </c>
      <c r="C970" t="s">
        <v>231</v>
      </c>
      <c r="D970" t="s">
        <v>25</v>
      </c>
      <c r="E970" t="s">
        <v>18</v>
      </c>
      <c r="F970" t="s">
        <v>40</v>
      </c>
      <c r="G970" t="s">
        <v>41</v>
      </c>
      <c r="H970" t="s">
        <v>63</v>
      </c>
      <c r="I970" t="s">
        <v>117</v>
      </c>
      <c r="J970">
        <v>1</v>
      </c>
      <c r="K970" s="3">
        <v>118.27</v>
      </c>
      <c r="L970" s="2">
        <v>72.930000000000007</v>
      </c>
      <c r="M970" s="2">
        <f>Table1[[#This Row],[UnitPrice]]*Table1[[#This Row],[Quantity]]</f>
        <v>118.27</v>
      </c>
      <c r="N970" s="2">
        <f>Table1[[#This Row],[CostPrice]]*Table1[[#This Row],[Quantity]]</f>
        <v>72.930000000000007</v>
      </c>
      <c r="O970" s="2">
        <v>31.15</v>
      </c>
      <c r="P970" s="4">
        <v>0.12</v>
      </c>
      <c r="Q970" t="s">
        <v>125</v>
      </c>
      <c r="R970" s="4">
        <f t="shared" si="15"/>
        <v>0.26338040077788111</v>
      </c>
    </row>
    <row r="971" spans="1:18" x14ac:dyDescent="0.25">
      <c r="A971">
        <v>1657</v>
      </c>
      <c r="B971" s="1">
        <v>45485</v>
      </c>
      <c r="C971" t="s">
        <v>225</v>
      </c>
      <c r="D971" t="s">
        <v>25</v>
      </c>
      <c r="E971" t="s">
        <v>26</v>
      </c>
      <c r="F971" t="s">
        <v>19</v>
      </c>
      <c r="G971" t="s">
        <v>35</v>
      </c>
      <c r="H971" t="s">
        <v>49</v>
      </c>
      <c r="I971" t="s">
        <v>66</v>
      </c>
      <c r="J971">
        <v>2</v>
      </c>
      <c r="K971" s="3">
        <v>32.729999999999997</v>
      </c>
      <c r="L971" s="2">
        <v>21.31</v>
      </c>
      <c r="M971" s="2">
        <f>Table1[[#This Row],[UnitPrice]]*Table1[[#This Row],[Quantity]]</f>
        <v>65.459999999999994</v>
      </c>
      <c r="N971" s="2">
        <f>Table1[[#This Row],[CostPrice]]*Table1[[#This Row],[Quantity]]</f>
        <v>42.62</v>
      </c>
      <c r="O971" s="2">
        <v>22.19</v>
      </c>
      <c r="P971" s="4">
        <v>0.01</v>
      </c>
      <c r="Q971" t="s">
        <v>85</v>
      </c>
      <c r="R971" s="4">
        <f t="shared" si="15"/>
        <v>0.33898564008554849</v>
      </c>
    </row>
    <row r="972" spans="1:18" x14ac:dyDescent="0.25">
      <c r="A972">
        <v>1879</v>
      </c>
      <c r="B972" s="1">
        <v>45516</v>
      </c>
      <c r="C972" t="s">
        <v>239</v>
      </c>
      <c r="D972" t="s">
        <v>25</v>
      </c>
      <c r="E972" t="s">
        <v>33</v>
      </c>
      <c r="F972" t="s">
        <v>34</v>
      </c>
      <c r="G972" t="s">
        <v>41</v>
      </c>
      <c r="H972" t="s">
        <v>42</v>
      </c>
      <c r="I972" t="s">
        <v>43</v>
      </c>
      <c r="J972">
        <v>3</v>
      </c>
      <c r="K972" s="3">
        <v>564.24</v>
      </c>
      <c r="L972" s="2">
        <v>473.14</v>
      </c>
      <c r="M972" s="2">
        <f>Table1[[#This Row],[UnitPrice]]*Table1[[#This Row],[Quantity]]</f>
        <v>1692.72</v>
      </c>
      <c r="N972" s="2">
        <f>Table1[[#This Row],[CostPrice]]*Table1[[#This Row],[Quantity]]</f>
        <v>1419.42</v>
      </c>
      <c r="O972" s="2">
        <v>205.59</v>
      </c>
      <c r="P972" s="4">
        <v>0.04</v>
      </c>
      <c r="Q972" t="s">
        <v>92</v>
      </c>
      <c r="R972" s="4">
        <f t="shared" si="15"/>
        <v>0.12145540904579612</v>
      </c>
    </row>
    <row r="973" spans="1:18" x14ac:dyDescent="0.25">
      <c r="A973">
        <v>1605</v>
      </c>
      <c r="B973" s="1">
        <v>45547</v>
      </c>
      <c r="C973" t="s">
        <v>147</v>
      </c>
      <c r="D973" t="s">
        <v>17</v>
      </c>
      <c r="E973" t="s">
        <v>53</v>
      </c>
      <c r="F973" t="s">
        <v>40</v>
      </c>
      <c r="G973" t="s">
        <v>41</v>
      </c>
      <c r="H973" t="s">
        <v>63</v>
      </c>
      <c r="I973" t="s">
        <v>117</v>
      </c>
      <c r="J973">
        <v>7</v>
      </c>
      <c r="K973" s="3">
        <v>805.62</v>
      </c>
      <c r="L973" s="2">
        <v>427.52</v>
      </c>
      <c r="M973" s="2">
        <f>Table1[[#This Row],[UnitPrice]]*Table1[[#This Row],[Quantity]]</f>
        <v>5639.34</v>
      </c>
      <c r="N973" s="2">
        <f>Table1[[#This Row],[CostPrice]]*Table1[[#This Row],[Quantity]]</f>
        <v>2992.64</v>
      </c>
      <c r="O973" s="2">
        <v>2421.13</v>
      </c>
      <c r="P973" s="4">
        <v>0.04</v>
      </c>
      <c r="Q973" t="s">
        <v>23</v>
      </c>
      <c r="R973" s="4">
        <f t="shared" si="15"/>
        <v>0.42932860937627454</v>
      </c>
    </row>
    <row r="974" spans="1:18" x14ac:dyDescent="0.25">
      <c r="A974">
        <v>1169</v>
      </c>
      <c r="B974" s="1">
        <v>45577</v>
      </c>
      <c r="C974" t="s">
        <v>178</v>
      </c>
      <c r="D974" t="s">
        <v>17</v>
      </c>
      <c r="E974" t="s">
        <v>33</v>
      </c>
      <c r="F974" t="s">
        <v>27</v>
      </c>
      <c r="G974" t="s">
        <v>35</v>
      </c>
      <c r="H974" t="s">
        <v>36</v>
      </c>
      <c r="I974" t="s">
        <v>37</v>
      </c>
      <c r="J974">
        <v>9</v>
      </c>
      <c r="K974" s="3">
        <v>923.49</v>
      </c>
      <c r="L974" s="2">
        <v>748.7</v>
      </c>
      <c r="M974" s="2">
        <f>Table1[[#This Row],[UnitPrice]]*Table1[[#This Row],[Quantity]]</f>
        <v>8311.41</v>
      </c>
      <c r="N974" s="2">
        <f>Table1[[#This Row],[CostPrice]]*Table1[[#This Row],[Quantity]]</f>
        <v>6738.3</v>
      </c>
      <c r="O974" s="2">
        <v>-338.51</v>
      </c>
      <c r="P974" s="4">
        <v>0.23</v>
      </c>
      <c r="Q974" t="s">
        <v>44</v>
      </c>
      <c r="R974" s="4">
        <f t="shared" si="15"/>
        <v>-4.0728348138282196E-2</v>
      </c>
    </row>
    <row r="975" spans="1:18" x14ac:dyDescent="0.25">
      <c r="A975">
        <v>1077</v>
      </c>
      <c r="B975" s="1">
        <v>45608</v>
      </c>
      <c r="C975" t="s">
        <v>144</v>
      </c>
      <c r="D975" t="s">
        <v>25</v>
      </c>
      <c r="E975" t="s">
        <v>33</v>
      </c>
      <c r="F975" t="s">
        <v>40</v>
      </c>
      <c r="G975" t="s">
        <v>20</v>
      </c>
      <c r="H975" t="s">
        <v>28</v>
      </c>
      <c r="I975" t="s">
        <v>29</v>
      </c>
      <c r="J975">
        <v>6</v>
      </c>
      <c r="K975" s="3">
        <v>433.53</v>
      </c>
      <c r="L975" s="2">
        <v>253.82</v>
      </c>
      <c r="M975" s="2">
        <f>Table1[[#This Row],[UnitPrice]]*Table1[[#This Row],[Quantity]]</f>
        <v>2601.1799999999998</v>
      </c>
      <c r="N975" s="2">
        <f>Table1[[#This Row],[CostPrice]]*Table1[[#This Row],[Quantity]]</f>
        <v>1522.92</v>
      </c>
      <c r="O975" s="2">
        <v>766.12</v>
      </c>
      <c r="P975" s="4">
        <v>0.12</v>
      </c>
      <c r="Q975" t="s">
        <v>92</v>
      </c>
      <c r="R975" s="4">
        <f t="shared" si="15"/>
        <v>0.29452786812139109</v>
      </c>
    </row>
    <row r="976" spans="1:18" x14ac:dyDescent="0.25">
      <c r="A976">
        <v>1795</v>
      </c>
      <c r="B976" s="1">
        <v>45608</v>
      </c>
      <c r="C976" t="s">
        <v>282</v>
      </c>
      <c r="D976" t="s">
        <v>17</v>
      </c>
      <c r="E976" t="s">
        <v>18</v>
      </c>
      <c r="F976" t="s">
        <v>19</v>
      </c>
      <c r="G976" t="s">
        <v>41</v>
      </c>
      <c r="H976" t="s">
        <v>42</v>
      </c>
      <c r="I976" t="s">
        <v>68</v>
      </c>
      <c r="J976">
        <v>7</v>
      </c>
      <c r="K976" s="3">
        <v>551.59</v>
      </c>
      <c r="L976" s="2">
        <v>379.8</v>
      </c>
      <c r="M976" s="2">
        <f>Table1[[#This Row],[UnitPrice]]*Table1[[#This Row],[Quantity]]</f>
        <v>3861.13</v>
      </c>
      <c r="N976" s="2">
        <f>Table1[[#This Row],[CostPrice]]*Table1[[#This Row],[Quantity]]</f>
        <v>2658.6</v>
      </c>
      <c r="O976" s="2">
        <v>623.36</v>
      </c>
      <c r="P976" s="4">
        <v>0.15</v>
      </c>
      <c r="Q976" t="s">
        <v>38</v>
      </c>
      <c r="R976" s="4">
        <f t="shared" si="15"/>
        <v>0.16144496559297408</v>
      </c>
    </row>
    <row r="977" spans="1:18" x14ac:dyDescent="0.25">
      <c r="A977">
        <v>1495</v>
      </c>
      <c r="B977" s="1">
        <v>45639</v>
      </c>
      <c r="C977" t="s">
        <v>278</v>
      </c>
      <c r="D977" t="s">
        <v>25</v>
      </c>
      <c r="E977" t="s">
        <v>18</v>
      </c>
      <c r="F977" t="s">
        <v>27</v>
      </c>
      <c r="G977" t="s">
        <v>20</v>
      </c>
      <c r="H977" t="s">
        <v>113</v>
      </c>
      <c r="I977" t="s">
        <v>153</v>
      </c>
      <c r="J977">
        <v>4</v>
      </c>
      <c r="K977" s="3">
        <v>144.24</v>
      </c>
      <c r="L977" s="2">
        <v>81.87</v>
      </c>
      <c r="M977" s="2">
        <f>Table1[[#This Row],[UnitPrice]]*Table1[[#This Row],[Quantity]]</f>
        <v>576.96</v>
      </c>
      <c r="N977" s="2">
        <f>Table1[[#This Row],[CostPrice]]*Table1[[#This Row],[Quantity]]</f>
        <v>327.48</v>
      </c>
      <c r="O977" s="2">
        <v>122.55</v>
      </c>
      <c r="P977" s="4">
        <v>0.22</v>
      </c>
      <c r="Q977" t="s">
        <v>125</v>
      </c>
      <c r="R977" s="4">
        <f t="shared" si="15"/>
        <v>0.21240640599001662</v>
      </c>
    </row>
    <row r="978" spans="1:18" x14ac:dyDescent="0.25">
      <c r="A978">
        <v>1501</v>
      </c>
      <c r="B978" s="1">
        <v>45640</v>
      </c>
      <c r="C978" t="s">
        <v>154</v>
      </c>
      <c r="D978" t="s">
        <v>25</v>
      </c>
      <c r="E978" t="s">
        <v>53</v>
      </c>
      <c r="F978" t="s">
        <v>19</v>
      </c>
      <c r="G978" t="s">
        <v>41</v>
      </c>
      <c r="H978" t="s">
        <v>42</v>
      </c>
      <c r="I978" t="s">
        <v>77</v>
      </c>
      <c r="J978">
        <v>2</v>
      </c>
      <c r="K978" s="3">
        <v>792.1</v>
      </c>
      <c r="L978" s="2">
        <v>571.32000000000005</v>
      </c>
      <c r="M978" s="2">
        <f>Table1[[#This Row],[UnitPrice]]*Table1[[#This Row],[Quantity]]</f>
        <v>1584.2</v>
      </c>
      <c r="N978" s="2">
        <f>Table1[[#This Row],[CostPrice]]*Table1[[#This Row],[Quantity]]</f>
        <v>1142.6400000000001</v>
      </c>
      <c r="O978" s="2">
        <v>267.3</v>
      </c>
      <c r="P978" s="4">
        <v>0.11</v>
      </c>
      <c r="Q978" t="s">
        <v>92</v>
      </c>
      <c r="R978" s="4">
        <f t="shared" si="15"/>
        <v>0.16872869587173336</v>
      </c>
    </row>
    <row r="979" spans="1:18" x14ac:dyDescent="0.25">
      <c r="A979">
        <v>1697</v>
      </c>
      <c r="B979" s="1">
        <v>45640</v>
      </c>
      <c r="C979" t="s">
        <v>191</v>
      </c>
      <c r="D979" t="s">
        <v>17</v>
      </c>
      <c r="E979" t="s">
        <v>33</v>
      </c>
      <c r="F979" t="s">
        <v>27</v>
      </c>
      <c r="G979" t="s">
        <v>41</v>
      </c>
      <c r="H979" t="s">
        <v>46</v>
      </c>
      <c r="I979" t="s">
        <v>57</v>
      </c>
      <c r="J979">
        <v>1</v>
      </c>
      <c r="K979" s="3">
        <v>600.21</v>
      </c>
      <c r="L979" s="2">
        <v>310.33</v>
      </c>
      <c r="M979" s="2">
        <f>Table1[[#This Row],[UnitPrice]]*Table1[[#This Row],[Quantity]]</f>
        <v>600.21</v>
      </c>
      <c r="N979" s="2">
        <f>Table1[[#This Row],[CostPrice]]*Table1[[#This Row],[Quantity]]</f>
        <v>310.33</v>
      </c>
      <c r="O979" s="2">
        <v>223.86</v>
      </c>
      <c r="P979" s="4">
        <v>0.11</v>
      </c>
      <c r="Q979" t="s">
        <v>23</v>
      </c>
      <c r="R979" s="4">
        <f t="shared" si="15"/>
        <v>0.37296946068875891</v>
      </c>
    </row>
    <row r="980" spans="1:18" x14ac:dyDescent="0.25">
      <c r="A980">
        <v>1824</v>
      </c>
      <c r="B980" s="1">
        <v>45640</v>
      </c>
      <c r="C980" t="s">
        <v>295</v>
      </c>
      <c r="D980" t="s">
        <v>25</v>
      </c>
      <c r="E980" t="s">
        <v>53</v>
      </c>
      <c r="F980" t="s">
        <v>19</v>
      </c>
      <c r="G980" t="s">
        <v>35</v>
      </c>
      <c r="H980" t="s">
        <v>36</v>
      </c>
      <c r="I980" t="s">
        <v>87</v>
      </c>
      <c r="J980">
        <v>10</v>
      </c>
      <c r="K980" s="3">
        <v>955.33</v>
      </c>
      <c r="L980" s="2">
        <v>601.47</v>
      </c>
      <c r="M980" s="2">
        <f>Table1[[#This Row],[UnitPrice]]*Table1[[#This Row],[Quantity]]</f>
        <v>9553.3000000000011</v>
      </c>
      <c r="N980" s="2">
        <f>Table1[[#This Row],[CostPrice]]*Table1[[#This Row],[Quantity]]</f>
        <v>6014.7000000000007</v>
      </c>
      <c r="O980" s="2">
        <v>2487.7399999999998</v>
      </c>
      <c r="P980" s="4">
        <v>0.11</v>
      </c>
      <c r="Q980" t="s">
        <v>30</v>
      </c>
      <c r="R980" s="4">
        <f t="shared" si="15"/>
        <v>0.26040635173186222</v>
      </c>
    </row>
    <row r="981" spans="1:18" x14ac:dyDescent="0.25">
      <c r="A981">
        <v>1692</v>
      </c>
      <c r="B981" s="1">
        <v>45641</v>
      </c>
      <c r="C981" t="s">
        <v>99</v>
      </c>
      <c r="D981" t="s">
        <v>25</v>
      </c>
      <c r="E981" t="s">
        <v>53</v>
      </c>
      <c r="F981" t="s">
        <v>27</v>
      </c>
      <c r="G981" t="s">
        <v>41</v>
      </c>
      <c r="H981" t="s">
        <v>42</v>
      </c>
      <c r="I981" t="s">
        <v>68</v>
      </c>
      <c r="J981">
        <v>2</v>
      </c>
      <c r="K981" s="3">
        <v>756.62</v>
      </c>
      <c r="L981" s="2">
        <v>511.88</v>
      </c>
      <c r="M981" s="2">
        <f>Table1[[#This Row],[UnitPrice]]*Table1[[#This Row],[Quantity]]</f>
        <v>1513.24</v>
      </c>
      <c r="N981" s="2">
        <f>Table1[[#This Row],[CostPrice]]*Table1[[#This Row],[Quantity]]</f>
        <v>1023.76</v>
      </c>
      <c r="O981" s="2">
        <v>141.43</v>
      </c>
      <c r="P981" s="4">
        <v>0.23</v>
      </c>
      <c r="Q981" t="s">
        <v>75</v>
      </c>
      <c r="R981" s="4">
        <f t="shared" si="15"/>
        <v>9.3461711294969732E-2</v>
      </c>
    </row>
    <row r="982" spans="1:18" x14ac:dyDescent="0.25">
      <c r="A982">
        <v>1249</v>
      </c>
      <c r="B982" s="1">
        <v>45644</v>
      </c>
      <c r="C982" t="s">
        <v>230</v>
      </c>
      <c r="D982" t="s">
        <v>32</v>
      </c>
      <c r="E982" t="s">
        <v>33</v>
      </c>
      <c r="F982" t="s">
        <v>34</v>
      </c>
      <c r="G982" t="s">
        <v>41</v>
      </c>
      <c r="H982" t="s">
        <v>42</v>
      </c>
      <c r="I982" t="s">
        <v>43</v>
      </c>
      <c r="J982">
        <v>7</v>
      </c>
      <c r="K982" s="3">
        <v>79.459999999999994</v>
      </c>
      <c r="L982" s="2">
        <v>55.52</v>
      </c>
      <c r="M982" s="2">
        <f>Table1[[#This Row],[UnitPrice]]*Table1[[#This Row],[Quantity]]</f>
        <v>556.21999999999991</v>
      </c>
      <c r="N982" s="2">
        <f>Table1[[#This Row],[CostPrice]]*Table1[[#This Row],[Quantity]]</f>
        <v>388.64000000000004</v>
      </c>
      <c r="O982" s="2">
        <v>95.27</v>
      </c>
      <c r="P982" s="4">
        <v>0.13</v>
      </c>
      <c r="Q982" t="s">
        <v>92</v>
      </c>
      <c r="R982" s="4">
        <f t="shared" si="15"/>
        <v>0.17128114774729425</v>
      </c>
    </row>
    <row r="983" spans="1:18" x14ac:dyDescent="0.25">
      <c r="A983">
        <v>1238</v>
      </c>
      <c r="B983" s="1">
        <v>45645</v>
      </c>
      <c r="C983" t="s">
        <v>225</v>
      </c>
      <c r="D983" t="s">
        <v>17</v>
      </c>
      <c r="E983" t="s">
        <v>26</v>
      </c>
      <c r="F983" t="s">
        <v>40</v>
      </c>
      <c r="G983" t="s">
        <v>20</v>
      </c>
      <c r="H983" t="s">
        <v>28</v>
      </c>
      <c r="I983" t="s">
        <v>90</v>
      </c>
      <c r="J983">
        <v>9</v>
      </c>
      <c r="K983" s="3">
        <v>921.32</v>
      </c>
      <c r="L983" s="2">
        <v>774.84</v>
      </c>
      <c r="M983" s="2">
        <f>Table1[[#This Row],[UnitPrice]]*Table1[[#This Row],[Quantity]]</f>
        <v>8291.880000000001</v>
      </c>
      <c r="N983" s="2">
        <f>Table1[[#This Row],[CostPrice]]*Table1[[#This Row],[Quantity]]</f>
        <v>6973.56</v>
      </c>
      <c r="O983" s="2">
        <v>903.73</v>
      </c>
      <c r="P983" s="4">
        <v>0.05</v>
      </c>
      <c r="Q983" t="s">
        <v>85</v>
      </c>
      <c r="R983" s="4">
        <f t="shared" si="15"/>
        <v>0.10898975865545568</v>
      </c>
    </row>
    <row r="984" spans="1:18" x14ac:dyDescent="0.25">
      <c r="A984">
        <v>1266</v>
      </c>
      <c r="B984" s="1">
        <v>45645</v>
      </c>
      <c r="C984" t="s">
        <v>165</v>
      </c>
      <c r="D984" t="s">
        <v>17</v>
      </c>
      <c r="E984" t="s">
        <v>33</v>
      </c>
      <c r="F984" t="s">
        <v>19</v>
      </c>
      <c r="G984" t="s">
        <v>41</v>
      </c>
      <c r="H984" t="s">
        <v>46</v>
      </c>
      <c r="I984" t="s">
        <v>102</v>
      </c>
      <c r="J984">
        <v>4</v>
      </c>
      <c r="K984" s="3">
        <v>641.45000000000005</v>
      </c>
      <c r="L984" s="2">
        <v>344.1</v>
      </c>
      <c r="M984" s="2">
        <f>Table1[[#This Row],[UnitPrice]]*Table1[[#This Row],[Quantity]]</f>
        <v>2565.8000000000002</v>
      </c>
      <c r="N984" s="2">
        <f>Table1[[#This Row],[CostPrice]]*Table1[[#This Row],[Quantity]]</f>
        <v>1376.4</v>
      </c>
      <c r="O984" s="2">
        <v>804.53</v>
      </c>
      <c r="P984" s="4">
        <v>0.15</v>
      </c>
      <c r="Q984" t="s">
        <v>85</v>
      </c>
      <c r="R984" s="4">
        <f t="shared" si="15"/>
        <v>0.31355912386000462</v>
      </c>
    </row>
    <row r="985" spans="1:18" x14ac:dyDescent="0.25">
      <c r="A985">
        <v>1410</v>
      </c>
      <c r="B985" s="1">
        <v>45646</v>
      </c>
      <c r="C985" t="s">
        <v>160</v>
      </c>
      <c r="D985" t="s">
        <v>25</v>
      </c>
      <c r="E985" t="s">
        <v>26</v>
      </c>
      <c r="F985" t="s">
        <v>19</v>
      </c>
      <c r="G985" t="s">
        <v>41</v>
      </c>
      <c r="H985" t="s">
        <v>46</v>
      </c>
      <c r="I985" t="s">
        <v>102</v>
      </c>
      <c r="J985">
        <v>6</v>
      </c>
      <c r="K985" s="3">
        <v>659.24</v>
      </c>
      <c r="L985" s="2">
        <v>452.81</v>
      </c>
      <c r="M985" s="2">
        <f>Table1[[#This Row],[UnitPrice]]*Table1[[#This Row],[Quantity]]</f>
        <v>3955.44</v>
      </c>
      <c r="N985" s="2">
        <f>Table1[[#This Row],[CostPrice]]*Table1[[#This Row],[Quantity]]</f>
        <v>2716.86</v>
      </c>
      <c r="O985" s="2">
        <v>526.6</v>
      </c>
      <c r="P985" s="4">
        <v>0.18</v>
      </c>
      <c r="Q985" t="s">
        <v>85</v>
      </c>
      <c r="R985" s="4">
        <f t="shared" si="15"/>
        <v>0.13313310276479987</v>
      </c>
    </row>
    <row r="986" spans="1:18" x14ac:dyDescent="0.25">
      <c r="A986">
        <v>1264</v>
      </c>
      <c r="B986" s="1">
        <v>45648</v>
      </c>
      <c r="C986" t="s">
        <v>160</v>
      </c>
      <c r="D986" t="s">
        <v>17</v>
      </c>
      <c r="E986" t="s">
        <v>33</v>
      </c>
      <c r="F986" t="s">
        <v>40</v>
      </c>
      <c r="G986" t="s">
        <v>35</v>
      </c>
      <c r="H986" t="s">
        <v>49</v>
      </c>
      <c r="I986" t="s">
        <v>66</v>
      </c>
      <c r="J986">
        <v>3</v>
      </c>
      <c r="K986" s="3">
        <v>733.69</v>
      </c>
      <c r="L986" s="2">
        <v>479.03</v>
      </c>
      <c r="M986" s="2">
        <f>Table1[[#This Row],[UnitPrice]]*Table1[[#This Row],[Quantity]]</f>
        <v>2201.0700000000002</v>
      </c>
      <c r="N986" s="2">
        <f>Table1[[#This Row],[CostPrice]]*Table1[[#This Row],[Quantity]]</f>
        <v>1437.09</v>
      </c>
      <c r="O986" s="2">
        <v>345.78</v>
      </c>
      <c r="P986" s="4">
        <v>0.19</v>
      </c>
      <c r="Q986" t="s">
        <v>55</v>
      </c>
      <c r="R986" s="4">
        <f t="shared" si="15"/>
        <v>0.15709632133462359</v>
      </c>
    </row>
    <row r="987" spans="1:18" x14ac:dyDescent="0.25">
      <c r="A987">
        <v>1454</v>
      </c>
      <c r="B987" s="1">
        <v>45649</v>
      </c>
      <c r="C987" t="s">
        <v>265</v>
      </c>
      <c r="D987" t="s">
        <v>17</v>
      </c>
      <c r="E987" t="s">
        <v>33</v>
      </c>
      <c r="F987" t="s">
        <v>40</v>
      </c>
      <c r="G987" t="s">
        <v>35</v>
      </c>
      <c r="H987" t="s">
        <v>36</v>
      </c>
      <c r="I987" t="s">
        <v>37</v>
      </c>
      <c r="J987">
        <v>4</v>
      </c>
      <c r="K987" s="3">
        <v>374.73</v>
      </c>
      <c r="L987" s="2">
        <v>296.14999999999998</v>
      </c>
      <c r="M987" s="2">
        <f>Table1[[#This Row],[UnitPrice]]*Table1[[#This Row],[Quantity]]</f>
        <v>1498.92</v>
      </c>
      <c r="N987" s="2">
        <f>Table1[[#This Row],[CostPrice]]*Table1[[#This Row],[Quantity]]</f>
        <v>1184.5999999999999</v>
      </c>
      <c r="O987" s="2">
        <v>179.42</v>
      </c>
      <c r="P987" s="4">
        <v>0.09</v>
      </c>
      <c r="Q987" t="s">
        <v>38</v>
      </c>
      <c r="R987" s="4">
        <f t="shared" si="15"/>
        <v>0.11969951698556293</v>
      </c>
    </row>
    <row r="988" spans="1:18" x14ac:dyDescent="0.25">
      <c r="A988">
        <v>1862</v>
      </c>
      <c r="B988" s="1">
        <v>45649</v>
      </c>
      <c r="C988" t="s">
        <v>103</v>
      </c>
      <c r="D988" t="s">
        <v>17</v>
      </c>
      <c r="E988" t="s">
        <v>33</v>
      </c>
      <c r="F988" t="s">
        <v>34</v>
      </c>
      <c r="G988" t="s">
        <v>20</v>
      </c>
      <c r="H988" t="s">
        <v>113</v>
      </c>
      <c r="I988" t="s">
        <v>161</v>
      </c>
      <c r="J988">
        <v>10</v>
      </c>
      <c r="K988" s="3">
        <v>479.37</v>
      </c>
      <c r="L988" s="2">
        <v>290.91000000000003</v>
      </c>
      <c r="M988" s="2">
        <f>Table1[[#This Row],[UnitPrice]]*Table1[[#This Row],[Quantity]]</f>
        <v>4793.7</v>
      </c>
      <c r="N988" s="2">
        <f>Table1[[#This Row],[CostPrice]]*Table1[[#This Row],[Quantity]]</f>
        <v>2909.1000000000004</v>
      </c>
      <c r="O988" s="2">
        <v>590.29999999999995</v>
      </c>
      <c r="P988" s="4">
        <v>0.27</v>
      </c>
      <c r="Q988" t="s">
        <v>23</v>
      </c>
      <c r="R988" s="4">
        <f t="shared" si="15"/>
        <v>0.12314078895216637</v>
      </c>
    </row>
    <row r="989" spans="1:18" x14ac:dyDescent="0.25">
      <c r="A989">
        <v>1971</v>
      </c>
      <c r="B989" s="1">
        <v>45649</v>
      </c>
      <c r="C989" t="s">
        <v>137</v>
      </c>
      <c r="D989" t="s">
        <v>25</v>
      </c>
      <c r="E989" t="s">
        <v>33</v>
      </c>
      <c r="F989" t="s">
        <v>27</v>
      </c>
      <c r="G989" t="s">
        <v>20</v>
      </c>
      <c r="H989" t="s">
        <v>21</v>
      </c>
      <c r="I989" t="s">
        <v>79</v>
      </c>
      <c r="J989">
        <v>1</v>
      </c>
      <c r="K989" s="3">
        <v>317.67</v>
      </c>
      <c r="L989" s="2">
        <v>254.22</v>
      </c>
      <c r="M989" s="2">
        <f>Table1[[#This Row],[UnitPrice]]*Table1[[#This Row],[Quantity]]</f>
        <v>317.67</v>
      </c>
      <c r="N989" s="2">
        <f>Table1[[#This Row],[CostPrice]]*Table1[[#This Row],[Quantity]]</f>
        <v>254.22</v>
      </c>
      <c r="O989" s="2">
        <v>38.04</v>
      </c>
      <c r="P989" s="4">
        <v>0.08</v>
      </c>
      <c r="Q989" t="s">
        <v>23</v>
      </c>
      <c r="R989" s="4">
        <f t="shared" si="15"/>
        <v>0.11974690716781565</v>
      </c>
    </row>
    <row r="990" spans="1:18" x14ac:dyDescent="0.25">
      <c r="A990">
        <v>1402</v>
      </c>
      <c r="B990" s="1">
        <v>45650</v>
      </c>
      <c r="C990" t="s">
        <v>207</v>
      </c>
      <c r="D990" t="s">
        <v>32</v>
      </c>
      <c r="E990" t="s">
        <v>53</v>
      </c>
      <c r="F990" t="s">
        <v>19</v>
      </c>
      <c r="G990" t="s">
        <v>41</v>
      </c>
      <c r="H990" t="s">
        <v>42</v>
      </c>
      <c r="I990" t="s">
        <v>43</v>
      </c>
      <c r="J990">
        <v>6</v>
      </c>
      <c r="K990" s="3">
        <v>327.06</v>
      </c>
      <c r="L990" s="2">
        <v>217.15</v>
      </c>
      <c r="M990" s="2">
        <f>Table1[[#This Row],[UnitPrice]]*Table1[[#This Row],[Quantity]]</f>
        <v>1962.3600000000001</v>
      </c>
      <c r="N990" s="2">
        <f>Table1[[#This Row],[CostPrice]]*Table1[[#This Row],[Quantity]]</f>
        <v>1302.9000000000001</v>
      </c>
      <c r="O990" s="2">
        <v>149.25</v>
      </c>
      <c r="P990" s="4">
        <v>0.26</v>
      </c>
      <c r="Q990" t="s">
        <v>125</v>
      </c>
      <c r="R990" s="4">
        <f t="shared" si="15"/>
        <v>7.6056381092154346E-2</v>
      </c>
    </row>
    <row r="991" spans="1:18" x14ac:dyDescent="0.25">
      <c r="A991">
        <v>1557</v>
      </c>
      <c r="B991" s="1">
        <v>45650</v>
      </c>
      <c r="C991" t="s">
        <v>217</v>
      </c>
      <c r="D991" t="s">
        <v>32</v>
      </c>
      <c r="E991" t="s">
        <v>26</v>
      </c>
      <c r="F991" t="s">
        <v>40</v>
      </c>
      <c r="G991" t="s">
        <v>41</v>
      </c>
      <c r="H991" t="s">
        <v>46</v>
      </c>
      <c r="I991" t="s">
        <v>57</v>
      </c>
      <c r="J991">
        <v>2</v>
      </c>
      <c r="K991" s="3">
        <v>571.01</v>
      </c>
      <c r="L991" s="2">
        <v>383.54</v>
      </c>
      <c r="M991" s="2">
        <f>Table1[[#This Row],[UnitPrice]]*Table1[[#This Row],[Quantity]]</f>
        <v>1142.02</v>
      </c>
      <c r="N991" s="2">
        <f>Table1[[#This Row],[CostPrice]]*Table1[[#This Row],[Quantity]]</f>
        <v>767.08</v>
      </c>
      <c r="O991" s="2">
        <v>180.8</v>
      </c>
      <c r="P991" s="4">
        <v>0.17</v>
      </c>
      <c r="Q991" t="s">
        <v>38</v>
      </c>
      <c r="R991" s="4">
        <f t="shared" si="15"/>
        <v>0.15831596644542129</v>
      </c>
    </row>
    <row r="992" spans="1:18" x14ac:dyDescent="0.25">
      <c r="A992">
        <v>1934</v>
      </c>
      <c r="B992" s="1">
        <v>45650</v>
      </c>
      <c r="C992" t="s">
        <v>238</v>
      </c>
      <c r="D992" t="s">
        <v>25</v>
      </c>
      <c r="E992" t="s">
        <v>53</v>
      </c>
      <c r="F992" t="s">
        <v>27</v>
      </c>
      <c r="G992" t="s">
        <v>35</v>
      </c>
      <c r="H992" t="s">
        <v>49</v>
      </c>
      <c r="I992" t="s">
        <v>66</v>
      </c>
      <c r="J992">
        <v>3</v>
      </c>
      <c r="K992" s="3">
        <v>993.11</v>
      </c>
      <c r="L992" s="2">
        <v>750.86</v>
      </c>
      <c r="M992" s="2">
        <f>Table1[[#This Row],[UnitPrice]]*Table1[[#This Row],[Quantity]]</f>
        <v>2979.33</v>
      </c>
      <c r="N992" s="2">
        <f>Table1[[#This Row],[CostPrice]]*Table1[[#This Row],[Quantity]]</f>
        <v>2252.58</v>
      </c>
      <c r="O992" s="2">
        <v>637.37</v>
      </c>
      <c r="P992" s="4">
        <v>0.03</v>
      </c>
      <c r="Q992" t="s">
        <v>85</v>
      </c>
      <c r="R992" s="4">
        <f t="shared" si="15"/>
        <v>0.21393064883715468</v>
      </c>
    </row>
    <row r="993" spans="1:18" x14ac:dyDescent="0.25">
      <c r="A993">
        <v>1936</v>
      </c>
      <c r="B993" s="1">
        <v>45650</v>
      </c>
      <c r="C993" t="s">
        <v>157</v>
      </c>
      <c r="D993" t="s">
        <v>25</v>
      </c>
      <c r="E993" t="s">
        <v>53</v>
      </c>
      <c r="F993" t="s">
        <v>34</v>
      </c>
      <c r="G993" t="s">
        <v>41</v>
      </c>
      <c r="H993" t="s">
        <v>63</v>
      </c>
      <c r="I993" t="s">
        <v>117</v>
      </c>
      <c r="J993">
        <v>4</v>
      </c>
      <c r="K993" s="3">
        <v>842.22</v>
      </c>
      <c r="L993" s="2">
        <v>616</v>
      </c>
      <c r="M993" s="2">
        <f>Table1[[#This Row],[UnitPrice]]*Table1[[#This Row],[Quantity]]</f>
        <v>3368.88</v>
      </c>
      <c r="N993" s="2">
        <f>Table1[[#This Row],[CostPrice]]*Table1[[#This Row],[Quantity]]</f>
        <v>2464</v>
      </c>
      <c r="O993" s="2">
        <v>28.97</v>
      </c>
      <c r="P993" s="4">
        <v>0.26</v>
      </c>
      <c r="Q993" t="s">
        <v>51</v>
      </c>
      <c r="R993" s="4">
        <f t="shared" si="15"/>
        <v>8.5992970957707009E-3</v>
      </c>
    </row>
    <row r="994" spans="1:18" x14ac:dyDescent="0.25">
      <c r="A994">
        <v>1292</v>
      </c>
      <c r="B994" s="1">
        <v>45652</v>
      </c>
      <c r="C994" t="s">
        <v>222</v>
      </c>
      <c r="D994" t="s">
        <v>25</v>
      </c>
      <c r="E994" t="s">
        <v>18</v>
      </c>
      <c r="F994" t="s">
        <v>19</v>
      </c>
      <c r="G994" t="s">
        <v>41</v>
      </c>
      <c r="H994" t="s">
        <v>63</v>
      </c>
      <c r="I994" t="s">
        <v>64</v>
      </c>
      <c r="J994">
        <v>8</v>
      </c>
      <c r="K994" s="3">
        <v>906.99</v>
      </c>
      <c r="L994" s="2">
        <v>666.78</v>
      </c>
      <c r="M994" s="2">
        <f>Table1[[#This Row],[UnitPrice]]*Table1[[#This Row],[Quantity]]</f>
        <v>7255.92</v>
      </c>
      <c r="N994" s="2">
        <f>Table1[[#This Row],[CostPrice]]*Table1[[#This Row],[Quantity]]</f>
        <v>5334.24</v>
      </c>
      <c r="O994" s="2">
        <v>833.29</v>
      </c>
      <c r="P994" s="4">
        <v>0.15</v>
      </c>
      <c r="Q994" t="s">
        <v>92</v>
      </c>
      <c r="R994" s="4">
        <f t="shared" si="15"/>
        <v>0.11484277665685398</v>
      </c>
    </row>
    <row r="995" spans="1:18" x14ac:dyDescent="0.25">
      <c r="A995">
        <v>1408</v>
      </c>
      <c r="B995" s="1">
        <v>45652</v>
      </c>
      <c r="C995" t="s">
        <v>191</v>
      </c>
      <c r="D995" t="s">
        <v>17</v>
      </c>
      <c r="E995" t="s">
        <v>18</v>
      </c>
      <c r="F995" t="s">
        <v>34</v>
      </c>
      <c r="G995" t="s">
        <v>41</v>
      </c>
      <c r="H995" t="s">
        <v>42</v>
      </c>
      <c r="I995" t="s">
        <v>68</v>
      </c>
      <c r="J995">
        <v>2</v>
      </c>
      <c r="K995" s="3">
        <v>944.88</v>
      </c>
      <c r="L995" s="2">
        <v>790.11</v>
      </c>
      <c r="M995" s="2">
        <f>Table1[[#This Row],[UnitPrice]]*Table1[[#This Row],[Quantity]]</f>
        <v>1889.76</v>
      </c>
      <c r="N995" s="2">
        <f>Table1[[#This Row],[CostPrice]]*Table1[[#This Row],[Quantity]]</f>
        <v>1580.22</v>
      </c>
      <c r="O995" s="2">
        <v>252.85</v>
      </c>
      <c r="P995" s="4">
        <v>0.03</v>
      </c>
      <c r="Q995" t="s">
        <v>23</v>
      </c>
      <c r="R995" s="4">
        <f t="shared" si="15"/>
        <v>0.1338000592667852</v>
      </c>
    </row>
    <row r="996" spans="1:18" x14ac:dyDescent="0.25">
      <c r="A996">
        <v>1618</v>
      </c>
      <c r="B996" s="1">
        <v>45652</v>
      </c>
      <c r="C996" t="s">
        <v>104</v>
      </c>
      <c r="D996" t="s">
        <v>17</v>
      </c>
      <c r="E996" t="s">
        <v>53</v>
      </c>
      <c r="F996" t="s">
        <v>34</v>
      </c>
      <c r="G996" t="s">
        <v>20</v>
      </c>
      <c r="H996" t="s">
        <v>113</v>
      </c>
      <c r="I996" t="s">
        <v>153</v>
      </c>
      <c r="J996">
        <v>6</v>
      </c>
      <c r="K996" s="3">
        <v>820.06</v>
      </c>
      <c r="L996" s="2">
        <v>445.33</v>
      </c>
      <c r="M996" s="2">
        <f>Table1[[#This Row],[UnitPrice]]*Table1[[#This Row],[Quantity]]</f>
        <v>4920.3599999999997</v>
      </c>
      <c r="N996" s="2">
        <f>Table1[[#This Row],[CostPrice]]*Table1[[#This Row],[Quantity]]</f>
        <v>2671.98</v>
      </c>
      <c r="O996" s="2">
        <v>1953.16</v>
      </c>
      <c r="P996" s="4">
        <v>0.06</v>
      </c>
      <c r="Q996" t="s">
        <v>75</v>
      </c>
      <c r="R996" s="4">
        <f t="shared" si="15"/>
        <v>0.39695469437195657</v>
      </c>
    </row>
    <row r="997" spans="1:18" x14ac:dyDescent="0.25">
      <c r="A997">
        <v>1802</v>
      </c>
      <c r="B997" s="1">
        <v>45655</v>
      </c>
      <c r="C997" t="s">
        <v>257</v>
      </c>
      <c r="D997" t="s">
        <v>17</v>
      </c>
      <c r="E997" t="s">
        <v>18</v>
      </c>
      <c r="F997" t="s">
        <v>19</v>
      </c>
      <c r="G997" t="s">
        <v>35</v>
      </c>
      <c r="H997" t="s">
        <v>36</v>
      </c>
      <c r="I997" t="s">
        <v>37</v>
      </c>
      <c r="J997">
        <v>2</v>
      </c>
      <c r="K997" s="3">
        <v>523.89</v>
      </c>
      <c r="L997" s="2">
        <v>441.26</v>
      </c>
      <c r="M997" s="2">
        <f>Table1[[#This Row],[UnitPrice]]*Table1[[#This Row],[Quantity]]</f>
        <v>1047.78</v>
      </c>
      <c r="N997" s="2">
        <f>Table1[[#This Row],[CostPrice]]*Table1[[#This Row],[Quantity]]</f>
        <v>882.52</v>
      </c>
      <c r="O997" s="2">
        <v>123.35</v>
      </c>
      <c r="P997" s="4">
        <v>0.04</v>
      </c>
      <c r="Q997" t="s">
        <v>23</v>
      </c>
      <c r="R997" s="4">
        <f t="shared" si="15"/>
        <v>0.11772509496268301</v>
      </c>
    </row>
    <row r="998" spans="1:18" x14ac:dyDescent="0.25">
      <c r="A998">
        <v>1854</v>
      </c>
      <c r="B998" s="1">
        <v>45655</v>
      </c>
      <c r="C998" t="s">
        <v>210</v>
      </c>
      <c r="D998" t="s">
        <v>17</v>
      </c>
      <c r="E998" t="s">
        <v>26</v>
      </c>
      <c r="F998" t="s">
        <v>19</v>
      </c>
      <c r="G998" t="s">
        <v>41</v>
      </c>
      <c r="H998" t="s">
        <v>42</v>
      </c>
      <c r="I998" t="s">
        <v>77</v>
      </c>
      <c r="J998">
        <v>8</v>
      </c>
      <c r="K998" s="3">
        <v>64.97</v>
      </c>
      <c r="L998" s="2">
        <v>32.78</v>
      </c>
      <c r="M998" s="2">
        <f>Table1[[#This Row],[UnitPrice]]*Table1[[#This Row],[Quantity]]</f>
        <v>519.76</v>
      </c>
      <c r="N998" s="2">
        <f>Table1[[#This Row],[CostPrice]]*Table1[[#This Row],[Quantity]]</f>
        <v>262.24</v>
      </c>
      <c r="O998" s="2">
        <v>226.33</v>
      </c>
      <c r="P998" s="4">
        <v>0.06</v>
      </c>
      <c r="Q998" t="s">
        <v>75</v>
      </c>
      <c r="R998" s="4">
        <f t="shared" si="15"/>
        <v>0.43545097737417271</v>
      </c>
    </row>
    <row r="999" spans="1:18" x14ac:dyDescent="0.25">
      <c r="A999">
        <v>1344</v>
      </c>
      <c r="B999" s="1">
        <v>45656</v>
      </c>
      <c r="C999" t="s">
        <v>248</v>
      </c>
      <c r="D999" t="s">
        <v>32</v>
      </c>
      <c r="E999" t="s">
        <v>18</v>
      </c>
      <c r="F999" t="s">
        <v>40</v>
      </c>
      <c r="G999" t="s">
        <v>20</v>
      </c>
      <c r="H999" t="s">
        <v>113</v>
      </c>
      <c r="I999" t="s">
        <v>161</v>
      </c>
      <c r="J999">
        <v>6</v>
      </c>
      <c r="K999" s="3">
        <v>878.5</v>
      </c>
      <c r="L999" s="2">
        <v>581.55999999999995</v>
      </c>
      <c r="M999" s="2">
        <f>Table1[[#This Row],[UnitPrice]]*Table1[[#This Row],[Quantity]]</f>
        <v>5271</v>
      </c>
      <c r="N999" s="2">
        <f>Table1[[#This Row],[CostPrice]]*Table1[[#This Row],[Quantity]]</f>
        <v>3489.3599999999997</v>
      </c>
      <c r="O999" s="2">
        <v>1201.83</v>
      </c>
      <c r="P999" s="4">
        <v>0.11</v>
      </c>
      <c r="Q999" t="s">
        <v>30</v>
      </c>
      <c r="R999" s="4">
        <f t="shared" si="15"/>
        <v>0.22800796812749002</v>
      </c>
    </row>
    <row r="1000" spans="1:18" x14ac:dyDescent="0.25">
      <c r="A1000">
        <v>1475</v>
      </c>
      <c r="B1000" s="1">
        <v>45656</v>
      </c>
      <c r="C1000" t="s">
        <v>88</v>
      </c>
      <c r="D1000" t="s">
        <v>32</v>
      </c>
      <c r="E1000" t="s">
        <v>18</v>
      </c>
      <c r="F1000" t="s">
        <v>34</v>
      </c>
      <c r="G1000" t="s">
        <v>20</v>
      </c>
      <c r="H1000" t="s">
        <v>113</v>
      </c>
      <c r="I1000" t="s">
        <v>153</v>
      </c>
      <c r="J1000">
        <v>6</v>
      </c>
      <c r="K1000" s="3">
        <v>117.6</v>
      </c>
      <c r="L1000" s="2">
        <v>78.62</v>
      </c>
      <c r="M1000" s="2">
        <f>Table1[[#This Row],[UnitPrice]]*Table1[[#This Row],[Quantity]]</f>
        <v>705.59999999999991</v>
      </c>
      <c r="N1000" s="2">
        <f>Table1[[#This Row],[CostPrice]]*Table1[[#This Row],[Quantity]]</f>
        <v>471.72</v>
      </c>
      <c r="O1000" s="2">
        <v>85.7</v>
      </c>
      <c r="P1000" s="4">
        <v>0.21</v>
      </c>
      <c r="Q1000" t="s">
        <v>92</v>
      </c>
      <c r="R1000" s="4">
        <f t="shared" si="15"/>
        <v>0.12145691609977326</v>
      </c>
    </row>
    <row r="1001" spans="1:18" x14ac:dyDescent="0.25">
      <c r="A1001">
        <v>1580</v>
      </c>
      <c r="B1001" s="1">
        <v>45657</v>
      </c>
      <c r="C1001" t="s">
        <v>221</v>
      </c>
      <c r="D1001" t="s">
        <v>17</v>
      </c>
      <c r="E1001" t="s">
        <v>26</v>
      </c>
      <c r="F1001" t="s">
        <v>27</v>
      </c>
      <c r="G1001" t="s">
        <v>35</v>
      </c>
      <c r="H1001" t="s">
        <v>49</v>
      </c>
      <c r="I1001" t="s">
        <v>50</v>
      </c>
      <c r="J1001">
        <v>3</v>
      </c>
      <c r="K1001" s="3">
        <v>264.38</v>
      </c>
      <c r="L1001" s="2">
        <v>195.8</v>
      </c>
      <c r="M1001" s="2">
        <f>Table1[[#This Row],[UnitPrice]]*Table1[[#This Row],[Quantity]]</f>
        <v>793.14</v>
      </c>
      <c r="N1001" s="2">
        <f>Table1[[#This Row],[CostPrice]]*Table1[[#This Row],[Quantity]]</f>
        <v>587.40000000000009</v>
      </c>
      <c r="O1001" s="2">
        <v>7.46</v>
      </c>
      <c r="P1001" s="4">
        <v>0.25</v>
      </c>
      <c r="Q1001" t="s">
        <v>30</v>
      </c>
      <c r="R1001" s="4">
        <f t="shared" si="15"/>
        <v>9.4056534785788137E-3</v>
      </c>
    </row>
  </sheetData>
  <sortState xmlns:xlrd2="http://schemas.microsoft.com/office/spreadsheetml/2017/richdata2" ref="A2:R1001">
    <sortCondition ref="B2:B1001"/>
  </sortState>
  <phoneticPr fontId="28" type="noConversion"/>
  <hyperlinks>
    <hyperlink ref="T7" location="ANALYSIS!A1" display="ANALYSIS!A1" xr:uid="{1D703D6E-C3E0-421C-8988-0D12FE4E95B9}"/>
    <hyperlink ref="T9" location="DASHBOARD!A1" display="DASHBOARD!A1" xr:uid="{E6F5BEC1-ED4A-45EE-B63E-771858BA5D18}"/>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98B6-F22E-47AF-B06E-791314007085}">
  <dimension ref="A1:AL36"/>
  <sheetViews>
    <sheetView workbookViewId="0">
      <selection activeCell="AI6" sqref="AI6"/>
    </sheetView>
  </sheetViews>
  <sheetFormatPr defaultRowHeight="15" x14ac:dyDescent="0.25"/>
  <cols>
    <col min="1" max="1" width="15" bestFit="1" customWidth="1"/>
    <col min="2" max="2" width="15.5703125" bestFit="1" customWidth="1"/>
    <col min="3" max="3" width="16.140625" bestFit="1" customWidth="1"/>
    <col min="4" max="4" width="12.5703125" bestFit="1" customWidth="1"/>
    <col min="5" max="5" width="19.42578125" bestFit="1" customWidth="1"/>
    <col min="6" max="6" width="13.140625" bestFit="1" customWidth="1"/>
    <col min="7" max="7" width="15" bestFit="1" customWidth="1"/>
    <col min="8" max="8" width="15.5703125" bestFit="1" customWidth="1"/>
    <col min="9" max="9" width="16.42578125" bestFit="1" customWidth="1"/>
    <col min="10" max="10" width="17.5703125" bestFit="1" customWidth="1"/>
    <col min="11" max="11" width="15.5703125" bestFit="1" customWidth="1"/>
    <col min="12" max="12" width="12.5703125" bestFit="1" customWidth="1"/>
    <col min="13" max="13" width="19.42578125" bestFit="1" customWidth="1"/>
    <col min="14" max="15" width="5.42578125" bestFit="1" customWidth="1"/>
    <col min="16" max="16" width="19.7109375" bestFit="1" customWidth="1"/>
    <col min="17" max="17" width="15.5703125" bestFit="1" customWidth="1"/>
    <col min="18" max="18" width="16.140625" bestFit="1" customWidth="1"/>
    <col min="19" max="19" width="12.5703125" bestFit="1" customWidth="1"/>
    <col min="20" max="20" width="5.42578125" bestFit="1" customWidth="1"/>
    <col min="21" max="21" width="18.5703125" bestFit="1" customWidth="1"/>
    <col min="22" max="22" width="16.140625" bestFit="1" customWidth="1"/>
    <col min="23" max="23" width="15.42578125" bestFit="1" customWidth="1"/>
    <col min="24" max="24" width="15.5703125" bestFit="1" customWidth="1"/>
    <col min="25" max="25" width="10" bestFit="1" customWidth="1"/>
    <col min="26" max="26" width="11.7109375" bestFit="1" customWidth="1"/>
    <col min="27" max="27" width="15.42578125" bestFit="1" customWidth="1"/>
    <col min="28" max="28" width="15.5703125" bestFit="1" customWidth="1"/>
    <col min="29" max="29" width="12" bestFit="1" customWidth="1"/>
    <col min="30" max="30" width="11.28515625" bestFit="1" customWidth="1"/>
    <col min="31" max="31" width="15.5703125" bestFit="1" customWidth="1"/>
    <col min="32" max="32" width="12.5703125" bestFit="1" customWidth="1"/>
    <col min="33" max="33" width="19.42578125" bestFit="1" customWidth="1"/>
    <col min="34" max="34" width="12.5703125" bestFit="1" customWidth="1"/>
    <col min="35" max="35" width="19" bestFit="1" customWidth="1"/>
    <col min="36" max="36" width="15.5703125" bestFit="1" customWidth="1"/>
    <col min="37" max="37" width="12.5703125" bestFit="1" customWidth="1"/>
    <col min="38" max="38" width="23" bestFit="1" customWidth="1"/>
    <col min="39" max="39" width="11.42578125" bestFit="1" customWidth="1"/>
    <col min="40" max="40" width="7.28515625" bestFit="1" customWidth="1"/>
    <col min="41" max="41" width="5.28515625" bestFit="1" customWidth="1"/>
    <col min="42" max="42" width="11.7109375" bestFit="1" customWidth="1"/>
    <col min="43" max="43" width="11.42578125" bestFit="1" customWidth="1"/>
    <col min="44" max="44" width="11.140625" bestFit="1" customWidth="1"/>
    <col min="45" max="45" width="12.28515625" bestFit="1" customWidth="1"/>
    <col min="46" max="46" width="5.5703125" bestFit="1" customWidth="1"/>
    <col min="47" max="47" width="11.85546875" bestFit="1" customWidth="1"/>
    <col min="48" max="48" width="6.5703125" bestFit="1" customWidth="1"/>
    <col min="49" max="49" width="12.85546875" bestFit="1" customWidth="1"/>
    <col min="50" max="50" width="10" bestFit="1" customWidth="1"/>
    <col min="51" max="51" width="11.28515625" bestFit="1" customWidth="1"/>
    <col min="52" max="342" width="6.42578125" bestFit="1" customWidth="1"/>
    <col min="343" max="1008" width="8" bestFit="1" customWidth="1"/>
    <col min="1009" max="1009" width="12.7109375" bestFit="1" customWidth="1"/>
  </cols>
  <sheetData>
    <row r="1" spans="1:38" x14ac:dyDescent="0.25">
      <c r="A1" s="22"/>
      <c r="B1" s="23"/>
    </row>
    <row r="2" spans="1:38" ht="46.5" x14ac:dyDescent="0.7">
      <c r="A2" s="20" t="s">
        <v>321</v>
      </c>
      <c r="B2" s="14"/>
      <c r="C2" s="14"/>
      <c r="D2" s="14"/>
      <c r="E2" s="14"/>
      <c r="G2" s="18" t="s">
        <v>341</v>
      </c>
      <c r="H2" s="19"/>
      <c r="I2" s="11"/>
      <c r="J2" s="13" t="s">
        <v>322</v>
      </c>
      <c r="K2" s="14"/>
      <c r="L2" s="14"/>
      <c r="M2" s="14"/>
      <c r="P2" s="15" t="s">
        <v>325</v>
      </c>
      <c r="Q2" s="14"/>
      <c r="R2" s="14"/>
      <c r="S2" s="14"/>
      <c r="U2" s="16" t="s">
        <v>343</v>
      </c>
      <c r="V2" s="14"/>
      <c r="W2" s="14"/>
      <c r="X2" s="14"/>
      <c r="Z2" s="17" t="s">
        <v>328</v>
      </c>
      <c r="AA2" s="14"/>
      <c r="AB2" s="14"/>
      <c r="AD2" s="21" t="s">
        <v>327</v>
      </c>
      <c r="AE2" s="21"/>
      <c r="AF2" s="21"/>
      <c r="AG2" s="21"/>
      <c r="AI2" s="10" t="s">
        <v>329</v>
      </c>
      <c r="AJ2" t="s">
        <v>305</v>
      </c>
      <c r="AK2" t="s">
        <v>306</v>
      </c>
      <c r="AL2" t="s">
        <v>330</v>
      </c>
    </row>
    <row r="3" spans="1:38" x14ac:dyDescent="0.25">
      <c r="A3" s="6" t="s">
        <v>320</v>
      </c>
      <c r="B3" t="s">
        <v>305</v>
      </c>
      <c r="C3" t="s">
        <v>315</v>
      </c>
      <c r="D3" t="s">
        <v>306</v>
      </c>
      <c r="E3" t="s">
        <v>317</v>
      </c>
      <c r="G3" s="6" t="s">
        <v>320</v>
      </c>
      <c r="H3" t="s">
        <v>305</v>
      </c>
      <c r="J3" s="6" t="s">
        <v>319</v>
      </c>
      <c r="K3" t="s">
        <v>305</v>
      </c>
      <c r="L3" t="s">
        <v>306</v>
      </c>
      <c r="M3" t="s">
        <v>317</v>
      </c>
      <c r="P3" s="6" t="s">
        <v>324</v>
      </c>
      <c r="Q3" t="s">
        <v>305</v>
      </c>
      <c r="R3" t="s">
        <v>315</v>
      </c>
      <c r="S3" t="s">
        <v>306</v>
      </c>
      <c r="U3" s="6" t="s">
        <v>318</v>
      </c>
      <c r="V3" t="s">
        <v>323</v>
      </c>
      <c r="W3" t="s">
        <v>316</v>
      </c>
      <c r="X3" t="s">
        <v>305</v>
      </c>
      <c r="Z3" s="6" t="s">
        <v>326</v>
      </c>
      <c r="AA3" t="s">
        <v>316</v>
      </c>
      <c r="AB3" t="s">
        <v>305</v>
      </c>
      <c r="AD3" s="6" t="s">
        <v>14</v>
      </c>
      <c r="AE3" t="s">
        <v>305</v>
      </c>
      <c r="AF3" t="s">
        <v>306</v>
      </c>
      <c r="AG3" t="s">
        <v>317</v>
      </c>
      <c r="AI3" s="10">
        <v>0.14886000000000013</v>
      </c>
      <c r="AJ3" s="32">
        <v>2343628.8499999996</v>
      </c>
      <c r="AK3" s="32">
        <v>479207.40999999986</v>
      </c>
      <c r="AL3" s="10">
        <v>0.19922535459776888</v>
      </c>
    </row>
    <row r="4" spans="1:38" x14ac:dyDescent="0.25">
      <c r="A4" s="7" t="s">
        <v>307</v>
      </c>
      <c r="B4" s="9">
        <v>1216020.1200000001</v>
      </c>
      <c r="C4" s="9">
        <v>968523.58</v>
      </c>
      <c r="D4" s="9">
        <v>247496.54</v>
      </c>
      <c r="E4" s="10">
        <v>99.66404954327777</v>
      </c>
      <c r="G4" s="7" t="s">
        <v>332</v>
      </c>
      <c r="H4" s="32">
        <v>1127608.73</v>
      </c>
      <c r="J4" s="7" t="s">
        <v>19</v>
      </c>
      <c r="K4" s="9">
        <v>614771.35999999987</v>
      </c>
      <c r="L4" s="9">
        <v>127553.81999999999</v>
      </c>
      <c r="M4" s="10">
        <v>53.159434304879568</v>
      </c>
      <c r="P4" s="7" t="s">
        <v>35</v>
      </c>
      <c r="Q4" s="9">
        <v>810743.22000000009</v>
      </c>
      <c r="R4" s="9">
        <v>646445.49</v>
      </c>
      <c r="S4" s="9">
        <v>164297.73000000001</v>
      </c>
      <c r="U4" s="7" t="s">
        <v>76</v>
      </c>
      <c r="V4">
        <v>10</v>
      </c>
      <c r="W4">
        <v>56</v>
      </c>
      <c r="X4" s="9">
        <v>32066.15</v>
      </c>
      <c r="Z4" s="7" t="s">
        <v>85</v>
      </c>
      <c r="AA4">
        <v>586</v>
      </c>
      <c r="AB4" s="9">
        <v>295046.76000000013</v>
      </c>
      <c r="AD4" s="12">
        <v>0</v>
      </c>
      <c r="AE4" s="9">
        <v>31927.85</v>
      </c>
      <c r="AF4" s="9">
        <v>9595.5399999999991</v>
      </c>
      <c r="AG4" s="10">
        <v>5.1676896926327904</v>
      </c>
    </row>
    <row r="5" spans="1:38" x14ac:dyDescent="0.25">
      <c r="A5" s="8" t="s">
        <v>335</v>
      </c>
      <c r="B5" s="9">
        <v>70438.000000000015</v>
      </c>
      <c r="C5" s="9">
        <v>60208.140000000007</v>
      </c>
      <c r="D5" s="9">
        <v>10229.859999999997</v>
      </c>
      <c r="E5" s="10">
        <v>5.6435856722281539</v>
      </c>
      <c r="G5" s="8" t="s">
        <v>335</v>
      </c>
      <c r="H5" s="32">
        <v>130509.64</v>
      </c>
      <c r="J5" s="8" t="s">
        <v>18</v>
      </c>
      <c r="K5" s="9">
        <v>171332.10999999996</v>
      </c>
      <c r="L5" s="9">
        <v>37282.579999999994</v>
      </c>
      <c r="M5" s="10">
        <v>14.732437046381261</v>
      </c>
      <c r="P5" s="8" t="s">
        <v>98</v>
      </c>
      <c r="Q5" s="9">
        <v>112753.32</v>
      </c>
      <c r="R5" s="9">
        <v>90062.950000000012</v>
      </c>
      <c r="S5" s="9">
        <v>22690.37</v>
      </c>
      <c r="U5" s="7" t="s">
        <v>96</v>
      </c>
      <c r="V5">
        <v>7</v>
      </c>
      <c r="W5">
        <v>49</v>
      </c>
      <c r="X5" s="9">
        <v>28949.980000000003</v>
      </c>
      <c r="Z5" s="7" t="s">
        <v>38</v>
      </c>
      <c r="AA5">
        <v>562</v>
      </c>
      <c r="AB5" s="9">
        <v>256186.66999999987</v>
      </c>
      <c r="AD5" s="12">
        <v>0.01</v>
      </c>
      <c r="AE5" s="9">
        <v>98616.58</v>
      </c>
      <c r="AF5" s="9">
        <v>32924.19</v>
      </c>
      <c r="AG5" s="10">
        <v>11.596671174212966</v>
      </c>
    </row>
    <row r="6" spans="1:38" x14ac:dyDescent="0.25">
      <c r="A6" s="8" t="s">
        <v>308</v>
      </c>
      <c r="B6" s="9">
        <v>94571.060000000012</v>
      </c>
      <c r="C6" s="9">
        <v>81177.000000000015</v>
      </c>
      <c r="D6" s="9">
        <v>13394.06</v>
      </c>
      <c r="E6" s="10">
        <v>6.2692882404771382</v>
      </c>
      <c r="G6" s="8" t="s">
        <v>308</v>
      </c>
      <c r="H6" s="32">
        <v>99823.499999999985</v>
      </c>
      <c r="J6" s="8" t="s">
        <v>53</v>
      </c>
      <c r="K6" s="9">
        <v>157184.37999999998</v>
      </c>
      <c r="L6" s="9">
        <v>31106.100000000006</v>
      </c>
      <c r="M6" s="10">
        <v>13.571004791226757</v>
      </c>
      <c r="P6" s="8" t="s">
        <v>59</v>
      </c>
      <c r="Q6" s="9">
        <v>94061.599999999991</v>
      </c>
      <c r="R6" s="9">
        <v>76535.839999999997</v>
      </c>
      <c r="S6" s="9">
        <v>17525.760000000002</v>
      </c>
      <c r="U6" s="7" t="s">
        <v>147</v>
      </c>
      <c r="V6">
        <v>12</v>
      </c>
      <c r="W6">
        <v>75</v>
      </c>
      <c r="X6" s="9">
        <v>28939.550000000007</v>
      </c>
      <c r="Z6" s="7" t="s">
        <v>75</v>
      </c>
      <c r="AA6">
        <v>621</v>
      </c>
      <c r="AB6" s="9">
        <v>255170.34</v>
      </c>
      <c r="AD6" s="12">
        <v>0.02</v>
      </c>
      <c r="AE6" s="9">
        <v>65993.06</v>
      </c>
      <c r="AF6" s="9">
        <v>15874.69</v>
      </c>
      <c r="AG6" s="10">
        <v>7.9270931732690642</v>
      </c>
      <c r="AI6" s="23" t="s">
        <v>342</v>
      </c>
      <c r="AJ6" s="22" t="s">
        <v>331</v>
      </c>
    </row>
    <row r="7" spans="1:38" x14ac:dyDescent="0.25">
      <c r="A7" s="8" t="s">
        <v>309</v>
      </c>
      <c r="B7" s="9">
        <v>112588.61</v>
      </c>
      <c r="C7" s="9">
        <v>92072.35000000002</v>
      </c>
      <c r="D7" s="9">
        <v>20516.259999999998</v>
      </c>
      <c r="E7" s="10">
        <v>9.2054033460676887</v>
      </c>
      <c r="G7" s="8" t="s">
        <v>309</v>
      </c>
      <c r="H7" s="32">
        <v>102660.01999999999</v>
      </c>
      <c r="J7" s="8" t="s">
        <v>26</v>
      </c>
      <c r="K7" s="9">
        <v>158461.43999999994</v>
      </c>
      <c r="L7" s="9">
        <v>31088.940000000002</v>
      </c>
      <c r="M7" s="10">
        <v>12.84177812395135</v>
      </c>
      <c r="P7" s="8" t="s">
        <v>66</v>
      </c>
      <c r="Q7" s="9">
        <v>72209.579999999987</v>
      </c>
      <c r="R7" s="9">
        <v>57925.49</v>
      </c>
      <c r="S7" s="9">
        <v>14284.090000000002</v>
      </c>
      <c r="U7" s="7" t="s">
        <v>178</v>
      </c>
      <c r="V7">
        <v>9</v>
      </c>
      <c r="W7">
        <v>59</v>
      </c>
      <c r="X7" s="9">
        <v>28659.420000000002</v>
      </c>
      <c r="Z7" s="7" t="s">
        <v>30</v>
      </c>
      <c r="AA7">
        <v>521</v>
      </c>
      <c r="AB7" s="9">
        <v>247051.54999999993</v>
      </c>
      <c r="AD7" s="12">
        <v>0.03</v>
      </c>
      <c r="AE7" s="9">
        <v>99577.77</v>
      </c>
      <c r="AF7" s="9">
        <v>31613.050000000003</v>
      </c>
      <c r="AG7" s="10">
        <v>11.407691480496689</v>
      </c>
    </row>
    <row r="8" spans="1:38" x14ac:dyDescent="0.25">
      <c r="A8" s="8" t="s">
        <v>336</v>
      </c>
      <c r="B8" s="9">
        <v>84516.659999999974</v>
      </c>
      <c r="C8" s="9">
        <v>63876.969999999994</v>
      </c>
      <c r="D8" s="9">
        <v>20639.689999999999</v>
      </c>
      <c r="E8" s="10">
        <v>9.5456471417071871</v>
      </c>
      <c r="G8" s="8" t="s">
        <v>336</v>
      </c>
      <c r="H8" s="32">
        <v>104831.61000000002</v>
      </c>
      <c r="J8" s="8" t="s">
        <v>33</v>
      </c>
      <c r="K8" s="9">
        <v>127793.42999999998</v>
      </c>
      <c r="L8" s="9">
        <v>28076.199999999993</v>
      </c>
      <c r="M8" s="10">
        <v>12.014214343320196</v>
      </c>
      <c r="P8" s="8" t="s">
        <v>50</v>
      </c>
      <c r="Q8" s="9">
        <v>72224.78</v>
      </c>
      <c r="R8" s="9">
        <v>58637.820000000007</v>
      </c>
      <c r="S8" s="9">
        <v>13586.959999999997</v>
      </c>
      <c r="U8" s="7" t="s">
        <v>217</v>
      </c>
      <c r="V8">
        <v>10</v>
      </c>
      <c r="W8">
        <v>44</v>
      </c>
      <c r="X8" s="9">
        <v>26271.3</v>
      </c>
      <c r="Z8" s="7" t="s">
        <v>55</v>
      </c>
      <c r="AA8">
        <v>530</v>
      </c>
      <c r="AB8" s="9">
        <v>237913.27999999994</v>
      </c>
      <c r="AD8" s="12">
        <v>0.04</v>
      </c>
      <c r="AE8" s="9">
        <v>91545.430000000008</v>
      </c>
      <c r="AF8" s="9">
        <v>24449.040000000008</v>
      </c>
      <c r="AG8" s="10">
        <v>11.470361994272753</v>
      </c>
      <c r="AI8" s="22" t="s">
        <v>340</v>
      </c>
    </row>
    <row r="9" spans="1:38" x14ac:dyDescent="0.25">
      <c r="A9" s="8" t="s">
        <v>310</v>
      </c>
      <c r="B9" s="9">
        <v>100191.91999999998</v>
      </c>
      <c r="C9" s="9">
        <v>74892.95</v>
      </c>
      <c r="D9" s="9">
        <v>25298.970000000008</v>
      </c>
      <c r="E9" s="10">
        <v>7.5262389738570281</v>
      </c>
      <c r="G9" s="8" t="s">
        <v>310</v>
      </c>
      <c r="H9" s="32">
        <v>79904.079999999987</v>
      </c>
      <c r="J9" s="7" t="s">
        <v>40</v>
      </c>
      <c r="K9" s="9">
        <v>541400.13</v>
      </c>
      <c r="L9" s="9">
        <v>108251.71000000002</v>
      </c>
      <c r="M9" s="10">
        <v>42.536875337779129</v>
      </c>
      <c r="P9" s="8" t="s">
        <v>84</v>
      </c>
      <c r="Q9" s="9">
        <v>102936.17000000003</v>
      </c>
      <c r="R9" s="9">
        <v>84963.73</v>
      </c>
      <c r="S9" s="9">
        <v>17972.440000000002</v>
      </c>
      <c r="U9" s="7" t="s">
        <v>145</v>
      </c>
      <c r="V9">
        <v>11</v>
      </c>
      <c r="W9">
        <v>66</v>
      </c>
      <c r="X9" s="9">
        <v>26233.31</v>
      </c>
      <c r="Z9" s="7" t="s">
        <v>92</v>
      </c>
      <c r="AA9">
        <v>557</v>
      </c>
      <c r="AB9" s="9">
        <v>236518.70000000007</v>
      </c>
      <c r="AD9" s="12">
        <v>0.05</v>
      </c>
      <c r="AE9" s="9">
        <v>107858.87000000001</v>
      </c>
      <c r="AF9" s="9">
        <v>31065.460000000003</v>
      </c>
      <c r="AG9" s="10">
        <v>10.785651712663462</v>
      </c>
    </row>
    <row r="10" spans="1:38" x14ac:dyDescent="0.25">
      <c r="A10" s="8" t="s">
        <v>333</v>
      </c>
      <c r="B10" s="9">
        <v>104829.10999999999</v>
      </c>
      <c r="C10" s="9">
        <v>87067.74</v>
      </c>
      <c r="D10" s="9">
        <v>17761.370000000003</v>
      </c>
      <c r="E10" s="10">
        <v>6.2681986830267471</v>
      </c>
      <c r="G10" s="8" t="s">
        <v>333</v>
      </c>
      <c r="H10" s="32">
        <v>111614.82999999997</v>
      </c>
      <c r="J10" s="8" t="s">
        <v>18</v>
      </c>
      <c r="K10" s="9">
        <v>149330.81999999998</v>
      </c>
      <c r="L10" s="9">
        <v>31961.410000000003</v>
      </c>
      <c r="M10" s="10">
        <v>12.528126559964267</v>
      </c>
      <c r="P10" s="8" t="s">
        <v>37</v>
      </c>
      <c r="Q10" s="9">
        <v>99393.62</v>
      </c>
      <c r="R10" s="9">
        <v>79435.430000000008</v>
      </c>
      <c r="S10" s="9">
        <v>19958.189999999999</v>
      </c>
      <c r="U10" s="7" t="s">
        <v>210</v>
      </c>
      <c r="V10">
        <v>11</v>
      </c>
      <c r="W10">
        <v>61</v>
      </c>
      <c r="X10" s="9">
        <v>26145.119999999999</v>
      </c>
      <c r="Z10" s="7" t="s">
        <v>23</v>
      </c>
      <c r="AA10">
        <v>579</v>
      </c>
      <c r="AB10" s="9">
        <v>219440.77</v>
      </c>
      <c r="AD10" s="12">
        <v>0.06</v>
      </c>
      <c r="AE10" s="9">
        <v>98597.940000000017</v>
      </c>
      <c r="AF10" s="9">
        <v>30791.930000000011</v>
      </c>
      <c r="AG10" s="10">
        <v>11.983757143589418</v>
      </c>
    </row>
    <row r="11" spans="1:38" x14ac:dyDescent="0.25">
      <c r="A11" s="8" t="s">
        <v>311</v>
      </c>
      <c r="B11" s="9">
        <v>108304.97999999997</v>
      </c>
      <c r="C11" s="9">
        <v>84333.059999999983</v>
      </c>
      <c r="D11" s="9">
        <v>23971.919999999998</v>
      </c>
      <c r="E11" s="10">
        <v>9.3554952511283371</v>
      </c>
      <c r="G11" s="8" t="s">
        <v>311</v>
      </c>
      <c r="H11" s="32">
        <v>59858.670000000006</v>
      </c>
      <c r="J11" s="8" t="s">
        <v>26</v>
      </c>
      <c r="K11" s="9">
        <v>176018.33000000002</v>
      </c>
      <c r="L11" s="9">
        <v>35029.880000000005</v>
      </c>
      <c r="M11" s="10">
        <v>12.146207161334029</v>
      </c>
      <c r="P11" s="8" t="s">
        <v>87</v>
      </c>
      <c r="Q11" s="9">
        <v>111104.99999999999</v>
      </c>
      <c r="R11" s="9">
        <v>88934.880000000019</v>
      </c>
      <c r="S11" s="9">
        <v>22170.119999999995</v>
      </c>
      <c r="U11" s="7" t="s">
        <v>109</v>
      </c>
      <c r="V11">
        <v>9</v>
      </c>
      <c r="W11">
        <v>51</v>
      </c>
      <c r="X11" s="9">
        <v>25703.64</v>
      </c>
      <c r="Z11" s="7" t="s">
        <v>44</v>
      </c>
      <c r="AA11">
        <v>529</v>
      </c>
      <c r="AB11" s="9">
        <v>218997.65999999995</v>
      </c>
      <c r="AD11" s="12">
        <v>7.0000000000000007E-2</v>
      </c>
      <c r="AE11" s="9">
        <v>48173.090000000004</v>
      </c>
      <c r="AF11" s="9">
        <v>13546.650000000001</v>
      </c>
      <c r="AG11" s="10">
        <v>4.996783347292661</v>
      </c>
    </row>
    <row r="12" spans="1:38" x14ac:dyDescent="0.25">
      <c r="A12" s="8" t="s">
        <v>334</v>
      </c>
      <c r="B12" s="9">
        <v>104619.51999999999</v>
      </c>
      <c r="C12" s="9">
        <v>82207.300000000017</v>
      </c>
      <c r="D12" s="9">
        <v>22412.220000000005</v>
      </c>
      <c r="E12" s="10">
        <v>6.9899016653225106</v>
      </c>
      <c r="G12" s="8" t="s">
        <v>334</v>
      </c>
      <c r="H12" s="32">
        <v>79504.55</v>
      </c>
      <c r="J12" s="8" t="s">
        <v>33</v>
      </c>
      <c r="K12" s="9">
        <v>126744.80999999997</v>
      </c>
      <c r="L12" s="9">
        <v>27034.510000000002</v>
      </c>
      <c r="M12" s="10">
        <v>9.3874779083568445</v>
      </c>
      <c r="P12" s="8" t="s">
        <v>100</v>
      </c>
      <c r="Q12" s="9">
        <v>70161.799999999988</v>
      </c>
      <c r="R12" s="9">
        <v>52804.909999999996</v>
      </c>
      <c r="S12" s="9">
        <v>17356.890000000003</v>
      </c>
      <c r="U12" s="7" t="s">
        <v>172</v>
      </c>
      <c r="V12">
        <v>9</v>
      </c>
      <c r="W12">
        <v>60</v>
      </c>
      <c r="X12" s="9">
        <v>25088.33</v>
      </c>
      <c r="Z12" s="7" t="s">
        <v>125</v>
      </c>
      <c r="AA12">
        <v>522</v>
      </c>
      <c r="AB12" s="9">
        <v>205311.87999999992</v>
      </c>
      <c r="AD12" s="12">
        <v>0.08</v>
      </c>
      <c r="AE12" s="9">
        <v>63172.02</v>
      </c>
      <c r="AF12" s="9">
        <v>16836.380000000005</v>
      </c>
      <c r="AG12" s="10">
        <v>8.4888334847307103</v>
      </c>
    </row>
    <row r="13" spans="1:38" x14ac:dyDescent="0.25">
      <c r="A13" s="8" t="s">
        <v>337</v>
      </c>
      <c r="B13" s="9">
        <v>111729.24999999999</v>
      </c>
      <c r="C13" s="9">
        <v>85633.00999999998</v>
      </c>
      <c r="D13" s="9">
        <v>26096.239999999998</v>
      </c>
      <c r="E13" s="10">
        <v>11.45775241992345</v>
      </c>
      <c r="G13" s="8" t="s">
        <v>337</v>
      </c>
      <c r="H13" s="32">
        <v>65245.299999999996</v>
      </c>
      <c r="J13" s="8" t="s">
        <v>53</v>
      </c>
      <c r="K13" s="9">
        <v>89306.169999999984</v>
      </c>
      <c r="L13" s="9">
        <v>14225.910000000003</v>
      </c>
      <c r="M13" s="10">
        <v>8.4750637081239901</v>
      </c>
      <c r="P13" s="8" t="s">
        <v>71</v>
      </c>
      <c r="Q13" s="9">
        <v>75897.349999999991</v>
      </c>
      <c r="R13" s="9">
        <v>57144.44</v>
      </c>
      <c r="S13" s="9">
        <v>18752.910000000003</v>
      </c>
      <c r="U13" s="7" t="s">
        <v>129</v>
      </c>
      <c r="V13">
        <v>8</v>
      </c>
      <c r="W13">
        <v>44</v>
      </c>
      <c r="X13" s="9">
        <v>24861.910000000003</v>
      </c>
      <c r="Z13" s="7" t="s">
        <v>51</v>
      </c>
      <c r="AA13">
        <v>424</v>
      </c>
      <c r="AB13" s="9">
        <v>171991.24</v>
      </c>
      <c r="AD13" s="12">
        <v>0.09</v>
      </c>
      <c r="AE13" s="9">
        <v>116909.50999999998</v>
      </c>
      <c r="AF13" s="9">
        <v>29154.85</v>
      </c>
      <c r="AG13" s="10">
        <v>11.051665307168474</v>
      </c>
    </row>
    <row r="14" spans="1:38" x14ac:dyDescent="0.25">
      <c r="A14" s="8" t="s">
        <v>312</v>
      </c>
      <c r="B14" s="9">
        <v>121679.99000000003</v>
      </c>
      <c r="C14" s="9">
        <v>93233.200000000012</v>
      </c>
      <c r="D14" s="9">
        <v>28446.790000000008</v>
      </c>
      <c r="E14" s="10">
        <v>11.423153090540895</v>
      </c>
      <c r="G14" s="8" t="s">
        <v>312</v>
      </c>
      <c r="H14" s="32">
        <v>103140.03999999998</v>
      </c>
      <c r="J14" s="7" t="s">
        <v>34</v>
      </c>
      <c r="K14" s="9">
        <v>625984.20000000007</v>
      </c>
      <c r="L14" s="9">
        <v>116501.01999999999</v>
      </c>
      <c r="M14" s="10">
        <v>48.457626872639338</v>
      </c>
      <c r="P14" s="7" t="s">
        <v>41</v>
      </c>
      <c r="Q14" s="9">
        <v>745251.96999999986</v>
      </c>
      <c r="R14" s="9">
        <v>590832.16999999993</v>
      </c>
      <c r="S14" s="9">
        <v>154419.80000000002</v>
      </c>
      <c r="U14" s="7" t="s">
        <v>247</v>
      </c>
      <c r="V14">
        <v>5</v>
      </c>
      <c r="W14">
        <v>39</v>
      </c>
      <c r="X14" s="9">
        <v>24677.08</v>
      </c>
      <c r="Z14" s="7" t="s">
        <v>304</v>
      </c>
      <c r="AA14">
        <v>5431</v>
      </c>
      <c r="AB14" s="9">
        <v>2343628.8499999996</v>
      </c>
      <c r="AD14" s="12">
        <v>0.1</v>
      </c>
      <c r="AE14" s="9">
        <v>82403.580000000016</v>
      </c>
      <c r="AF14" s="9">
        <v>18957.699999999993</v>
      </c>
      <c r="AG14" s="10">
        <v>6.3973751174288713</v>
      </c>
    </row>
    <row r="15" spans="1:38" x14ac:dyDescent="0.25">
      <c r="A15" s="8" t="s">
        <v>313</v>
      </c>
      <c r="B15" s="9">
        <v>83923.91</v>
      </c>
      <c r="C15" s="9">
        <v>68219.77</v>
      </c>
      <c r="D15" s="9">
        <v>15704.14</v>
      </c>
      <c r="E15" s="10">
        <v>6.7403619743374623</v>
      </c>
      <c r="G15" s="8" t="s">
        <v>313</v>
      </c>
      <c r="H15" s="32">
        <v>107106.98999999999</v>
      </c>
      <c r="J15" s="8" t="s">
        <v>33</v>
      </c>
      <c r="K15" s="9">
        <v>182945.68000000002</v>
      </c>
      <c r="L15" s="9">
        <v>33945.01</v>
      </c>
      <c r="M15" s="10">
        <v>13.350603582987111</v>
      </c>
      <c r="P15" s="8" t="s">
        <v>77</v>
      </c>
      <c r="Q15" s="9">
        <v>92793.48</v>
      </c>
      <c r="R15" s="9">
        <v>74776.070000000007</v>
      </c>
      <c r="S15" s="9">
        <v>18017.41</v>
      </c>
      <c r="U15" s="7" t="s">
        <v>78</v>
      </c>
      <c r="V15">
        <v>9</v>
      </c>
      <c r="W15">
        <v>54</v>
      </c>
      <c r="X15" s="9">
        <v>24135.72</v>
      </c>
      <c r="AD15" s="12">
        <v>0.11</v>
      </c>
      <c r="AE15" s="9">
        <v>126555.03000000001</v>
      </c>
      <c r="AF15" s="9">
        <v>30400.450000000012</v>
      </c>
      <c r="AG15" s="10">
        <v>10.785420136560631</v>
      </c>
    </row>
    <row r="16" spans="1:38" x14ac:dyDescent="0.25">
      <c r="A16" s="8" t="s">
        <v>314</v>
      </c>
      <c r="B16" s="9">
        <v>118627.10999999999</v>
      </c>
      <c r="C16" s="9">
        <v>95602.090000000011</v>
      </c>
      <c r="D16" s="9">
        <v>23025.02</v>
      </c>
      <c r="E16" s="10">
        <v>9.239023084661163</v>
      </c>
      <c r="G16" s="8" t="s">
        <v>314</v>
      </c>
      <c r="H16" s="32">
        <v>83409.499999999971</v>
      </c>
      <c r="J16" s="8" t="s">
        <v>53</v>
      </c>
      <c r="K16" s="9">
        <v>145841.21999999997</v>
      </c>
      <c r="L16" s="9">
        <v>28686.399999999994</v>
      </c>
      <c r="M16" s="10">
        <v>12.674005357526031</v>
      </c>
      <c r="P16" s="8" t="s">
        <v>102</v>
      </c>
      <c r="Q16" s="9">
        <v>115025.52000000002</v>
      </c>
      <c r="R16" s="9">
        <v>89847.809999999983</v>
      </c>
      <c r="S16" s="9">
        <v>25177.71</v>
      </c>
      <c r="U16" s="7" t="s">
        <v>201</v>
      </c>
      <c r="V16">
        <v>7</v>
      </c>
      <c r="W16">
        <v>47</v>
      </c>
      <c r="X16" s="9">
        <v>23808.43</v>
      </c>
      <c r="AD16" s="12">
        <v>0.12</v>
      </c>
      <c r="AE16" s="9">
        <v>62820.560000000005</v>
      </c>
      <c r="AF16" s="9">
        <v>15762.89</v>
      </c>
      <c r="AG16" s="10">
        <v>5.4093370349185399</v>
      </c>
    </row>
    <row r="17" spans="1:33" x14ac:dyDescent="0.25">
      <c r="A17" s="7" t="s">
        <v>332</v>
      </c>
      <c r="B17" s="9">
        <v>1127608.73</v>
      </c>
      <c r="C17" s="9">
        <v>895897.86</v>
      </c>
      <c r="D17" s="9">
        <v>231710.87</v>
      </c>
      <c r="E17" s="10">
        <v>99.561305054491086</v>
      </c>
      <c r="G17" s="7" t="s">
        <v>307</v>
      </c>
      <c r="H17" s="32">
        <v>1216020.1200000001</v>
      </c>
      <c r="J17" s="8" t="s">
        <v>26</v>
      </c>
      <c r="K17" s="9">
        <v>154706.59</v>
      </c>
      <c r="L17" s="9">
        <v>27519.370000000006</v>
      </c>
      <c r="M17" s="10">
        <v>12.430800107296033</v>
      </c>
      <c r="P17" s="8" t="s">
        <v>57</v>
      </c>
      <c r="Q17" s="9">
        <v>92230.829999999987</v>
      </c>
      <c r="R17" s="9">
        <v>71367.830000000031</v>
      </c>
      <c r="S17" s="9">
        <v>20863.000000000004</v>
      </c>
      <c r="U17" s="7" t="s">
        <v>170</v>
      </c>
      <c r="V17">
        <v>7</v>
      </c>
      <c r="W17">
        <v>46</v>
      </c>
      <c r="X17" s="9">
        <v>23614.739999999998</v>
      </c>
      <c r="AD17" s="12">
        <v>0.13</v>
      </c>
      <c r="AE17" s="9">
        <v>107217.44</v>
      </c>
      <c r="AF17" s="9">
        <v>25316.85</v>
      </c>
      <c r="AG17" s="10">
        <v>10.599326099422457</v>
      </c>
    </row>
    <row r="18" spans="1:33" x14ac:dyDescent="0.25">
      <c r="A18" s="8" t="s">
        <v>335</v>
      </c>
      <c r="B18" s="9">
        <v>130509.64</v>
      </c>
      <c r="C18" s="9">
        <v>107635.07999999999</v>
      </c>
      <c r="D18" s="9">
        <v>22874.559999999998</v>
      </c>
      <c r="E18" s="10">
        <v>9.8332469953706969</v>
      </c>
      <c r="G18" s="8" t="s">
        <v>335</v>
      </c>
      <c r="H18" s="32">
        <v>70438.000000000015</v>
      </c>
      <c r="J18" s="8" t="s">
        <v>18</v>
      </c>
      <c r="K18" s="9">
        <v>142490.71000000002</v>
      </c>
      <c r="L18" s="9">
        <v>26350.239999999998</v>
      </c>
      <c r="M18" s="10">
        <v>10.002217824830161</v>
      </c>
      <c r="P18" s="8" t="s">
        <v>141</v>
      </c>
      <c r="Q18" s="9">
        <v>78068.790000000008</v>
      </c>
      <c r="R18" s="9">
        <v>57698.930000000022</v>
      </c>
      <c r="S18" s="9">
        <v>20369.86</v>
      </c>
      <c r="U18" s="7" t="s">
        <v>167</v>
      </c>
      <c r="V18">
        <v>7</v>
      </c>
      <c r="W18">
        <v>42</v>
      </c>
      <c r="X18" s="9">
        <v>22926.019999999997</v>
      </c>
      <c r="AD18" s="12">
        <v>0.14000000000000001</v>
      </c>
      <c r="AE18" s="9">
        <v>62938.039999999994</v>
      </c>
      <c r="AF18" s="9">
        <v>10583.63</v>
      </c>
      <c r="AG18" s="10">
        <v>6.3405060882652631</v>
      </c>
    </row>
    <row r="19" spans="1:33" x14ac:dyDescent="0.25">
      <c r="A19" s="8" t="s">
        <v>308</v>
      </c>
      <c r="B19" s="9">
        <v>99823.499999999985</v>
      </c>
      <c r="C19" s="9">
        <v>77882.030000000013</v>
      </c>
      <c r="D19" s="9">
        <v>21941.47</v>
      </c>
      <c r="E19" s="10">
        <v>7.9425189211217031</v>
      </c>
      <c r="G19" s="8" t="s">
        <v>308</v>
      </c>
      <c r="H19" s="32">
        <v>94571.060000000012</v>
      </c>
      <c r="J19" s="7" t="s">
        <v>27</v>
      </c>
      <c r="K19" s="9">
        <v>561473.16</v>
      </c>
      <c r="L19" s="9">
        <v>126900.86</v>
      </c>
      <c r="M19" s="10">
        <v>55.071418082470828</v>
      </c>
      <c r="P19" s="8" t="s">
        <v>68</v>
      </c>
      <c r="Q19" s="9">
        <v>81138.250000000029</v>
      </c>
      <c r="R19" s="9">
        <v>65251.850000000013</v>
      </c>
      <c r="S19" s="9">
        <v>15886.400000000005</v>
      </c>
      <c r="U19" s="7" t="s">
        <v>304</v>
      </c>
      <c r="V19">
        <v>131</v>
      </c>
      <c r="W19">
        <v>793</v>
      </c>
      <c r="X19" s="9">
        <v>392080.70000000007</v>
      </c>
      <c r="AD19" s="12">
        <v>0.15</v>
      </c>
      <c r="AE19" s="9">
        <v>98531.999999999985</v>
      </c>
      <c r="AF19" s="9">
        <v>17205.340000000004</v>
      </c>
      <c r="AG19" s="10">
        <v>8.729428606473606</v>
      </c>
    </row>
    <row r="20" spans="1:33" x14ac:dyDescent="0.25">
      <c r="A20" s="8" t="s">
        <v>309</v>
      </c>
      <c r="B20" s="9">
        <v>102660.01999999999</v>
      </c>
      <c r="C20" s="9">
        <v>78554.48</v>
      </c>
      <c r="D20" s="9">
        <v>24105.539999999997</v>
      </c>
      <c r="E20" s="10">
        <v>9.3143255861315826</v>
      </c>
      <c r="G20" s="8" t="s">
        <v>309</v>
      </c>
      <c r="H20" s="32">
        <v>112588.61</v>
      </c>
      <c r="J20" s="8" t="s">
        <v>26</v>
      </c>
      <c r="K20" s="9">
        <v>159049.85999999993</v>
      </c>
      <c r="L20" s="9">
        <v>36783.909999999996</v>
      </c>
      <c r="M20" s="10">
        <v>16.266135772295055</v>
      </c>
      <c r="P20" s="8" t="s">
        <v>64</v>
      </c>
      <c r="Q20" s="9">
        <v>80479.119999999981</v>
      </c>
      <c r="R20" s="9">
        <v>68133.389999999985</v>
      </c>
      <c r="S20" s="9">
        <v>12345.73</v>
      </c>
      <c r="AD20" s="12">
        <v>0.16</v>
      </c>
      <c r="AE20" s="9">
        <v>48713.390000000014</v>
      </c>
      <c r="AF20" s="9">
        <v>11350.240000000002</v>
      </c>
      <c r="AG20" s="10">
        <v>4.4262514820657</v>
      </c>
    </row>
    <row r="21" spans="1:33" x14ac:dyDescent="0.25">
      <c r="A21" s="8" t="s">
        <v>336</v>
      </c>
      <c r="B21" s="9">
        <v>104831.61000000002</v>
      </c>
      <c r="C21" s="9">
        <v>84324.62000000001</v>
      </c>
      <c r="D21" s="9">
        <v>20506.990000000002</v>
      </c>
      <c r="E21" s="10">
        <v>7.5741253259672154</v>
      </c>
      <c r="G21" s="8" t="s">
        <v>336</v>
      </c>
      <c r="H21" s="32">
        <v>84516.659999999974</v>
      </c>
      <c r="J21" s="8" t="s">
        <v>33</v>
      </c>
      <c r="K21" s="9">
        <v>134654.95000000007</v>
      </c>
      <c r="L21" s="9">
        <v>26228.500000000004</v>
      </c>
      <c r="M21" s="10">
        <v>13.496593788911984</v>
      </c>
      <c r="P21" s="8" t="s">
        <v>117</v>
      </c>
      <c r="Q21" s="9">
        <v>82739.159999999974</v>
      </c>
      <c r="R21" s="9">
        <v>66047.619999999966</v>
      </c>
      <c r="S21" s="9">
        <v>16691.54</v>
      </c>
      <c r="AD21" s="12">
        <v>0.17</v>
      </c>
      <c r="AE21" s="9">
        <v>80090.849999999991</v>
      </c>
      <c r="AF21" s="9">
        <v>17817.650000000001</v>
      </c>
      <c r="AG21" s="10">
        <v>6.1260437214813876</v>
      </c>
    </row>
    <row r="22" spans="1:33" x14ac:dyDescent="0.25">
      <c r="A22" s="8" t="s">
        <v>310</v>
      </c>
      <c r="B22" s="9">
        <v>79904.079999999987</v>
      </c>
      <c r="C22" s="9">
        <v>66451.660000000018</v>
      </c>
      <c r="D22" s="9">
        <v>13452.419999999996</v>
      </c>
      <c r="E22" s="10">
        <v>7.9716034258723676</v>
      </c>
      <c r="G22" s="8" t="s">
        <v>310</v>
      </c>
      <c r="H22" s="32">
        <v>100191.91999999998</v>
      </c>
      <c r="J22" s="8" t="s">
        <v>18</v>
      </c>
      <c r="K22" s="9">
        <v>141546.35999999999</v>
      </c>
      <c r="L22" s="9">
        <v>35963.86</v>
      </c>
      <c r="M22" s="10">
        <v>13.145687095749871</v>
      </c>
      <c r="P22" s="8" t="s">
        <v>47</v>
      </c>
      <c r="Q22" s="9">
        <v>54509.96</v>
      </c>
      <c r="R22" s="9">
        <v>45326.73</v>
      </c>
      <c r="S22" s="9">
        <v>9183.2300000000014</v>
      </c>
      <c r="AD22" s="12">
        <v>0.18</v>
      </c>
      <c r="AE22" s="9">
        <v>78292.160000000003</v>
      </c>
      <c r="AF22" s="9">
        <v>14612.33</v>
      </c>
      <c r="AG22" s="10">
        <v>6.1126267269667851</v>
      </c>
    </row>
    <row r="23" spans="1:33" x14ac:dyDescent="0.25">
      <c r="A23" s="8" t="s">
        <v>333</v>
      </c>
      <c r="B23" s="9">
        <v>111614.82999999997</v>
      </c>
      <c r="C23" s="9">
        <v>87594.75</v>
      </c>
      <c r="D23" s="9">
        <v>24020.080000000005</v>
      </c>
      <c r="E23" s="10">
        <v>10.301019735384967</v>
      </c>
      <c r="G23" s="8" t="s">
        <v>333</v>
      </c>
      <c r="H23" s="32">
        <v>104829.10999999999</v>
      </c>
      <c r="J23" s="8" t="s">
        <v>53</v>
      </c>
      <c r="K23" s="9">
        <v>126221.99000000002</v>
      </c>
      <c r="L23" s="9">
        <v>27924.590000000007</v>
      </c>
      <c r="M23" s="10">
        <v>12.163001425513917</v>
      </c>
      <c r="P23" s="8" t="s">
        <v>43</v>
      </c>
      <c r="Q23" s="9">
        <v>68266.86</v>
      </c>
      <c r="R23" s="9">
        <v>52381.94</v>
      </c>
      <c r="S23" s="9">
        <v>15884.920000000002</v>
      </c>
      <c r="AD23" s="12">
        <v>0.19</v>
      </c>
      <c r="AE23" s="9">
        <v>35898.480000000003</v>
      </c>
      <c r="AF23" s="9">
        <v>4969.1699999999992</v>
      </c>
      <c r="AG23" s="10">
        <v>3.0793279568177838</v>
      </c>
    </row>
    <row r="24" spans="1:33" x14ac:dyDescent="0.25">
      <c r="A24" s="8" t="s">
        <v>311</v>
      </c>
      <c r="B24" s="9">
        <v>59858.670000000006</v>
      </c>
      <c r="C24" s="9">
        <v>48774.109999999986</v>
      </c>
      <c r="D24" s="9">
        <v>11084.560000000005</v>
      </c>
      <c r="E24" s="10">
        <v>5.3741279412725111</v>
      </c>
      <c r="G24" s="8" t="s">
        <v>311</v>
      </c>
      <c r="H24" s="32">
        <v>108304.97999999997</v>
      </c>
      <c r="J24" s="7" t="s">
        <v>304</v>
      </c>
      <c r="K24" s="9">
        <v>2343628.85</v>
      </c>
      <c r="L24" s="9">
        <v>479207.41000000003</v>
      </c>
      <c r="M24" s="10">
        <v>199.22535459776887</v>
      </c>
      <c r="P24" s="7" t="s">
        <v>20</v>
      </c>
      <c r="Q24" s="9">
        <v>787633.65999999992</v>
      </c>
      <c r="R24" s="9">
        <v>627143.77999999991</v>
      </c>
      <c r="S24" s="9">
        <v>160489.88</v>
      </c>
      <c r="AD24" s="12">
        <v>0.2</v>
      </c>
      <c r="AE24" s="9">
        <v>76148.420000000013</v>
      </c>
      <c r="AF24" s="9">
        <v>11789.41</v>
      </c>
      <c r="AG24" s="10">
        <v>5.761708356665534</v>
      </c>
    </row>
    <row r="25" spans="1:33" x14ac:dyDescent="0.25">
      <c r="A25" s="8" t="s">
        <v>334</v>
      </c>
      <c r="B25" s="9">
        <v>79504.55</v>
      </c>
      <c r="C25" s="9">
        <v>63517.350000000006</v>
      </c>
      <c r="D25" s="9">
        <v>15987.200000000003</v>
      </c>
      <c r="E25" s="10">
        <v>9.3390326403566259</v>
      </c>
      <c r="G25" s="8" t="s">
        <v>334</v>
      </c>
      <c r="H25" s="32">
        <v>104619.51999999999</v>
      </c>
      <c r="P25" s="8" t="s">
        <v>81</v>
      </c>
      <c r="Q25" s="9">
        <v>61267.989999999991</v>
      </c>
      <c r="R25" s="9">
        <v>49148.78</v>
      </c>
      <c r="S25" s="9">
        <v>12119.21</v>
      </c>
      <c r="AD25" s="12">
        <v>0.21</v>
      </c>
      <c r="AE25" s="9">
        <v>46887.689999999995</v>
      </c>
      <c r="AF25" s="9">
        <v>3138.42</v>
      </c>
      <c r="AG25" s="10">
        <v>2.9924486633171843</v>
      </c>
    </row>
    <row r="26" spans="1:33" x14ac:dyDescent="0.25">
      <c r="A26" s="8" t="s">
        <v>337</v>
      </c>
      <c r="B26" s="9">
        <v>65245.299999999996</v>
      </c>
      <c r="C26" s="9">
        <v>48811.749999999993</v>
      </c>
      <c r="D26" s="9">
        <v>16433.55</v>
      </c>
      <c r="E26" s="10">
        <v>9.5622208106817599</v>
      </c>
      <c r="G26" s="8" t="s">
        <v>337</v>
      </c>
      <c r="H26" s="32">
        <v>111729.24999999999</v>
      </c>
      <c r="P26" s="8" t="s">
        <v>153</v>
      </c>
      <c r="Q26" s="9">
        <v>85723.6</v>
      </c>
      <c r="R26" s="9">
        <v>70951.359999999986</v>
      </c>
      <c r="S26" s="9">
        <v>14772.240000000002</v>
      </c>
      <c r="AD26" s="12">
        <v>0.22</v>
      </c>
      <c r="AE26" s="9">
        <v>86525.290000000008</v>
      </c>
      <c r="AF26" s="9">
        <v>12469.419999999998</v>
      </c>
      <c r="AG26" s="10">
        <v>5.7305288988216434</v>
      </c>
    </row>
    <row r="27" spans="1:33" x14ac:dyDescent="0.25">
      <c r="A27" s="8" t="s">
        <v>312</v>
      </c>
      <c r="B27" s="9">
        <v>103140.03999999998</v>
      </c>
      <c r="C27" s="9">
        <v>79081.910000000018</v>
      </c>
      <c r="D27" s="9">
        <v>24058.13</v>
      </c>
      <c r="E27" s="10">
        <v>8.5896603147554984</v>
      </c>
      <c r="G27" s="8" t="s">
        <v>312</v>
      </c>
      <c r="H27" s="32">
        <v>121679.99000000003</v>
      </c>
      <c r="P27" s="8" t="s">
        <v>90</v>
      </c>
      <c r="Q27" s="9">
        <v>103368.93</v>
      </c>
      <c r="R27" s="9">
        <v>78814.179999999993</v>
      </c>
      <c r="S27" s="9">
        <v>24554.750000000007</v>
      </c>
      <c r="AD27" s="12">
        <v>0.23</v>
      </c>
      <c r="AE27" s="9">
        <v>85801.090000000011</v>
      </c>
      <c r="AF27" s="9">
        <v>9748.8099999999977</v>
      </c>
      <c r="AG27" s="10">
        <v>4.8790447378638282</v>
      </c>
    </row>
    <row r="28" spans="1:33" x14ac:dyDescent="0.25">
      <c r="A28" s="8" t="s">
        <v>313</v>
      </c>
      <c r="B28" s="9">
        <v>107106.98999999999</v>
      </c>
      <c r="C28" s="9">
        <v>85887.380000000019</v>
      </c>
      <c r="D28" s="9">
        <v>21219.609999999997</v>
      </c>
      <c r="E28" s="10">
        <v>7.7054770140059414</v>
      </c>
      <c r="G28" s="8" t="s">
        <v>313</v>
      </c>
      <c r="H28" s="32">
        <v>83923.91</v>
      </c>
      <c r="P28" s="8" t="s">
        <v>79</v>
      </c>
      <c r="Q28" s="9">
        <v>63515.840000000004</v>
      </c>
      <c r="R28" s="9">
        <v>52949.359999999993</v>
      </c>
      <c r="S28" s="9">
        <v>10566.48</v>
      </c>
      <c r="AD28" s="12">
        <v>0.24</v>
      </c>
      <c r="AE28" s="9">
        <v>65607.510000000024</v>
      </c>
      <c r="AF28" s="9">
        <v>6045.0500000000011</v>
      </c>
      <c r="AG28" s="10">
        <v>2.4285716845367586</v>
      </c>
    </row>
    <row r="29" spans="1:33" x14ac:dyDescent="0.25">
      <c r="A29" s="8" t="s">
        <v>314</v>
      </c>
      <c r="B29" s="9">
        <v>83409.499999999971</v>
      </c>
      <c r="C29" s="9">
        <v>67382.740000000005</v>
      </c>
      <c r="D29" s="9">
        <v>16026.759999999997</v>
      </c>
      <c r="E29" s="10">
        <v>6.0539463435702219</v>
      </c>
      <c r="G29" s="8" t="s">
        <v>314</v>
      </c>
      <c r="H29" s="32">
        <v>118627.10999999999</v>
      </c>
      <c r="P29" s="8" t="s">
        <v>22</v>
      </c>
      <c r="Q29" s="9">
        <v>68165.259999999995</v>
      </c>
      <c r="R29" s="9">
        <v>53099.649999999994</v>
      </c>
      <c r="S29" s="9">
        <v>15065.61</v>
      </c>
      <c r="AD29" s="12">
        <v>0.25</v>
      </c>
      <c r="AE29" s="9">
        <v>54501.170000000006</v>
      </c>
      <c r="AF29" s="9">
        <v>6336.43</v>
      </c>
      <c r="AG29" s="10">
        <v>2.8615018219129587</v>
      </c>
    </row>
    <row r="30" spans="1:33" x14ac:dyDescent="0.25">
      <c r="A30" s="7" t="s">
        <v>304</v>
      </c>
      <c r="B30" s="9">
        <v>2343628.85</v>
      </c>
      <c r="C30" s="9">
        <v>1864421.4400000002</v>
      </c>
      <c r="D30" s="9">
        <v>479207.41000000003</v>
      </c>
      <c r="E30" s="10">
        <v>199.22535459776887</v>
      </c>
      <c r="G30" s="7" t="s">
        <v>304</v>
      </c>
      <c r="H30" s="32">
        <v>2343628.85</v>
      </c>
      <c r="P30" s="8" t="s">
        <v>114</v>
      </c>
      <c r="Q30" s="9">
        <v>56704.390000000014</v>
      </c>
      <c r="R30" s="9">
        <v>46712.62</v>
      </c>
      <c r="S30" s="9">
        <v>9991.7699999999986</v>
      </c>
      <c r="AD30" s="12">
        <v>0.26</v>
      </c>
      <c r="AE30" s="9">
        <v>74980.099999999991</v>
      </c>
      <c r="AF30" s="9">
        <v>6974.02</v>
      </c>
      <c r="AG30" s="10">
        <v>2.417382925263349</v>
      </c>
    </row>
    <row r="31" spans="1:33" x14ac:dyDescent="0.25">
      <c r="P31" s="8" t="s">
        <v>29</v>
      </c>
      <c r="Q31" s="9">
        <v>64216.45</v>
      </c>
      <c r="R31" s="9">
        <v>50325.719999999994</v>
      </c>
      <c r="S31" s="9">
        <v>13890.729999999998</v>
      </c>
      <c r="AD31" s="12">
        <v>0.27</v>
      </c>
      <c r="AE31" s="9">
        <v>69946.469999999987</v>
      </c>
      <c r="AF31" s="9">
        <v>4877.96</v>
      </c>
      <c r="AG31" s="10">
        <v>3.5132509371746052</v>
      </c>
    </row>
    <row r="32" spans="1:33" x14ac:dyDescent="0.25">
      <c r="P32" s="8" t="s">
        <v>132</v>
      </c>
      <c r="Q32" s="9">
        <v>54990.909999999996</v>
      </c>
      <c r="R32" s="9">
        <v>42175.840000000004</v>
      </c>
      <c r="S32" s="9">
        <v>12815.07</v>
      </c>
      <c r="AA32" s="10"/>
      <c r="AD32" s="12">
        <v>0.28000000000000003</v>
      </c>
      <c r="AE32" s="9">
        <v>80986.459999999992</v>
      </c>
      <c r="AF32" s="9">
        <v>4199.2999999999975</v>
      </c>
      <c r="AG32" s="10">
        <v>2.1242989168060795</v>
      </c>
    </row>
    <row r="33" spans="16:33" x14ac:dyDescent="0.25">
      <c r="P33" s="8" t="s">
        <v>161</v>
      </c>
      <c r="Q33" s="9">
        <v>71554.729999999981</v>
      </c>
      <c r="R33" s="9">
        <v>57183.739999999976</v>
      </c>
      <c r="S33" s="9">
        <v>14370.990000000003</v>
      </c>
      <c r="AD33" s="12">
        <v>0.28999999999999998</v>
      </c>
      <c r="AE33" s="9">
        <v>77599.710000000006</v>
      </c>
      <c r="AF33" s="9">
        <v>9445.489999999998</v>
      </c>
      <c r="AG33" s="10">
        <v>2.5051142778315638</v>
      </c>
    </row>
    <row r="34" spans="16:33" x14ac:dyDescent="0.25">
      <c r="P34" s="8" t="s">
        <v>54</v>
      </c>
      <c r="Q34" s="9">
        <v>61643.580000000009</v>
      </c>
      <c r="R34" s="9">
        <v>46971.7</v>
      </c>
      <c r="S34" s="9">
        <v>14671.88</v>
      </c>
      <c r="AD34" s="12">
        <v>0.3</v>
      </c>
      <c r="AE34" s="9">
        <v>18811.29</v>
      </c>
      <c r="AF34" s="9">
        <v>1355.07</v>
      </c>
      <c r="AG34" s="10">
        <v>1.1296618968453398</v>
      </c>
    </row>
    <row r="35" spans="16:33" x14ac:dyDescent="0.25">
      <c r="P35" s="8" t="s">
        <v>61</v>
      </c>
      <c r="Q35" s="9">
        <v>96481.98</v>
      </c>
      <c r="R35" s="9">
        <v>78810.829999999987</v>
      </c>
      <c r="S35" s="9">
        <v>17671.150000000001</v>
      </c>
      <c r="AD35" s="7" t="s">
        <v>304</v>
      </c>
      <c r="AE35" s="9">
        <v>2343628.85</v>
      </c>
      <c r="AF35" s="9">
        <v>479207.41000000003</v>
      </c>
      <c r="AG35" s="10">
        <v>199.2253545977689</v>
      </c>
    </row>
    <row r="36" spans="16:33" x14ac:dyDescent="0.25">
      <c r="P36" s="7" t="s">
        <v>304</v>
      </c>
      <c r="Q36" s="9">
        <v>2343628.85</v>
      </c>
      <c r="R36" s="9">
        <v>1864421.44</v>
      </c>
      <c r="S36" s="9">
        <v>479207.41</v>
      </c>
    </row>
  </sheetData>
  <hyperlinks>
    <hyperlink ref="AI6" location="'SALES DATA SET'!A1" display="'SALES DATA SET'!A1" xr:uid="{1891CA4B-3B68-4703-9E08-B2A5FB8E8F47}"/>
    <hyperlink ref="AI8" location="DASHBOARD!A1" display=" " xr:uid="{BC73FD60-06A7-4086-9DE6-9D155DD4D5CC}"/>
    <hyperlink ref="AJ6" location="DASHBOARD!A1" display="DASHBOARD!A1" xr:uid="{5D6946D7-1CD5-431D-A975-5E7ED76D41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CDAD-9531-4298-90EF-78EC9BF7C390}">
  <dimension ref="AE4:AE20"/>
  <sheetViews>
    <sheetView showGridLines="0" showRowColHeaders="0" tabSelected="1" zoomScale="87" zoomScaleNormal="200" workbookViewId="0">
      <selection activeCell="AE20" sqref="AE20"/>
    </sheetView>
  </sheetViews>
  <sheetFormatPr defaultRowHeight="15" x14ac:dyDescent="0.25"/>
  <cols>
    <col min="31" max="31" width="27.42578125" bestFit="1" customWidth="1"/>
  </cols>
  <sheetData>
    <row r="4" spans="31:31" x14ac:dyDescent="0.25">
      <c r="AE4" s="23" t="s">
        <v>344</v>
      </c>
    </row>
    <row r="5" spans="31:31" x14ac:dyDescent="0.25">
      <c r="AE5" s="23"/>
    </row>
    <row r="6" spans="31:31" x14ac:dyDescent="0.25">
      <c r="AE6" s="23" t="s">
        <v>342</v>
      </c>
    </row>
    <row r="8" spans="31:31" x14ac:dyDescent="0.25">
      <c r="AE8" s="24"/>
    </row>
    <row r="9" spans="31:31" x14ac:dyDescent="0.25">
      <c r="AE9" s="25"/>
    </row>
    <row r="10" spans="31:31" x14ac:dyDescent="0.25">
      <c r="AE10" s="25"/>
    </row>
    <row r="11" spans="31:31" ht="33.75" x14ac:dyDescent="0.5">
      <c r="AE11" s="27">
        <f>GETPIVOTDATA("Profit",ANALYSIS!$AK$2)</f>
        <v>479207.40999999986</v>
      </c>
    </row>
    <row r="12" spans="31:31" x14ac:dyDescent="0.25">
      <c r="AE12" s="26"/>
    </row>
    <row r="13" spans="31:31" x14ac:dyDescent="0.25">
      <c r="AE13" s="25"/>
    </row>
    <row r="14" spans="31:31" ht="36" x14ac:dyDescent="0.55000000000000004">
      <c r="AE14" s="28">
        <f>GETPIVOTDATA("Revenue",ANALYSIS!$AJ$2)</f>
        <v>2343628.8499999996</v>
      </c>
    </row>
    <row r="15" spans="31:31" x14ac:dyDescent="0.25">
      <c r="AE15" s="29"/>
    </row>
    <row r="16" spans="31:31" ht="36" x14ac:dyDescent="0.55000000000000004">
      <c r="AE16" s="30">
        <f>GETPIVOTDATA("Discount",ANALYSIS!$AI$2)</f>
        <v>0.14886000000000013</v>
      </c>
    </row>
    <row r="17" spans="31:31" x14ac:dyDescent="0.25">
      <c r="AE17" s="29"/>
    </row>
    <row r="18" spans="31:31" ht="33.75" x14ac:dyDescent="0.5">
      <c r="AE18" s="31">
        <f>GETPIVOTDATA("profit margin",ANALYSIS!$AL$2)</f>
        <v>0.19922535459776888</v>
      </c>
    </row>
    <row r="19" spans="31:31" x14ac:dyDescent="0.25">
      <c r="AE19" s="25"/>
    </row>
    <row r="20" spans="31:31" x14ac:dyDescent="0.25">
      <c r="AE20" s="25"/>
    </row>
  </sheetData>
  <hyperlinks>
    <hyperlink ref="AE4" location="ANALYSIS!A1" display="ANALYSIS!A1" xr:uid="{70BE7BAA-875F-44A8-8467-BB6CA5283446}"/>
    <hyperlink ref="AE6" location="'SALES DATA SET'!A1" display="'SALES DATA SET'!A1" xr:uid="{38F50153-9AE5-4FE9-A423-C216934B19D5}"/>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SET</vt:lpstr>
      <vt:lpstr>SALES DATA 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Michael Adediran</cp:lastModifiedBy>
  <dcterms:created xsi:type="dcterms:W3CDTF">2026-05-02T09:54:54Z</dcterms:created>
  <dcterms:modified xsi:type="dcterms:W3CDTF">2026-06-19T22:55:14Z</dcterms:modified>
</cp:coreProperties>
</file>